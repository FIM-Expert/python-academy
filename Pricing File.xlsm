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"/>
    </mc:Choice>
  </mc:AlternateContent>
  <bookViews>
    <workbookView xWindow="0" yWindow="0" windowWidth="28800" windowHeight="12300"/>
  </bookViews>
  <sheets>
    <sheet name="TotalReturnPricing" sheetId="2" r:id="rId1"/>
  </sheets>
  <functionGroups builtInGroupCount="18"/>
  <externalReferences>
    <externalReference r:id="rId2"/>
    <externalReference r:id="rId3"/>
  </externalReferences>
  <definedNames>
    <definedName name="_xlnm._FilterDatabase" localSheetId="0" hidden="1">TotalReturnPricing!$F$1:$F$5454</definedName>
    <definedName name="Daily_Prices">[1]TotalReturnPricing!#REF!</definedName>
    <definedName name="Intermediate_Prices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Option_Symbol">[2]TotalReturnPricing!$A$1:$C$350</definedName>
  </definedNames>
  <calcPr calcId="162913"/>
</workbook>
</file>

<file path=xl/calcChain.xml><?xml version="1.0" encoding="utf-8"?>
<calcChain xmlns="http://schemas.openxmlformats.org/spreadsheetml/2006/main">
  <c r="B420" i="2" l="1"/>
  <c r="C420" i="2" s="1"/>
  <c r="E922" i="2"/>
  <c r="F923" i="2"/>
  <c r="H922" i="2"/>
  <c r="E923" i="2"/>
  <c r="E920" i="2"/>
  <c r="H923" i="2"/>
  <c r="F420" i="2"/>
  <c r="G923" i="2"/>
  <c r="F920" i="2"/>
  <c r="H920" i="2"/>
  <c r="G420" i="2"/>
  <c r="F922" i="2"/>
  <c r="G922" i="2"/>
  <c r="E921" i="2"/>
  <c r="G921" i="2"/>
  <c r="H420" i="2"/>
  <c r="E420" i="2"/>
  <c r="G920" i="2"/>
  <c r="H921" i="2"/>
  <c r="F921" i="2"/>
  <c r="L922" i="2" l="1"/>
  <c r="L921" i="2"/>
  <c r="L920" i="2"/>
  <c r="L923" i="2"/>
  <c r="L420" i="2"/>
  <c r="L5376" i="2"/>
  <c r="L5375" i="2"/>
  <c r="L5374" i="2"/>
  <c r="L5373" i="2"/>
  <c r="L5372" i="2"/>
  <c r="L5371" i="2"/>
  <c r="L5370" i="2"/>
  <c r="L5369" i="2"/>
  <c r="L5368" i="2"/>
  <c r="L5367" i="2"/>
  <c r="L5366" i="2"/>
  <c r="L5365" i="2"/>
  <c r="L5364" i="2"/>
  <c r="L5363" i="2"/>
  <c r="L5362" i="2"/>
  <c r="L5361" i="2"/>
  <c r="L5360" i="2"/>
  <c r="L5359" i="2"/>
  <c r="L5358" i="2"/>
  <c r="L5357" i="2"/>
  <c r="L5356" i="2"/>
  <c r="L5355" i="2"/>
  <c r="L5354" i="2"/>
  <c r="L5353" i="2"/>
  <c r="L5352" i="2"/>
  <c r="L5351" i="2"/>
  <c r="L5350" i="2"/>
  <c r="L5349" i="2"/>
  <c r="L5348" i="2"/>
  <c r="L5347" i="2"/>
  <c r="L5346" i="2"/>
  <c r="L5345" i="2"/>
  <c r="L5344" i="2"/>
  <c r="L5343" i="2"/>
  <c r="L5342" i="2"/>
  <c r="L5341" i="2"/>
  <c r="L5340" i="2"/>
  <c r="L5339" i="2"/>
  <c r="L5338" i="2"/>
  <c r="L5337" i="2"/>
  <c r="L5336" i="2"/>
  <c r="L5335" i="2"/>
  <c r="L5334" i="2"/>
  <c r="L5333" i="2"/>
  <c r="L5332" i="2"/>
  <c r="L5331" i="2"/>
  <c r="L5330" i="2"/>
  <c r="L5329" i="2"/>
  <c r="L5328" i="2"/>
  <c r="L5327" i="2"/>
  <c r="L5326" i="2"/>
  <c r="L5325" i="2"/>
  <c r="L5324" i="2"/>
  <c r="L5323" i="2"/>
  <c r="L5322" i="2"/>
  <c r="L5321" i="2"/>
  <c r="L5320" i="2"/>
  <c r="L5319" i="2"/>
  <c r="L5318" i="2"/>
  <c r="L5317" i="2"/>
  <c r="L5316" i="2"/>
  <c r="L5315" i="2"/>
  <c r="L5314" i="2"/>
  <c r="L5313" i="2"/>
  <c r="L5312" i="2"/>
  <c r="L5311" i="2"/>
  <c r="L5310" i="2"/>
  <c r="L5309" i="2"/>
  <c r="L5308" i="2"/>
  <c r="L5307" i="2"/>
  <c r="L5306" i="2"/>
  <c r="L5305" i="2"/>
  <c r="L5304" i="2"/>
  <c r="L5303" i="2"/>
  <c r="L5302" i="2"/>
  <c r="L5301" i="2"/>
  <c r="L5300" i="2"/>
  <c r="L5299" i="2"/>
  <c r="L5298" i="2"/>
  <c r="L5297" i="2"/>
  <c r="L5296" i="2"/>
  <c r="L5295" i="2"/>
  <c r="L5294" i="2"/>
  <c r="L5293" i="2"/>
  <c r="L5292" i="2"/>
  <c r="L5291" i="2"/>
  <c r="L5290" i="2"/>
  <c r="L5289" i="2"/>
  <c r="L5288" i="2"/>
  <c r="L5287" i="2"/>
  <c r="L5286" i="2"/>
  <c r="L5285" i="2"/>
  <c r="L5284" i="2"/>
  <c r="L5283" i="2"/>
  <c r="L5282" i="2"/>
  <c r="L5281" i="2"/>
  <c r="L5280" i="2"/>
  <c r="L5279" i="2"/>
  <c r="L5278" i="2"/>
  <c r="L5277" i="2"/>
  <c r="L5276" i="2"/>
  <c r="L5275" i="2"/>
  <c r="L5274" i="2"/>
  <c r="L5273" i="2"/>
  <c r="L5272" i="2"/>
  <c r="L5271" i="2"/>
  <c r="L5270" i="2"/>
  <c r="L5269" i="2"/>
  <c r="L5268" i="2"/>
  <c r="L5267" i="2"/>
  <c r="L5266" i="2"/>
  <c r="L5265" i="2"/>
  <c r="L5264" i="2"/>
  <c r="L5263" i="2"/>
  <c r="L5262" i="2"/>
  <c r="L5261" i="2"/>
  <c r="L5260" i="2"/>
  <c r="L5259" i="2"/>
  <c r="L5258" i="2"/>
  <c r="L5257" i="2"/>
  <c r="L5256" i="2"/>
  <c r="L5255" i="2"/>
  <c r="L5254" i="2"/>
  <c r="L5253" i="2"/>
  <c r="L5252" i="2"/>
  <c r="L5251" i="2"/>
  <c r="L5250" i="2"/>
  <c r="L5249" i="2"/>
  <c r="L5248" i="2"/>
  <c r="L5247" i="2"/>
  <c r="L5246" i="2"/>
  <c r="L5245" i="2"/>
  <c r="L5244" i="2"/>
  <c r="L5243" i="2"/>
  <c r="L5242" i="2"/>
  <c r="L5241" i="2"/>
  <c r="L5240" i="2"/>
  <c r="L5239" i="2"/>
  <c r="L5238" i="2"/>
  <c r="L5237" i="2"/>
  <c r="L5236" i="2"/>
  <c r="L5235" i="2"/>
  <c r="L5234" i="2"/>
  <c r="L5233" i="2"/>
  <c r="L5232" i="2"/>
  <c r="L5231" i="2"/>
  <c r="L5230" i="2"/>
  <c r="L5229" i="2"/>
  <c r="L5228" i="2"/>
  <c r="L5227" i="2"/>
  <c r="L5226" i="2"/>
  <c r="L5225" i="2"/>
  <c r="L5224" i="2"/>
  <c r="L5223" i="2"/>
  <c r="L5222" i="2"/>
  <c r="L5221" i="2"/>
  <c r="L5220" i="2"/>
  <c r="L5219" i="2"/>
  <c r="L5218" i="2"/>
  <c r="L5217" i="2"/>
  <c r="L5216" i="2"/>
  <c r="L5215" i="2"/>
  <c r="L5214" i="2"/>
  <c r="L5213" i="2"/>
  <c r="L5212" i="2"/>
  <c r="L5211" i="2"/>
  <c r="L5210" i="2"/>
  <c r="L5209" i="2"/>
  <c r="L5208" i="2"/>
  <c r="L5207" i="2"/>
  <c r="L5206" i="2"/>
  <c r="L5205" i="2"/>
  <c r="L5204" i="2"/>
  <c r="L5203" i="2"/>
  <c r="L5202" i="2"/>
  <c r="L5201" i="2"/>
  <c r="L5200" i="2"/>
  <c r="L5199" i="2"/>
  <c r="L5198" i="2"/>
  <c r="L5197" i="2"/>
  <c r="L5196" i="2"/>
  <c r="L5195" i="2"/>
  <c r="L5194" i="2"/>
  <c r="L5193" i="2"/>
  <c r="L5192" i="2"/>
  <c r="L5191" i="2"/>
  <c r="L5190" i="2"/>
  <c r="L5189" i="2"/>
  <c r="L5188" i="2"/>
  <c r="L5187" i="2"/>
  <c r="L5186" i="2"/>
  <c r="L5185" i="2"/>
  <c r="L5184" i="2"/>
  <c r="L5183" i="2"/>
  <c r="L5182" i="2"/>
  <c r="L5181" i="2"/>
  <c r="L5180" i="2"/>
  <c r="L5179" i="2"/>
  <c r="L5178" i="2"/>
  <c r="L5177" i="2"/>
  <c r="L5176" i="2"/>
  <c r="L5175" i="2"/>
  <c r="L5174" i="2"/>
  <c r="L5173" i="2"/>
  <c r="L5172" i="2"/>
  <c r="L5171" i="2"/>
  <c r="L5170" i="2"/>
  <c r="L5169" i="2"/>
  <c r="L5168" i="2"/>
  <c r="L5167" i="2"/>
  <c r="L5166" i="2"/>
  <c r="L5165" i="2"/>
  <c r="L5164" i="2"/>
  <c r="L5163" i="2"/>
  <c r="L5162" i="2"/>
  <c r="L5161" i="2"/>
  <c r="L5160" i="2"/>
  <c r="L5159" i="2"/>
  <c r="L5158" i="2"/>
  <c r="L5157" i="2"/>
  <c r="L5156" i="2"/>
  <c r="L5155" i="2"/>
  <c r="L5154" i="2"/>
  <c r="L5153" i="2"/>
  <c r="L5152" i="2"/>
  <c r="L5151" i="2"/>
  <c r="L5150" i="2"/>
  <c r="L5149" i="2"/>
  <c r="L5148" i="2"/>
  <c r="L5147" i="2"/>
  <c r="L5146" i="2"/>
  <c r="L5145" i="2"/>
  <c r="L5144" i="2"/>
  <c r="L5143" i="2"/>
  <c r="L5142" i="2"/>
  <c r="L5141" i="2"/>
  <c r="L5140" i="2"/>
  <c r="L5139" i="2"/>
  <c r="L5138" i="2"/>
  <c r="L5137" i="2"/>
  <c r="L5136" i="2"/>
  <c r="L5135" i="2"/>
  <c r="L5134" i="2"/>
  <c r="L5133" i="2"/>
  <c r="L5132" i="2"/>
  <c r="L5131" i="2"/>
  <c r="L5130" i="2"/>
  <c r="L5129" i="2"/>
  <c r="L5128" i="2"/>
  <c r="L5127" i="2"/>
  <c r="L5126" i="2"/>
  <c r="L5125" i="2"/>
  <c r="L5124" i="2"/>
  <c r="L5123" i="2"/>
  <c r="L5122" i="2"/>
  <c r="L5121" i="2"/>
  <c r="L5120" i="2"/>
  <c r="L5119" i="2"/>
  <c r="L5118" i="2"/>
  <c r="L5117" i="2"/>
  <c r="L5116" i="2"/>
  <c r="L5115" i="2"/>
  <c r="L5114" i="2"/>
  <c r="L5113" i="2"/>
  <c r="L5112" i="2"/>
  <c r="L5111" i="2"/>
  <c r="L5110" i="2"/>
  <c r="L5109" i="2"/>
  <c r="L5108" i="2"/>
  <c r="L5107" i="2"/>
  <c r="L5106" i="2"/>
  <c r="L5105" i="2"/>
  <c r="L5104" i="2"/>
  <c r="L5103" i="2"/>
  <c r="L5102" i="2"/>
  <c r="L5101" i="2"/>
  <c r="L5100" i="2"/>
  <c r="L5099" i="2"/>
  <c r="L5098" i="2"/>
  <c r="L5097" i="2"/>
  <c r="L5096" i="2"/>
  <c r="L5095" i="2"/>
  <c r="L5094" i="2"/>
  <c r="L5093" i="2"/>
  <c r="L5092" i="2"/>
  <c r="L5091" i="2"/>
  <c r="L5090" i="2"/>
  <c r="L5089" i="2"/>
  <c r="L5088" i="2"/>
  <c r="L5087" i="2"/>
  <c r="L5086" i="2"/>
  <c r="L5085" i="2"/>
  <c r="L5084" i="2"/>
  <c r="L5083" i="2"/>
  <c r="L5082" i="2"/>
  <c r="L5081" i="2"/>
  <c r="L5080" i="2"/>
  <c r="L5079" i="2"/>
  <c r="L5078" i="2"/>
  <c r="L5077" i="2"/>
  <c r="L5076" i="2"/>
  <c r="L5075" i="2"/>
  <c r="L5074" i="2"/>
  <c r="L5073" i="2"/>
  <c r="L5072" i="2"/>
  <c r="L5071" i="2"/>
  <c r="L5070" i="2"/>
  <c r="L5069" i="2"/>
  <c r="L5068" i="2"/>
  <c r="L5067" i="2"/>
  <c r="L5066" i="2"/>
  <c r="L5065" i="2"/>
  <c r="L5064" i="2"/>
  <c r="L5063" i="2"/>
  <c r="L5062" i="2"/>
  <c r="L5061" i="2"/>
  <c r="L5060" i="2"/>
  <c r="L5059" i="2"/>
  <c r="L5058" i="2"/>
  <c r="L5057" i="2"/>
  <c r="L5056" i="2"/>
  <c r="L5055" i="2"/>
  <c r="L5054" i="2"/>
  <c r="L5053" i="2"/>
  <c r="L5052" i="2"/>
  <c r="L5051" i="2"/>
  <c r="L5050" i="2"/>
  <c r="L5049" i="2"/>
  <c r="L5048" i="2"/>
  <c r="L5047" i="2"/>
  <c r="L5046" i="2"/>
  <c r="L5045" i="2"/>
  <c r="L5044" i="2"/>
  <c r="L5043" i="2"/>
  <c r="L5042" i="2"/>
  <c r="L5041" i="2"/>
  <c r="L5040" i="2"/>
  <c r="L5039" i="2"/>
  <c r="L5038" i="2"/>
  <c r="L5037" i="2"/>
  <c r="L5036" i="2"/>
  <c r="L5035" i="2"/>
  <c r="L5034" i="2"/>
  <c r="L5033" i="2"/>
  <c r="L5032" i="2"/>
  <c r="L5031" i="2"/>
  <c r="L5030" i="2"/>
  <c r="L5029" i="2"/>
  <c r="L5028" i="2"/>
  <c r="L5027" i="2"/>
  <c r="L5026" i="2"/>
  <c r="L5025" i="2"/>
  <c r="L5024" i="2"/>
  <c r="L5023" i="2"/>
  <c r="L5022" i="2"/>
  <c r="L5021" i="2"/>
  <c r="L5020" i="2"/>
  <c r="L5019" i="2"/>
  <c r="L5018" i="2"/>
  <c r="L5017" i="2"/>
  <c r="L5016" i="2"/>
  <c r="L5015" i="2"/>
  <c r="L5014" i="2"/>
  <c r="L5013" i="2"/>
  <c r="L5012" i="2"/>
  <c r="L5011" i="2"/>
  <c r="L5010" i="2"/>
  <c r="L5009" i="2"/>
  <c r="L5008" i="2"/>
  <c r="L5007" i="2"/>
  <c r="L5006" i="2"/>
  <c r="L5005" i="2"/>
  <c r="L5004" i="2"/>
  <c r="L5003" i="2"/>
  <c r="L5002" i="2"/>
  <c r="L5001" i="2"/>
  <c r="L5000" i="2"/>
  <c r="L4999" i="2"/>
  <c r="L4998" i="2"/>
  <c r="L4997" i="2"/>
  <c r="L4996" i="2"/>
  <c r="L4995" i="2"/>
  <c r="L4994" i="2"/>
  <c r="L4993" i="2"/>
  <c r="L4992" i="2"/>
  <c r="L4991" i="2"/>
  <c r="L4990" i="2"/>
  <c r="L4989" i="2"/>
  <c r="L4988" i="2"/>
  <c r="L4987" i="2"/>
  <c r="L4986" i="2"/>
  <c r="L4985" i="2"/>
  <c r="L4984" i="2"/>
  <c r="L4983" i="2"/>
  <c r="L4982" i="2"/>
  <c r="L4981" i="2"/>
  <c r="L4980" i="2"/>
  <c r="L4979" i="2"/>
  <c r="L4978" i="2"/>
  <c r="L4977" i="2"/>
  <c r="L4976" i="2"/>
  <c r="L4975" i="2"/>
  <c r="L4974" i="2"/>
  <c r="L4973" i="2"/>
  <c r="L4972" i="2"/>
  <c r="L4971" i="2"/>
  <c r="L4970" i="2"/>
  <c r="L4969" i="2"/>
  <c r="L4968" i="2"/>
  <c r="L4967" i="2"/>
  <c r="L4966" i="2"/>
  <c r="L4965" i="2"/>
  <c r="L4964" i="2"/>
  <c r="L4963" i="2"/>
  <c r="L4962" i="2"/>
  <c r="L4961" i="2"/>
  <c r="L4960" i="2"/>
  <c r="L4959" i="2"/>
  <c r="L4958" i="2"/>
  <c r="L4957" i="2"/>
  <c r="L4956" i="2"/>
  <c r="L4955" i="2"/>
  <c r="L4954" i="2"/>
  <c r="L4953" i="2"/>
  <c r="L4952" i="2"/>
  <c r="L4951" i="2"/>
  <c r="L4950" i="2"/>
  <c r="L4949" i="2"/>
  <c r="L4948" i="2"/>
  <c r="L4947" i="2"/>
  <c r="L4946" i="2"/>
  <c r="L4945" i="2"/>
  <c r="L4944" i="2"/>
  <c r="L4943" i="2"/>
  <c r="L4942" i="2"/>
  <c r="L4941" i="2"/>
  <c r="L4940" i="2"/>
  <c r="L4939" i="2"/>
  <c r="L4938" i="2"/>
  <c r="L4937" i="2"/>
  <c r="L4936" i="2"/>
  <c r="L4935" i="2"/>
  <c r="L4934" i="2"/>
  <c r="L4933" i="2"/>
  <c r="L4932" i="2"/>
  <c r="L4931" i="2"/>
  <c r="L4930" i="2"/>
  <c r="L4929" i="2"/>
  <c r="L4928" i="2"/>
  <c r="L4927" i="2"/>
  <c r="L4926" i="2"/>
  <c r="L4925" i="2"/>
  <c r="L4924" i="2"/>
  <c r="L4923" i="2"/>
  <c r="L4922" i="2"/>
  <c r="L4921" i="2"/>
  <c r="L4920" i="2"/>
  <c r="L4919" i="2"/>
  <c r="L4918" i="2"/>
  <c r="L4917" i="2"/>
  <c r="L4916" i="2"/>
  <c r="L4915" i="2"/>
  <c r="L4914" i="2"/>
  <c r="L4913" i="2"/>
  <c r="L4912" i="2"/>
  <c r="L4911" i="2"/>
  <c r="L4910" i="2"/>
  <c r="L4909" i="2"/>
  <c r="L4908" i="2"/>
  <c r="L4907" i="2"/>
  <c r="L4906" i="2"/>
  <c r="L4905" i="2"/>
  <c r="L4904" i="2"/>
  <c r="L4903" i="2"/>
  <c r="L4902" i="2"/>
  <c r="L4901" i="2"/>
  <c r="L4900" i="2"/>
  <c r="L4899" i="2"/>
  <c r="L4898" i="2"/>
  <c r="L4897" i="2"/>
  <c r="L4896" i="2"/>
  <c r="L4895" i="2"/>
  <c r="L4894" i="2"/>
  <c r="L4893" i="2"/>
  <c r="L4892" i="2"/>
  <c r="L4891" i="2"/>
  <c r="L4890" i="2"/>
  <c r="L4889" i="2"/>
  <c r="L4888" i="2"/>
  <c r="L4887" i="2"/>
  <c r="L4886" i="2"/>
  <c r="L4885" i="2"/>
  <c r="L4884" i="2"/>
  <c r="L4883" i="2"/>
  <c r="L4882" i="2"/>
  <c r="L4881" i="2"/>
  <c r="L4880" i="2"/>
  <c r="L4879" i="2"/>
  <c r="L4878" i="2"/>
  <c r="L4877" i="2"/>
  <c r="L4876" i="2"/>
  <c r="L4875" i="2"/>
  <c r="L4874" i="2"/>
  <c r="L4873" i="2"/>
  <c r="L4872" i="2"/>
  <c r="L4871" i="2"/>
  <c r="L4870" i="2"/>
  <c r="L4869" i="2"/>
  <c r="L4868" i="2"/>
  <c r="L4867" i="2"/>
  <c r="L4866" i="2"/>
  <c r="L4865" i="2"/>
  <c r="L4864" i="2"/>
  <c r="L4863" i="2"/>
  <c r="L4862" i="2"/>
  <c r="L4861" i="2"/>
  <c r="L4860" i="2"/>
  <c r="L4859" i="2"/>
  <c r="L4858" i="2"/>
  <c r="L4857" i="2"/>
  <c r="L4856" i="2"/>
  <c r="L4855" i="2"/>
  <c r="L4854" i="2"/>
  <c r="L4853" i="2"/>
  <c r="L4852" i="2"/>
  <c r="L4851" i="2"/>
  <c r="L4850" i="2"/>
  <c r="L4849" i="2"/>
  <c r="L4848" i="2"/>
  <c r="L4847" i="2"/>
  <c r="L4846" i="2"/>
  <c r="L4845" i="2"/>
  <c r="L4844" i="2"/>
  <c r="L4843" i="2"/>
  <c r="L4842" i="2"/>
  <c r="L4841" i="2"/>
  <c r="L4840" i="2"/>
  <c r="L4839" i="2"/>
  <c r="L4838" i="2"/>
  <c r="L4837" i="2"/>
  <c r="L4836" i="2"/>
  <c r="L4835" i="2"/>
  <c r="L4834" i="2"/>
  <c r="L4833" i="2"/>
  <c r="L4832" i="2"/>
  <c r="L4831" i="2"/>
  <c r="L4830" i="2"/>
  <c r="L4829" i="2"/>
  <c r="L4828" i="2"/>
  <c r="L4827" i="2"/>
  <c r="L4826" i="2"/>
  <c r="L4825" i="2"/>
  <c r="L4824" i="2"/>
  <c r="L4823" i="2"/>
  <c r="L4822" i="2"/>
  <c r="L4821" i="2"/>
  <c r="L4820" i="2"/>
  <c r="L4819" i="2"/>
  <c r="L4818" i="2"/>
  <c r="L4817" i="2"/>
  <c r="L4816" i="2"/>
  <c r="L4815" i="2"/>
  <c r="L4814" i="2"/>
  <c r="L4813" i="2"/>
  <c r="L4812" i="2"/>
  <c r="L4811" i="2"/>
  <c r="L4810" i="2"/>
  <c r="L4809" i="2"/>
  <c r="L4808" i="2"/>
  <c r="L4807" i="2"/>
  <c r="L4806" i="2"/>
  <c r="L4805" i="2"/>
  <c r="L4804" i="2"/>
  <c r="L4803" i="2"/>
  <c r="L4802" i="2"/>
  <c r="L4801" i="2"/>
  <c r="L4800" i="2"/>
  <c r="L4799" i="2"/>
  <c r="L4798" i="2"/>
  <c r="L4797" i="2"/>
  <c r="L4796" i="2"/>
  <c r="L4795" i="2"/>
  <c r="L4794" i="2"/>
  <c r="L4793" i="2"/>
  <c r="L4792" i="2"/>
  <c r="L4791" i="2"/>
  <c r="L4790" i="2"/>
  <c r="L4789" i="2"/>
  <c r="L4788" i="2"/>
  <c r="L4787" i="2"/>
  <c r="L4786" i="2"/>
  <c r="L4785" i="2"/>
  <c r="L4784" i="2"/>
  <c r="L4783" i="2"/>
  <c r="L4782" i="2"/>
  <c r="L4781" i="2"/>
  <c r="L4780" i="2"/>
  <c r="L4779" i="2"/>
  <c r="L4778" i="2"/>
  <c r="L4777" i="2"/>
  <c r="L4776" i="2"/>
  <c r="L4775" i="2"/>
  <c r="L4774" i="2"/>
  <c r="L4773" i="2"/>
  <c r="L4772" i="2"/>
  <c r="L4771" i="2"/>
  <c r="L4770" i="2"/>
  <c r="L4769" i="2"/>
  <c r="L4768" i="2"/>
  <c r="L4767" i="2"/>
  <c r="L4766" i="2"/>
  <c r="L4765" i="2"/>
  <c r="L4764" i="2"/>
  <c r="L4763" i="2"/>
  <c r="L4762" i="2"/>
  <c r="L4761" i="2"/>
  <c r="L4760" i="2"/>
  <c r="L4759" i="2"/>
  <c r="L4758" i="2"/>
  <c r="L4757" i="2"/>
  <c r="L4756" i="2"/>
  <c r="L4755" i="2"/>
  <c r="L4754" i="2"/>
  <c r="L4753" i="2"/>
  <c r="L4752" i="2"/>
  <c r="L4751" i="2"/>
  <c r="L4750" i="2"/>
  <c r="L4749" i="2"/>
  <c r="L4748" i="2"/>
  <c r="L4747" i="2"/>
  <c r="L4746" i="2"/>
  <c r="L4745" i="2"/>
  <c r="L4744" i="2"/>
  <c r="L4743" i="2"/>
  <c r="L4742" i="2"/>
  <c r="L4741" i="2"/>
  <c r="L4740" i="2"/>
  <c r="L4739" i="2"/>
  <c r="L4738" i="2"/>
  <c r="L4737" i="2"/>
  <c r="L4736" i="2"/>
  <c r="L4735" i="2"/>
  <c r="L4734" i="2"/>
  <c r="L4733" i="2"/>
  <c r="L4732" i="2"/>
  <c r="L4731" i="2"/>
  <c r="L4730" i="2"/>
  <c r="L4729" i="2"/>
  <c r="L4728" i="2"/>
  <c r="L4727" i="2"/>
  <c r="L4726" i="2"/>
  <c r="L4725" i="2"/>
  <c r="L4724" i="2"/>
  <c r="L4723" i="2"/>
  <c r="L4722" i="2"/>
  <c r="L4721" i="2"/>
  <c r="L4720" i="2"/>
  <c r="L4719" i="2"/>
  <c r="L4718" i="2"/>
  <c r="L4717" i="2"/>
  <c r="L4716" i="2"/>
  <c r="L4715" i="2"/>
  <c r="L4714" i="2"/>
  <c r="L4713" i="2"/>
  <c r="L4712" i="2"/>
  <c r="L4711" i="2"/>
  <c r="L4710" i="2"/>
  <c r="L4709" i="2"/>
  <c r="L4708" i="2"/>
  <c r="L4707" i="2"/>
  <c r="L4706" i="2"/>
  <c r="L4705" i="2"/>
  <c r="L4704" i="2"/>
  <c r="L4703" i="2"/>
  <c r="L4702" i="2"/>
  <c r="L4701" i="2"/>
  <c r="L4700" i="2"/>
  <c r="L4699" i="2"/>
  <c r="L4698" i="2"/>
  <c r="L4697" i="2"/>
  <c r="L4696" i="2"/>
  <c r="L4695" i="2"/>
  <c r="L4694" i="2"/>
  <c r="L4693" i="2"/>
  <c r="L4692" i="2"/>
  <c r="L4691" i="2"/>
  <c r="L4690" i="2"/>
  <c r="L4689" i="2"/>
  <c r="L4688" i="2"/>
  <c r="L4687" i="2"/>
  <c r="L4686" i="2"/>
  <c r="L4685" i="2"/>
  <c r="L4684" i="2"/>
  <c r="L4683" i="2"/>
  <c r="L4682" i="2"/>
  <c r="L4681" i="2"/>
  <c r="L4680" i="2"/>
  <c r="L4679" i="2"/>
  <c r="L4678" i="2"/>
  <c r="L4677" i="2"/>
  <c r="L4676" i="2"/>
  <c r="L4675" i="2"/>
  <c r="L4674" i="2"/>
  <c r="L4673" i="2"/>
  <c r="L4672" i="2"/>
  <c r="L4671" i="2"/>
  <c r="L4670" i="2"/>
  <c r="L4669" i="2"/>
  <c r="L4668" i="2"/>
  <c r="L4667" i="2"/>
  <c r="L4666" i="2"/>
  <c r="L4665" i="2"/>
  <c r="L4664" i="2"/>
  <c r="L4663" i="2"/>
  <c r="L4662" i="2"/>
  <c r="L4661" i="2"/>
  <c r="L4660" i="2"/>
  <c r="L4659" i="2"/>
  <c r="L4658" i="2"/>
  <c r="L4657" i="2"/>
  <c r="L4656" i="2"/>
  <c r="L4655" i="2"/>
  <c r="L4654" i="2"/>
  <c r="L4653" i="2"/>
  <c r="L4652" i="2"/>
  <c r="L4651" i="2"/>
  <c r="L4650" i="2"/>
  <c r="L4649" i="2"/>
  <c r="L4648" i="2"/>
  <c r="L4647" i="2"/>
  <c r="L4646" i="2"/>
  <c r="L4645" i="2"/>
  <c r="L4644" i="2"/>
  <c r="L4643" i="2"/>
  <c r="L4642" i="2"/>
  <c r="L4641" i="2"/>
  <c r="L4640" i="2"/>
  <c r="L4639" i="2"/>
  <c r="L4638" i="2"/>
  <c r="L4637" i="2"/>
  <c r="L4636" i="2"/>
  <c r="L4635" i="2"/>
  <c r="L4634" i="2"/>
  <c r="L4633" i="2"/>
  <c r="L4632" i="2"/>
  <c r="L4631" i="2"/>
  <c r="L4630" i="2"/>
  <c r="L4629" i="2"/>
  <c r="L4628" i="2"/>
  <c r="L4627" i="2"/>
  <c r="L4626" i="2"/>
  <c r="L4625" i="2"/>
  <c r="L4624" i="2"/>
  <c r="L4623" i="2"/>
  <c r="L4622" i="2"/>
  <c r="L4621" i="2"/>
  <c r="L4620" i="2"/>
  <c r="L4619" i="2"/>
  <c r="L4618" i="2"/>
  <c r="L4617" i="2"/>
  <c r="L4616" i="2"/>
  <c r="L4615" i="2"/>
  <c r="L4614" i="2"/>
  <c r="L4613" i="2"/>
  <c r="L4612" i="2"/>
  <c r="L4611" i="2"/>
  <c r="L4610" i="2"/>
  <c r="L4609" i="2"/>
  <c r="L4608" i="2"/>
  <c r="L4607" i="2"/>
  <c r="L4606" i="2"/>
  <c r="L4605" i="2"/>
  <c r="L4604" i="2"/>
  <c r="L4603" i="2"/>
  <c r="L4602" i="2"/>
  <c r="L4601" i="2"/>
  <c r="L4600" i="2"/>
  <c r="L4599" i="2"/>
  <c r="L4598" i="2"/>
  <c r="L4597" i="2"/>
  <c r="L4596" i="2"/>
  <c r="L4595" i="2"/>
  <c r="L4594" i="2"/>
  <c r="L4593" i="2"/>
  <c r="L4592" i="2"/>
  <c r="L4591" i="2"/>
  <c r="L4590" i="2"/>
  <c r="L4589" i="2"/>
  <c r="L4588" i="2"/>
  <c r="L4587" i="2"/>
  <c r="L4586" i="2"/>
  <c r="L4585" i="2"/>
  <c r="L4584" i="2"/>
  <c r="L4583" i="2"/>
  <c r="L4582" i="2"/>
  <c r="L4581" i="2"/>
  <c r="L4580" i="2"/>
  <c r="L4579" i="2"/>
  <c r="L4578" i="2"/>
  <c r="L4577" i="2"/>
  <c r="L4576" i="2"/>
  <c r="L4575" i="2"/>
  <c r="L4574" i="2"/>
  <c r="L4573" i="2"/>
  <c r="L4572" i="2"/>
  <c r="L4571" i="2"/>
  <c r="L4570" i="2"/>
  <c r="L4569" i="2"/>
  <c r="L4568" i="2"/>
  <c r="L4567" i="2"/>
  <c r="L4566" i="2"/>
  <c r="L4565" i="2"/>
  <c r="L4564" i="2"/>
  <c r="L4563" i="2"/>
  <c r="L4562" i="2"/>
  <c r="L4561" i="2"/>
  <c r="L4560" i="2"/>
  <c r="L4559" i="2"/>
  <c r="L4558" i="2"/>
  <c r="L4557" i="2"/>
  <c r="L4556" i="2"/>
  <c r="L4555" i="2"/>
  <c r="L4554" i="2"/>
  <c r="L4553" i="2"/>
  <c r="L4552" i="2"/>
  <c r="L4551" i="2"/>
  <c r="L4550" i="2"/>
  <c r="L4549" i="2"/>
  <c r="L4548" i="2"/>
  <c r="L4547" i="2"/>
  <c r="L4546" i="2"/>
  <c r="L4545" i="2"/>
  <c r="L4544" i="2"/>
  <c r="L4543" i="2"/>
  <c r="L4542" i="2"/>
  <c r="L4541" i="2"/>
  <c r="L4540" i="2"/>
  <c r="L4539" i="2"/>
  <c r="L4538" i="2"/>
  <c r="L4537" i="2"/>
  <c r="L4536" i="2"/>
  <c r="L4535" i="2"/>
  <c r="L4534" i="2"/>
  <c r="L4533" i="2"/>
  <c r="L4532" i="2"/>
  <c r="L4531" i="2"/>
  <c r="L4530" i="2"/>
  <c r="L4529" i="2"/>
  <c r="L4528" i="2"/>
  <c r="L4527" i="2"/>
  <c r="L4526" i="2"/>
  <c r="L4525" i="2"/>
  <c r="L4524" i="2"/>
  <c r="L4523" i="2"/>
  <c r="L4522" i="2"/>
  <c r="L4521" i="2"/>
  <c r="L4520" i="2"/>
  <c r="L4519" i="2"/>
  <c r="L4518" i="2"/>
  <c r="L4517" i="2"/>
  <c r="L4516" i="2"/>
  <c r="L4515" i="2"/>
  <c r="L4514" i="2"/>
  <c r="L4513" i="2"/>
  <c r="L4512" i="2"/>
  <c r="L4511" i="2"/>
  <c r="L4510" i="2"/>
  <c r="L4509" i="2"/>
  <c r="L4508" i="2"/>
  <c r="L4507" i="2"/>
  <c r="L4506" i="2"/>
  <c r="L4505" i="2"/>
  <c r="L4504" i="2"/>
  <c r="L4503" i="2"/>
  <c r="L4502" i="2"/>
  <c r="L4501" i="2"/>
  <c r="L4500" i="2"/>
  <c r="L4499" i="2"/>
  <c r="L4498" i="2"/>
  <c r="L4497" i="2"/>
  <c r="L4496" i="2"/>
  <c r="L4495" i="2"/>
  <c r="L4494" i="2"/>
  <c r="L4493" i="2"/>
  <c r="L4492" i="2"/>
  <c r="L4491" i="2"/>
  <c r="L4490" i="2"/>
  <c r="L4489" i="2"/>
  <c r="L4488" i="2"/>
  <c r="L4487" i="2"/>
  <c r="L4486" i="2"/>
  <c r="L4485" i="2"/>
  <c r="L4484" i="2"/>
  <c r="L4483" i="2"/>
  <c r="L4482" i="2"/>
  <c r="L4481" i="2"/>
  <c r="L4480" i="2"/>
  <c r="L4479" i="2"/>
  <c r="L4478" i="2"/>
  <c r="L4477" i="2"/>
  <c r="L4476" i="2"/>
  <c r="L4475" i="2"/>
  <c r="L4474" i="2"/>
  <c r="L4473" i="2"/>
  <c r="L4472" i="2"/>
  <c r="L4471" i="2"/>
  <c r="L4470" i="2"/>
  <c r="L4469" i="2"/>
  <c r="L4468" i="2"/>
  <c r="L4467" i="2"/>
  <c r="L4466" i="2"/>
  <c r="L4465" i="2"/>
  <c r="L4464" i="2"/>
  <c r="L4463" i="2"/>
  <c r="L4462" i="2"/>
  <c r="L4461" i="2"/>
  <c r="L4460" i="2"/>
  <c r="L4459" i="2"/>
  <c r="L4458" i="2"/>
  <c r="L4457" i="2"/>
  <c r="L4456" i="2"/>
  <c r="L4455" i="2"/>
  <c r="L4454" i="2"/>
  <c r="L4453" i="2"/>
  <c r="L4452" i="2"/>
  <c r="L4451" i="2"/>
  <c r="L4450" i="2"/>
  <c r="L4449" i="2"/>
  <c r="L4448" i="2"/>
  <c r="L4447" i="2"/>
  <c r="L4446" i="2"/>
  <c r="L4445" i="2"/>
  <c r="L4444" i="2"/>
  <c r="L4443" i="2"/>
  <c r="L4442" i="2"/>
  <c r="L4441" i="2"/>
  <c r="L4440" i="2"/>
  <c r="L4439" i="2"/>
  <c r="L4438" i="2"/>
  <c r="L4437" i="2"/>
  <c r="L4436" i="2"/>
  <c r="L4435" i="2"/>
  <c r="L4434" i="2"/>
  <c r="L4433" i="2"/>
  <c r="L4432" i="2"/>
  <c r="L4431" i="2"/>
  <c r="L4430" i="2"/>
  <c r="L4429" i="2"/>
  <c r="L4428" i="2"/>
  <c r="L4427" i="2"/>
  <c r="L4426" i="2"/>
  <c r="L4425" i="2"/>
  <c r="L4424" i="2"/>
  <c r="L4423" i="2"/>
  <c r="L4422" i="2"/>
  <c r="L4421" i="2"/>
  <c r="L4420" i="2"/>
  <c r="L4419" i="2"/>
  <c r="L4418" i="2"/>
  <c r="L4417" i="2"/>
  <c r="L4416" i="2"/>
  <c r="L4415" i="2"/>
  <c r="L4414" i="2"/>
  <c r="L4413" i="2"/>
  <c r="L4412" i="2"/>
  <c r="L4411" i="2"/>
  <c r="L4410" i="2"/>
  <c r="L4409" i="2"/>
  <c r="L4408" i="2"/>
  <c r="L4407" i="2"/>
  <c r="L4406" i="2"/>
  <c r="L4405" i="2"/>
  <c r="L4404" i="2"/>
  <c r="L4403" i="2"/>
  <c r="L4402" i="2"/>
  <c r="L4401" i="2"/>
  <c r="L4400" i="2"/>
  <c r="L4399" i="2"/>
  <c r="L4398" i="2"/>
  <c r="L4397" i="2"/>
  <c r="L4396" i="2"/>
  <c r="L4395" i="2"/>
  <c r="L4394" i="2"/>
  <c r="L4393" i="2"/>
  <c r="L4392" i="2"/>
  <c r="L4391" i="2"/>
  <c r="L4390" i="2"/>
  <c r="L4389" i="2"/>
  <c r="L4388" i="2"/>
  <c r="L4387" i="2"/>
  <c r="L4386" i="2"/>
  <c r="L4385" i="2"/>
  <c r="L4384" i="2"/>
  <c r="L4383" i="2"/>
  <c r="L4382" i="2"/>
  <c r="L4381" i="2"/>
  <c r="L4380" i="2"/>
  <c r="L4379" i="2"/>
  <c r="L4378" i="2"/>
  <c r="L4377" i="2"/>
  <c r="L4376" i="2"/>
  <c r="L4375" i="2"/>
  <c r="L4374" i="2"/>
  <c r="L4373" i="2"/>
  <c r="L4372" i="2"/>
  <c r="L4371" i="2"/>
  <c r="L4370" i="2"/>
  <c r="L4369" i="2"/>
  <c r="L4368" i="2"/>
  <c r="L4367" i="2"/>
  <c r="L4366" i="2"/>
  <c r="L4365" i="2"/>
  <c r="L4364" i="2"/>
  <c r="L4363" i="2"/>
  <c r="L4362" i="2"/>
  <c r="L4361" i="2"/>
  <c r="L4360" i="2"/>
  <c r="L4359" i="2"/>
  <c r="L4358" i="2"/>
  <c r="L4357" i="2"/>
  <c r="L4356" i="2"/>
  <c r="L4355" i="2"/>
  <c r="L4354" i="2"/>
  <c r="L4353" i="2"/>
  <c r="L4352" i="2"/>
  <c r="L4351" i="2"/>
  <c r="L4350" i="2"/>
  <c r="L4349" i="2"/>
  <c r="L4348" i="2"/>
  <c r="L4347" i="2"/>
  <c r="L4346" i="2"/>
  <c r="L4345" i="2"/>
  <c r="L4344" i="2"/>
  <c r="L4343" i="2"/>
  <c r="L4342" i="2"/>
  <c r="L4341" i="2"/>
  <c r="L4340" i="2"/>
  <c r="L4339" i="2"/>
  <c r="L4338" i="2"/>
  <c r="L4337" i="2"/>
  <c r="L4336" i="2"/>
  <c r="L4335" i="2"/>
  <c r="L4334" i="2"/>
  <c r="L4333" i="2"/>
  <c r="L4332" i="2"/>
  <c r="L4331" i="2"/>
  <c r="L4330" i="2"/>
  <c r="L4329" i="2"/>
  <c r="L4328" i="2"/>
  <c r="L4327" i="2"/>
  <c r="L4326" i="2"/>
  <c r="L4325" i="2"/>
  <c r="L4324" i="2"/>
  <c r="L4323" i="2"/>
  <c r="L4322" i="2"/>
  <c r="L4321" i="2"/>
  <c r="L4320" i="2"/>
  <c r="L4319" i="2"/>
  <c r="L4318" i="2"/>
  <c r="L4317" i="2"/>
  <c r="L4316" i="2"/>
  <c r="L4315" i="2"/>
  <c r="L4314" i="2"/>
  <c r="L4313" i="2"/>
  <c r="L4312" i="2"/>
  <c r="L4311" i="2"/>
  <c r="L4310" i="2"/>
  <c r="L4309" i="2"/>
  <c r="L4308" i="2"/>
  <c r="L4307" i="2"/>
  <c r="L4306" i="2"/>
  <c r="L4305" i="2"/>
  <c r="L4304" i="2"/>
  <c r="L4303" i="2"/>
  <c r="L4302" i="2"/>
  <c r="L4301" i="2"/>
  <c r="L4300" i="2"/>
  <c r="L4299" i="2"/>
  <c r="L4298" i="2"/>
  <c r="L4297" i="2"/>
  <c r="L4296" i="2"/>
  <c r="L4295" i="2"/>
  <c r="L4294" i="2"/>
  <c r="L4293" i="2"/>
  <c r="L4292" i="2"/>
  <c r="L4291" i="2"/>
  <c r="L4290" i="2"/>
  <c r="L4289" i="2"/>
  <c r="L4288" i="2"/>
  <c r="L4287" i="2"/>
  <c r="L4286" i="2"/>
  <c r="L4285" i="2"/>
  <c r="L4284" i="2"/>
  <c r="L4283" i="2"/>
  <c r="L4282" i="2"/>
  <c r="L4281" i="2"/>
  <c r="L4280" i="2"/>
  <c r="L4279" i="2"/>
  <c r="L4278" i="2"/>
  <c r="L4277" i="2"/>
  <c r="L4276" i="2"/>
  <c r="L4275" i="2"/>
  <c r="L4274" i="2"/>
  <c r="L4273" i="2"/>
  <c r="L4272" i="2"/>
  <c r="L4271" i="2"/>
  <c r="L4270" i="2"/>
  <c r="L4269" i="2"/>
  <c r="L4268" i="2"/>
  <c r="L4267" i="2"/>
  <c r="L4266" i="2"/>
  <c r="L4265" i="2"/>
  <c r="L4264" i="2"/>
  <c r="L4263" i="2"/>
  <c r="L4262" i="2"/>
  <c r="L4261" i="2"/>
  <c r="L4260" i="2"/>
  <c r="L4259" i="2"/>
  <c r="L4258" i="2"/>
  <c r="L4257" i="2"/>
  <c r="L4256" i="2"/>
  <c r="L4255" i="2"/>
  <c r="L4254" i="2"/>
  <c r="L4253" i="2"/>
  <c r="L4252" i="2"/>
  <c r="L4251" i="2"/>
  <c r="L4250" i="2"/>
  <c r="L4249" i="2"/>
  <c r="L4248" i="2"/>
  <c r="L4247" i="2"/>
  <c r="L4246" i="2"/>
  <c r="L4245" i="2"/>
  <c r="L4244" i="2"/>
  <c r="L4243" i="2"/>
  <c r="L4242" i="2"/>
  <c r="L4241" i="2"/>
  <c r="L4240" i="2"/>
  <c r="L4239" i="2"/>
  <c r="L4238" i="2"/>
  <c r="L4237" i="2"/>
  <c r="L4236" i="2"/>
  <c r="L4235" i="2"/>
  <c r="L4234" i="2"/>
  <c r="L4233" i="2"/>
  <c r="L4232" i="2"/>
  <c r="L4231" i="2"/>
  <c r="L4230" i="2"/>
  <c r="L4229" i="2"/>
  <c r="L4228" i="2"/>
  <c r="L4227" i="2"/>
  <c r="L4226" i="2"/>
  <c r="L4225" i="2"/>
  <c r="L4224" i="2"/>
  <c r="L4223" i="2"/>
  <c r="L4222" i="2"/>
  <c r="L4221" i="2"/>
  <c r="L4220" i="2"/>
  <c r="L4219" i="2"/>
  <c r="L4218" i="2"/>
  <c r="L4217" i="2"/>
  <c r="L4216" i="2"/>
  <c r="L4215" i="2"/>
  <c r="L4214" i="2"/>
  <c r="L4213" i="2"/>
  <c r="L4212" i="2"/>
  <c r="L4211" i="2"/>
  <c r="L4210" i="2"/>
  <c r="L4209" i="2"/>
  <c r="L4208" i="2"/>
  <c r="L4207" i="2"/>
  <c r="L4206" i="2"/>
  <c r="L4205" i="2"/>
  <c r="L4204" i="2"/>
  <c r="L4203" i="2"/>
  <c r="L4202" i="2"/>
  <c r="L4201" i="2"/>
  <c r="L4200" i="2"/>
  <c r="L4199" i="2"/>
  <c r="L4198" i="2"/>
  <c r="L4197" i="2"/>
  <c r="L4196" i="2"/>
  <c r="L4195" i="2"/>
  <c r="L4194" i="2"/>
  <c r="L4193" i="2"/>
  <c r="L4192" i="2"/>
  <c r="L4191" i="2"/>
  <c r="L4190" i="2"/>
  <c r="L4189" i="2"/>
  <c r="L4188" i="2"/>
  <c r="L4187" i="2"/>
  <c r="L4186" i="2"/>
  <c r="L4185" i="2"/>
  <c r="L4184" i="2"/>
  <c r="L4183" i="2"/>
  <c r="L4182" i="2"/>
  <c r="L4181" i="2"/>
  <c r="L4180" i="2"/>
  <c r="L4179" i="2"/>
  <c r="L4178" i="2"/>
  <c r="L4177" i="2"/>
  <c r="L4176" i="2"/>
  <c r="L4175" i="2"/>
  <c r="L4174" i="2"/>
  <c r="L4173" i="2"/>
  <c r="L4172" i="2"/>
  <c r="L4171" i="2"/>
  <c r="L4170" i="2"/>
  <c r="L4169" i="2"/>
  <c r="L4168" i="2"/>
  <c r="L4167" i="2"/>
  <c r="L4166" i="2"/>
  <c r="L4165" i="2"/>
  <c r="L4164" i="2"/>
  <c r="L4163" i="2"/>
  <c r="L4162" i="2"/>
  <c r="L4161" i="2"/>
  <c r="L4160" i="2"/>
  <c r="L4159" i="2"/>
  <c r="L4158" i="2"/>
  <c r="L4157" i="2"/>
  <c r="L4156" i="2"/>
  <c r="L4155" i="2"/>
  <c r="L4154" i="2"/>
  <c r="L4153" i="2"/>
  <c r="L4152" i="2"/>
  <c r="L4151" i="2"/>
  <c r="L4150" i="2"/>
  <c r="L4149" i="2"/>
  <c r="L4148" i="2"/>
  <c r="L4147" i="2"/>
  <c r="L4146" i="2"/>
  <c r="L4145" i="2"/>
  <c r="L4144" i="2"/>
  <c r="L4143" i="2"/>
  <c r="L4142" i="2"/>
  <c r="L4141" i="2"/>
  <c r="L4140" i="2"/>
  <c r="L4139" i="2"/>
  <c r="L4138" i="2"/>
  <c r="L4137" i="2"/>
  <c r="L4136" i="2"/>
  <c r="L4135" i="2"/>
  <c r="L4134" i="2"/>
  <c r="L4133" i="2"/>
  <c r="L4132" i="2"/>
  <c r="L4131" i="2"/>
  <c r="L4130" i="2"/>
  <c r="L4129" i="2"/>
  <c r="L4128" i="2"/>
  <c r="L4127" i="2"/>
  <c r="L4126" i="2"/>
  <c r="L4125" i="2"/>
  <c r="L4124" i="2"/>
  <c r="L4123" i="2"/>
  <c r="L4122" i="2"/>
  <c r="L4121" i="2"/>
  <c r="L4120" i="2"/>
  <c r="L4119" i="2"/>
  <c r="L4118" i="2"/>
  <c r="L4117" i="2"/>
  <c r="L4116" i="2"/>
  <c r="L4115" i="2"/>
  <c r="L4114" i="2"/>
  <c r="L4113" i="2"/>
  <c r="L4112" i="2"/>
  <c r="L4111" i="2"/>
  <c r="L4110" i="2"/>
  <c r="L4109" i="2"/>
  <c r="L4108" i="2"/>
  <c r="L4107" i="2"/>
  <c r="L4106" i="2"/>
  <c r="L4105" i="2"/>
  <c r="L4104" i="2"/>
  <c r="L4103" i="2"/>
  <c r="L4102" i="2"/>
  <c r="L4101" i="2"/>
  <c r="L4100" i="2"/>
  <c r="L4099" i="2"/>
  <c r="L4098" i="2"/>
  <c r="L4097" i="2"/>
  <c r="L4096" i="2"/>
  <c r="L4095" i="2"/>
  <c r="L4094" i="2"/>
  <c r="L4093" i="2"/>
  <c r="L4092" i="2"/>
  <c r="L4091" i="2"/>
  <c r="L4090" i="2"/>
  <c r="L4089" i="2"/>
  <c r="L4088" i="2"/>
  <c r="L4087" i="2"/>
  <c r="L4086" i="2"/>
  <c r="L4085" i="2"/>
  <c r="L4084" i="2"/>
  <c r="L4083" i="2"/>
  <c r="L4082" i="2"/>
  <c r="L4081" i="2"/>
  <c r="L4080" i="2"/>
  <c r="L4079" i="2"/>
  <c r="L4078" i="2"/>
  <c r="L4077" i="2"/>
  <c r="L4076" i="2"/>
  <c r="L4075" i="2"/>
  <c r="L4074" i="2"/>
  <c r="L4073" i="2"/>
  <c r="L4072" i="2"/>
  <c r="L4071" i="2"/>
  <c r="L4070" i="2"/>
  <c r="L4069" i="2"/>
  <c r="L4068" i="2"/>
  <c r="L4067" i="2"/>
  <c r="L4066" i="2"/>
  <c r="L4065" i="2"/>
  <c r="L4064" i="2"/>
  <c r="L4063" i="2"/>
  <c r="L4062" i="2"/>
  <c r="L4061" i="2"/>
  <c r="L4060" i="2"/>
  <c r="L4059" i="2"/>
  <c r="L4058" i="2"/>
  <c r="L4057" i="2"/>
  <c r="L4056" i="2"/>
  <c r="L4055" i="2"/>
  <c r="L4054" i="2"/>
  <c r="L4053" i="2"/>
  <c r="L4052" i="2"/>
  <c r="L4051" i="2"/>
  <c r="L4050" i="2"/>
  <c r="L4049" i="2"/>
  <c r="L4048" i="2"/>
  <c r="L4047" i="2"/>
  <c r="L4046" i="2"/>
  <c r="L4045" i="2"/>
  <c r="L4044" i="2"/>
  <c r="L4043" i="2"/>
  <c r="L4042" i="2"/>
  <c r="L4041" i="2"/>
  <c r="L4040" i="2"/>
  <c r="L4039" i="2"/>
  <c r="L4038" i="2"/>
  <c r="L4037" i="2"/>
  <c r="L4036" i="2"/>
  <c r="L4035" i="2"/>
  <c r="L4034" i="2"/>
  <c r="L4033" i="2"/>
  <c r="L4032" i="2"/>
  <c r="L4031" i="2"/>
  <c r="L4030" i="2"/>
  <c r="L4029" i="2"/>
  <c r="L4028" i="2"/>
  <c r="L4027" i="2"/>
  <c r="L4026" i="2"/>
  <c r="L4025" i="2"/>
  <c r="L4024" i="2"/>
  <c r="L4023" i="2"/>
  <c r="L4022" i="2"/>
  <c r="L4021" i="2"/>
  <c r="L4020" i="2"/>
  <c r="L4019" i="2"/>
  <c r="L4018" i="2"/>
  <c r="L4017" i="2"/>
  <c r="L4016" i="2"/>
  <c r="L4015" i="2"/>
  <c r="L4014" i="2"/>
  <c r="L4013" i="2"/>
  <c r="L4012" i="2"/>
  <c r="L4011" i="2"/>
  <c r="L4010" i="2"/>
  <c r="L4009" i="2"/>
  <c r="L4008" i="2"/>
  <c r="L4007" i="2"/>
  <c r="L4006" i="2"/>
  <c r="L4005" i="2"/>
  <c r="L4004" i="2"/>
  <c r="L4003" i="2"/>
  <c r="L4002" i="2"/>
  <c r="L4001" i="2"/>
  <c r="L4000" i="2"/>
  <c r="L3999" i="2"/>
  <c r="L3998" i="2"/>
  <c r="L3997" i="2"/>
  <c r="L3996" i="2"/>
  <c r="L3995" i="2"/>
  <c r="L3994" i="2"/>
  <c r="L3993" i="2"/>
  <c r="L3992" i="2"/>
  <c r="L3991" i="2"/>
  <c r="L3990" i="2"/>
  <c r="L3989" i="2"/>
  <c r="L3988" i="2"/>
  <c r="L3987" i="2"/>
  <c r="L3986" i="2"/>
  <c r="L3985" i="2"/>
  <c r="L3984" i="2"/>
  <c r="L3983" i="2"/>
  <c r="L3982" i="2"/>
  <c r="L3981" i="2"/>
  <c r="L3980" i="2"/>
  <c r="L3979" i="2"/>
  <c r="L3978" i="2"/>
  <c r="L3977" i="2"/>
  <c r="L3976" i="2"/>
  <c r="L3975" i="2"/>
  <c r="L3974" i="2"/>
  <c r="L3973" i="2"/>
  <c r="L3972" i="2"/>
  <c r="L3971" i="2"/>
  <c r="L3970" i="2"/>
  <c r="L3969" i="2"/>
  <c r="L3968" i="2"/>
  <c r="L3967" i="2"/>
  <c r="L3966" i="2"/>
  <c r="L3965" i="2"/>
  <c r="L3964" i="2"/>
  <c r="L3963" i="2"/>
  <c r="L3962" i="2"/>
  <c r="L3961" i="2"/>
  <c r="L3960" i="2"/>
  <c r="L3959" i="2"/>
  <c r="L3958" i="2"/>
  <c r="L3957" i="2"/>
  <c r="L3956" i="2"/>
  <c r="L3955" i="2"/>
  <c r="L3954" i="2"/>
  <c r="L3953" i="2"/>
  <c r="L3952" i="2"/>
  <c r="L3951" i="2"/>
  <c r="L3950" i="2"/>
  <c r="L3949" i="2"/>
  <c r="L3948" i="2"/>
  <c r="L3947" i="2"/>
  <c r="L3946" i="2"/>
  <c r="L3945" i="2"/>
  <c r="L3944" i="2"/>
  <c r="L3943" i="2"/>
  <c r="L3942" i="2"/>
  <c r="L3941" i="2"/>
  <c r="L3940" i="2"/>
  <c r="L3939" i="2"/>
  <c r="L3938" i="2"/>
  <c r="L3937" i="2"/>
  <c r="L3936" i="2"/>
  <c r="L3935" i="2"/>
  <c r="L3934" i="2"/>
  <c r="L3933" i="2"/>
  <c r="L3932" i="2"/>
  <c r="L3931" i="2"/>
  <c r="L3930" i="2"/>
  <c r="L3929" i="2"/>
  <c r="L3928" i="2"/>
  <c r="L3927" i="2"/>
  <c r="L3926" i="2"/>
  <c r="L3925" i="2"/>
  <c r="L3924" i="2"/>
  <c r="L3923" i="2"/>
  <c r="L3922" i="2"/>
  <c r="L3921" i="2"/>
  <c r="L3920" i="2"/>
  <c r="L3919" i="2"/>
  <c r="L3918" i="2"/>
  <c r="L3917" i="2"/>
  <c r="L3916" i="2"/>
  <c r="L3915" i="2"/>
  <c r="L3914" i="2"/>
  <c r="L3913" i="2"/>
  <c r="L3912" i="2"/>
  <c r="L3911" i="2"/>
  <c r="L3910" i="2"/>
  <c r="L3909" i="2"/>
  <c r="L3908" i="2"/>
  <c r="L3907" i="2"/>
  <c r="L3906" i="2"/>
  <c r="L3905" i="2"/>
  <c r="L3904" i="2"/>
  <c r="L3903" i="2"/>
  <c r="L3902" i="2"/>
  <c r="L3901" i="2"/>
  <c r="L3900" i="2"/>
  <c r="L3899" i="2"/>
  <c r="L3898" i="2"/>
  <c r="L3897" i="2"/>
  <c r="L3896" i="2"/>
  <c r="L3895" i="2"/>
  <c r="L3894" i="2"/>
  <c r="L3893" i="2"/>
  <c r="L3892" i="2"/>
  <c r="L3891" i="2"/>
  <c r="L3890" i="2"/>
  <c r="L3889" i="2"/>
  <c r="L3888" i="2"/>
  <c r="L3887" i="2"/>
  <c r="L3886" i="2"/>
  <c r="L3885" i="2"/>
  <c r="L3884" i="2"/>
  <c r="L3883" i="2"/>
  <c r="L3882" i="2"/>
  <c r="L3881" i="2"/>
  <c r="L3880" i="2"/>
  <c r="L3879" i="2"/>
  <c r="L3878" i="2"/>
  <c r="L3877" i="2"/>
  <c r="L3876" i="2"/>
  <c r="L3875" i="2"/>
  <c r="L3874" i="2"/>
  <c r="L3873" i="2"/>
  <c r="L3872" i="2"/>
  <c r="L3871" i="2"/>
  <c r="L3870" i="2"/>
  <c r="L3869" i="2"/>
  <c r="L3868" i="2"/>
  <c r="L3867" i="2"/>
  <c r="L3866" i="2"/>
  <c r="L3865" i="2"/>
  <c r="L3864" i="2"/>
  <c r="L3863" i="2"/>
  <c r="L3862" i="2"/>
  <c r="L3861" i="2"/>
  <c r="L3860" i="2"/>
  <c r="L3859" i="2"/>
  <c r="L3858" i="2"/>
  <c r="L3857" i="2"/>
  <c r="L3856" i="2"/>
  <c r="L3855" i="2"/>
  <c r="L3854" i="2"/>
  <c r="L3853" i="2"/>
  <c r="L3852" i="2"/>
  <c r="L3851" i="2"/>
  <c r="L3850" i="2"/>
  <c r="L3849" i="2"/>
  <c r="L3848" i="2"/>
  <c r="L3847" i="2"/>
  <c r="L3846" i="2"/>
  <c r="L3845" i="2"/>
  <c r="L3844" i="2"/>
  <c r="L3843" i="2"/>
  <c r="L3842" i="2"/>
  <c r="L3841" i="2"/>
  <c r="L3840" i="2"/>
  <c r="L3839" i="2"/>
  <c r="L3838" i="2"/>
  <c r="L3837" i="2"/>
  <c r="L3836" i="2"/>
  <c r="L3835" i="2"/>
  <c r="L3834" i="2"/>
  <c r="L3833" i="2"/>
  <c r="L3832" i="2"/>
  <c r="L3831" i="2"/>
  <c r="L3830" i="2"/>
  <c r="L3829" i="2"/>
  <c r="L3828" i="2"/>
  <c r="L3827" i="2"/>
  <c r="L3826" i="2"/>
  <c r="L3825" i="2"/>
  <c r="L3824" i="2"/>
  <c r="L3823" i="2"/>
  <c r="L3822" i="2"/>
  <c r="L3821" i="2"/>
  <c r="L3820" i="2"/>
  <c r="L3819" i="2"/>
  <c r="L3818" i="2"/>
  <c r="L3817" i="2"/>
  <c r="L3816" i="2"/>
  <c r="L3815" i="2"/>
  <c r="L3814" i="2"/>
  <c r="L3813" i="2"/>
  <c r="L3812" i="2"/>
  <c r="L3811" i="2"/>
  <c r="L3810" i="2"/>
  <c r="L3809" i="2"/>
  <c r="L3808" i="2"/>
  <c r="L3807" i="2"/>
  <c r="L3806" i="2"/>
  <c r="L3805" i="2"/>
  <c r="L3804" i="2"/>
  <c r="L3803" i="2"/>
  <c r="L3802" i="2"/>
  <c r="L3801" i="2"/>
  <c r="L3800" i="2"/>
  <c r="L3799" i="2"/>
  <c r="L3798" i="2"/>
  <c r="L3797" i="2"/>
  <c r="L3796" i="2"/>
  <c r="L3795" i="2"/>
  <c r="L3794" i="2"/>
  <c r="L3793" i="2"/>
  <c r="L3792" i="2"/>
  <c r="L3791" i="2"/>
  <c r="L3790" i="2"/>
  <c r="L3789" i="2"/>
  <c r="L3788" i="2"/>
  <c r="L3787" i="2"/>
  <c r="L3786" i="2"/>
  <c r="L3785" i="2"/>
  <c r="L3784" i="2"/>
  <c r="L3783" i="2"/>
  <c r="L3782" i="2"/>
  <c r="L3781" i="2"/>
  <c r="L3780" i="2"/>
  <c r="L3779" i="2"/>
  <c r="L3778" i="2"/>
  <c r="L3777" i="2"/>
  <c r="L3776" i="2"/>
  <c r="L3775" i="2"/>
  <c r="L3774" i="2"/>
  <c r="L3773" i="2"/>
  <c r="L3772" i="2"/>
  <c r="L3771" i="2"/>
  <c r="L3770" i="2"/>
  <c r="L3769" i="2"/>
  <c r="L3768" i="2"/>
  <c r="L3767" i="2"/>
  <c r="L3766" i="2"/>
  <c r="L3765" i="2"/>
  <c r="L3764" i="2"/>
  <c r="L3763" i="2"/>
  <c r="L3762" i="2"/>
  <c r="L3761" i="2"/>
  <c r="L3760" i="2"/>
  <c r="L3759" i="2"/>
  <c r="L3758" i="2"/>
  <c r="L3757" i="2"/>
  <c r="L3756" i="2"/>
  <c r="L3755" i="2"/>
  <c r="L3754" i="2"/>
  <c r="L3753" i="2"/>
  <c r="L3752" i="2"/>
  <c r="L3751" i="2"/>
  <c r="L3750" i="2"/>
  <c r="L3749" i="2"/>
  <c r="L3748" i="2"/>
  <c r="L3747" i="2"/>
  <c r="L3746" i="2"/>
  <c r="L3745" i="2"/>
  <c r="L3744" i="2"/>
  <c r="L3743" i="2"/>
  <c r="L3742" i="2"/>
  <c r="L3741" i="2"/>
  <c r="L3740" i="2"/>
  <c r="L3739" i="2"/>
  <c r="L3738" i="2"/>
  <c r="L3737" i="2"/>
  <c r="L3736" i="2"/>
  <c r="L3735" i="2"/>
  <c r="L3734" i="2"/>
  <c r="L3733" i="2"/>
  <c r="L3732" i="2"/>
  <c r="L3731" i="2"/>
  <c r="L3730" i="2"/>
  <c r="L3729" i="2"/>
  <c r="L3728" i="2"/>
  <c r="L3727" i="2"/>
  <c r="L3726" i="2"/>
  <c r="L3725" i="2"/>
  <c r="L3724" i="2"/>
  <c r="L3723" i="2"/>
  <c r="L3722" i="2"/>
  <c r="L3721" i="2"/>
  <c r="L3720" i="2"/>
  <c r="L3719" i="2"/>
  <c r="L3718" i="2"/>
  <c r="L3717" i="2"/>
  <c r="L3716" i="2"/>
  <c r="L3715" i="2"/>
  <c r="L3714" i="2"/>
  <c r="L3713" i="2"/>
  <c r="L3712" i="2"/>
  <c r="L3711" i="2"/>
  <c r="L3710" i="2"/>
  <c r="L3709" i="2"/>
  <c r="L3708" i="2"/>
  <c r="L3707" i="2"/>
  <c r="L3706" i="2"/>
  <c r="L3705" i="2"/>
  <c r="L3704" i="2"/>
  <c r="L3703" i="2"/>
  <c r="L3702" i="2"/>
  <c r="L3701" i="2"/>
  <c r="L3700" i="2"/>
  <c r="L3699" i="2"/>
  <c r="L3698" i="2"/>
  <c r="L3697" i="2"/>
  <c r="L3696" i="2"/>
  <c r="L3695" i="2"/>
  <c r="L3694" i="2"/>
  <c r="L3693" i="2"/>
  <c r="L3692" i="2"/>
  <c r="L3691" i="2"/>
  <c r="L3690" i="2"/>
  <c r="L3689" i="2"/>
  <c r="L3688" i="2"/>
  <c r="L3687" i="2"/>
  <c r="L3686" i="2"/>
  <c r="L3685" i="2"/>
  <c r="L3684" i="2"/>
  <c r="L3683" i="2"/>
  <c r="L3682" i="2"/>
  <c r="L3681" i="2"/>
  <c r="L3680" i="2"/>
  <c r="L3679" i="2"/>
  <c r="L3678" i="2"/>
  <c r="L3677" i="2"/>
  <c r="L3676" i="2"/>
  <c r="L3675" i="2"/>
  <c r="L3674" i="2"/>
  <c r="L3673" i="2"/>
  <c r="L3672" i="2"/>
  <c r="L3671" i="2"/>
  <c r="L3670" i="2"/>
  <c r="L3669" i="2"/>
  <c r="L3668" i="2"/>
  <c r="L3667" i="2"/>
  <c r="L3666" i="2"/>
  <c r="L3665" i="2"/>
  <c r="L3664" i="2"/>
  <c r="L3663" i="2"/>
  <c r="L3662" i="2"/>
  <c r="L3661" i="2"/>
  <c r="L3660" i="2"/>
  <c r="L3659" i="2"/>
  <c r="L3658" i="2"/>
  <c r="L3657" i="2"/>
  <c r="L3656" i="2"/>
  <c r="L3655" i="2"/>
  <c r="L3654" i="2"/>
  <c r="L3653" i="2"/>
  <c r="L3652" i="2"/>
  <c r="L3651" i="2"/>
  <c r="L3650" i="2"/>
  <c r="L3649" i="2"/>
  <c r="L3648" i="2"/>
  <c r="L3647" i="2"/>
  <c r="L3646" i="2"/>
  <c r="L3645" i="2"/>
  <c r="L3644" i="2"/>
  <c r="L3643" i="2"/>
  <c r="L3642" i="2"/>
  <c r="L3641" i="2"/>
  <c r="L3640" i="2"/>
  <c r="L3639" i="2"/>
  <c r="L3638" i="2"/>
  <c r="L3637" i="2"/>
  <c r="L3636" i="2"/>
  <c r="L3635" i="2"/>
  <c r="L3634" i="2"/>
  <c r="L3633" i="2"/>
  <c r="L3632" i="2"/>
  <c r="L3631" i="2"/>
  <c r="L3630" i="2"/>
  <c r="L3629" i="2"/>
  <c r="L3628" i="2"/>
  <c r="L3627" i="2"/>
  <c r="L3626" i="2"/>
  <c r="L3625" i="2"/>
  <c r="L3624" i="2"/>
  <c r="L3623" i="2"/>
  <c r="L3622" i="2"/>
  <c r="L3621" i="2"/>
  <c r="L3620" i="2"/>
  <c r="L3619" i="2"/>
  <c r="L3618" i="2"/>
  <c r="L3617" i="2"/>
  <c r="L3616" i="2"/>
  <c r="L3615" i="2"/>
  <c r="L3614" i="2"/>
  <c r="L3613" i="2"/>
  <c r="L3612" i="2"/>
  <c r="L3611" i="2"/>
  <c r="L3610" i="2"/>
  <c r="L3609" i="2"/>
  <c r="L3608" i="2"/>
  <c r="L3607" i="2"/>
  <c r="L3606" i="2"/>
  <c r="L3605" i="2"/>
  <c r="L3604" i="2"/>
  <c r="L3603" i="2"/>
  <c r="L3602" i="2"/>
  <c r="L3601" i="2"/>
  <c r="L3600" i="2"/>
  <c r="L3599" i="2"/>
  <c r="L3598" i="2"/>
  <c r="L3597" i="2"/>
  <c r="L3596" i="2"/>
  <c r="L3595" i="2"/>
  <c r="L3594" i="2"/>
  <c r="L3593" i="2"/>
  <c r="L3592" i="2"/>
  <c r="L3591" i="2"/>
  <c r="L3590" i="2"/>
  <c r="L3589" i="2"/>
  <c r="L3588" i="2"/>
  <c r="L3587" i="2"/>
  <c r="L3586" i="2"/>
  <c r="L3585" i="2"/>
  <c r="L3584" i="2"/>
  <c r="L3583" i="2"/>
  <c r="L3582" i="2"/>
  <c r="L3581" i="2"/>
  <c r="L3580" i="2"/>
  <c r="L3579" i="2"/>
  <c r="L3578" i="2"/>
  <c r="L3577" i="2"/>
  <c r="L3576" i="2"/>
  <c r="L3575" i="2"/>
  <c r="L3574" i="2"/>
  <c r="L3573" i="2"/>
  <c r="L3572" i="2"/>
  <c r="L3571" i="2"/>
  <c r="L3570" i="2"/>
  <c r="L3569" i="2"/>
  <c r="L3568" i="2"/>
  <c r="L3567" i="2"/>
  <c r="L3566" i="2"/>
  <c r="L3565" i="2"/>
  <c r="L3564" i="2"/>
  <c r="L3563" i="2"/>
  <c r="L3562" i="2"/>
  <c r="L3561" i="2"/>
  <c r="L3560" i="2"/>
  <c r="L3559" i="2"/>
  <c r="L3558" i="2"/>
  <c r="L3557" i="2"/>
  <c r="L3556" i="2"/>
  <c r="L3555" i="2"/>
  <c r="L3554" i="2"/>
  <c r="L3553" i="2"/>
  <c r="L3552" i="2"/>
  <c r="L3551" i="2"/>
  <c r="L3550" i="2"/>
  <c r="L3549" i="2"/>
  <c r="L3548" i="2"/>
  <c r="L3547" i="2"/>
  <c r="L3546" i="2"/>
  <c r="L3545" i="2"/>
  <c r="L3544" i="2"/>
  <c r="L3543" i="2"/>
  <c r="L3542" i="2"/>
  <c r="L3541" i="2"/>
  <c r="L3540" i="2"/>
  <c r="L3539" i="2"/>
  <c r="L3538" i="2"/>
  <c r="L3537" i="2"/>
  <c r="L3536" i="2"/>
  <c r="L3535" i="2"/>
  <c r="L3534" i="2"/>
  <c r="L3533" i="2"/>
  <c r="L3532" i="2"/>
  <c r="L3531" i="2"/>
  <c r="L3530" i="2"/>
  <c r="L3529" i="2"/>
  <c r="L3528" i="2"/>
  <c r="L3527" i="2"/>
  <c r="L3526" i="2"/>
  <c r="L3525" i="2"/>
  <c r="L3524" i="2"/>
  <c r="L3523" i="2"/>
  <c r="L3522" i="2"/>
  <c r="L3521" i="2"/>
  <c r="L3520" i="2"/>
  <c r="L3519" i="2"/>
  <c r="L3518" i="2"/>
  <c r="L3517" i="2"/>
  <c r="L3516" i="2"/>
  <c r="L3515" i="2"/>
  <c r="L3514" i="2"/>
  <c r="L3513" i="2"/>
  <c r="L3512" i="2"/>
  <c r="L3511" i="2"/>
  <c r="L3510" i="2"/>
  <c r="L3509" i="2"/>
  <c r="L3508" i="2"/>
  <c r="L3507" i="2"/>
  <c r="L3506" i="2"/>
  <c r="L3505" i="2"/>
  <c r="L3504" i="2"/>
  <c r="L3503" i="2"/>
  <c r="L3502" i="2"/>
  <c r="L3501" i="2"/>
  <c r="L3500" i="2"/>
  <c r="L3499" i="2"/>
  <c r="L3498" i="2"/>
  <c r="L3497" i="2"/>
  <c r="L3496" i="2"/>
  <c r="L3495" i="2"/>
  <c r="L3494" i="2"/>
  <c r="L3493" i="2"/>
  <c r="L3492" i="2"/>
  <c r="L3491" i="2"/>
  <c r="L3490" i="2"/>
  <c r="L3489" i="2"/>
  <c r="L3488" i="2"/>
  <c r="L3487" i="2"/>
  <c r="L3486" i="2"/>
  <c r="L3485" i="2"/>
  <c r="L3484" i="2"/>
  <c r="L3483" i="2"/>
  <c r="L3482" i="2"/>
  <c r="L3481" i="2"/>
  <c r="L3480" i="2"/>
  <c r="L3479" i="2"/>
  <c r="L3478" i="2"/>
  <c r="L3477" i="2"/>
  <c r="L3476" i="2"/>
  <c r="L3475" i="2"/>
  <c r="L3474" i="2"/>
  <c r="L3473" i="2"/>
  <c r="L3472" i="2"/>
  <c r="L3471" i="2"/>
  <c r="L3470" i="2"/>
  <c r="L3469" i="2"/>
  <c r="L3468" i="2"/>
  <c r="L3467" i="2"/>
  <c r="L3466" i="2"/>
  <c r="L3465" i="2"/>
  <c r="L3464" i="2"/>
  <c r="L3463" i="2"/>
  <c r="L3462" i="2"/>
  <c r="L3461" i="2"/>
  <c r="L3460" i="2"/>
  <c r="L3459" i="2"/>
  <c r="L3458" i="2"/>
  <c r="L3457" i="2"/>
  <c r="L3456" i="2"/>
  <c r="L3455" i="2"/>
  <c r="L3454" i="2"/>
  <c r="L3453" i="2"/>
  <c r="L3452" i="2"/>
  <c r="L3451" i="2"/>
  <c r="L3450" i="2"/>
  <c r="L3449" i="2"/>
  <c r="L3448" i="2"/>
  <c r="L3447" i="2"/>
  <c r="L3446" i="2"/>
  <c r="L3445" i="2"/>
  <c r="L3444" i="2"/>
  <c r="L3443" i="2"/>
  <c r="L3442" i="2"/>
  <c r="L3441" i="2"/>
  <c r="L3440" i="2"/>
  <c r="L3439" i="2"/>
  <c r="L3438" i="2"/>
  <c r="L3437" i="2"/>
  <c r="L3436" i="2"/>
  <c r="L3435" i="2"/>
  <c r="L3434" i="2"/>
  <c r="L3433" i="2"/>
  <c r="L3432" i="2"/>
  <c r="L3431" i="2"/>
  <c r="L3430" i="2"/>
  <c r="L3429" i="2"/>
  <c r="L3428" i="2"/>
  <c r="L3427" i="2"/>
  <c r="L3426" i="2"/>
  <c r="L3425" i="2"/>
  <c r="L3424" i="2"/>
  <c r="L3423" i="2"/>
  <c r="L3422" i="2"/>
  <c r="L3421" i="2"/>
  <c r="L3420" i="2"/>
  <c r="L3419" i="2"/>
  <c r="L3418" i="2"/>
  <c r="L3417" i="2"/>
  <c r="L3416" i="2"/>
  <c r="L3415" i="2"/>
  <c r="L3414" i="2"/>
  <c r="L3413" i="2"/>
  <c r="L3412" i="2"/>
  <c r="L3411" i="2"/>
  <c r="L3410" i="2"/>
  <c r="L3409" i="2"/>
  <c r="L3408" i="2"/>
  <c r="L3407" i="2"/>
  <c r="L3406" i="2"/>
  <c r="L3405" i="2"/>
  <c r="L3404" i="2"/>
  <c r="L3403" i="2"/>
  <c r="L3402" i="2"/>
  <c r="L3401" i="2"/>
  <c r="L3400" i="2"/>
  <c r="L3399" i="2"/>
  <c r="L3398" i="2"/>
  <c r="L3397" i="2"/>
  <c r="L3396" i="2"/>
  <c r="L3395" i="2"/>
  <c r="L3394" i="2"/>
  <c r="L3393" i="2"/>
  <c r="L3392" i="2"/>
  <c r="L3391" i="2"/>
  <c r="L3390" i="2"/>
  <c r="L3389" i="2"/>
  <c r="L3388" i="2"/>
  <c r="L3387" i="2"/>
  <c r="L3386" i="2"/>
  <c r="L3385" i="2"/>
  <c r="L3384" i="2"/>
  <c r="L3383" i="2"/>
  <c r="L3382" i="2"/>
  <c r="L3381" i="2"/>
  <c r="L3380" i="2"/>
  <c r="L3379" i="2"/>
  <c r="L3378" i="2"/>
  <c r="L3377" i="2"/>
  <c r="L3376" i="2"/>
  <c r="L3375" i="2"/>
  <c r="L3374" i="2"/>
  <c r="L3373" i="2"/>
  <c r="L3372" i="2"/>
  <c r="L3371" i="2"/>
  <c r="L3370" i="2"/>
  <c r="L3369" i="2"/>
  <c r="L3368" i="2"/>
  <c r="L3367" i="2"/>
  <c r="L3366" i="2"/>
  <c r="L3365" i="2"/>
  <c r="L3364" i="2"/>
  <c r="L3363" i="2"/>
  <c r="L3362" i="2"/>
  <c r="L3361" i="2"/>
  <c r="L3360" i="2"/>
  <c r="L3359" i="2"/>
  <c r="L3358" i="2"/>
  <c r="L3357" i="2"/>
  <c r="L3356" i="2"/>
  <c r="L3355" i="2"/>
  <c r="L3354" i="2"/>
  <c r="L3353" i="2"/>
  <c r="L3352" i="2"/>
  <c r="L3351" i="2"/>
  <c r="L3350" i="2"/>
  <c r="L3349" i="2"/>
  <c r="L3348" i="2"/>
  <c r="L3347" i="2"/>
  <c r="L3346" i="2"/>
  <c r="L3345" i="2"/>
  <c r="L3344" i="2"/>
  <c r="L3343" i="2"/>
  <c r="L3342" i="2"/>
  <c r="L3341" i="2"/>
  <c r="L3340" i="2"/>
  <c r="L3339" i="2"/>
  <c r="L3338" i="2"/>
  <c r="L3337" i="2"/>
  <c r="L3336" i="2"/>
  <c r="L3335" i="2"/>
  <c r="L3334" i="2"/>
  <c r="L3333" i="2"/>
  <c r="L3332" i="2"/>
  <c r="L3331" i="2"/>
  <c r="L3330" i="2"/>
  <c r="L3329" i="2"/>
  <c r="L3328" i="2"/>
  <c r="L3327" i="2"/>
  <c r="L3326" i="2"/>
  <c r="L3325" i="2"/>
  <c r="L3324" i="2"/>
  <c r="L3323" i="2"/>
  <c r="L3322" i="2"/>
  <c r="L3321" i="2"/>
  <c r="L3320" i="2"/>
  <c r="L3319" i="2"/>
  <c r="L3318" i="2"/>
  <c r="L3317" i="2"/>
  <c r="L3316" i="2"/>
  <c r="L3315" i="2"/>
  <c r="L3314" i="2"/>
  <c r="L3313" i="2"/>
  <c r="L3312" i="2"/>
  <c r="L3311" i="2"/>
  <c r="L3310" i="2"/>
  <c r="L3309" i="2"/>
  <c r="L3308" i="2"/>
  <c r="L3307" i="2"/>
  <c r="L3306" i="2"/>
  <c r="L3305" i="2"/>
  <c r="L3304" i="2"/>
  <c r="L3303" i="2"/>
  <c r="L3302" i="2"/>
  <c r="L3301" i="2"/>
  <c r="L3300" i="2"/>
  <c r="L3299" i="2"/>
  <c r="L3298" i="2"/>
  <c r="L3297" i="2"/>
  <c r="L3296" i="2"/>
  <c r="L3295" i="2"/>
  <c r="L3294" i="2"/>
  <c r="L3293" i="2"/>
  <c r="L3292" i="2"/>
  <c r="L3291" i="2"/>
  <c r="L3290" i="2"/>
  <c r="L3289" i="2"/>
  <c r="L3288" i="2"/>
  <c r="L3287" i="2"/>
  <c r="L3286" i="2"/>
  <c r="L3285" i="2"/>
  <c r="L3284" i="2"/>
  <c r="L3283" i="2"/>
  <c r="L3282" i="2"/>
  <c r="L3281" i="2"/>
  <c r="L3280" i="2"/>
  <c r="L3279" i="2"/>
  <c r="L3278" i="2"/>
  <c r="L3277" i="2"/>
  <c r="L3276" i="2"/>
  <c r="L3275" i="2"/>
  <c r="L3274" i="2"/>
  <c r="L3273" i="2"/>
  <c r="L3272" i="2"/>
  <c r="L3271" i="2"/>
  <c r="L3270" i="2"/>
  <c r="L3269" i="2"/>
  <c r="L3268" i="2"/>
  <c r="L3267" i="2"/>
  <c r="L3266" i="2"/>
  <c r="L3265" i="2"/>
  <c r="L3264" i="2"/>
  <c r="L3263" i="2"/>
  <c r="L3262" i="2"/>
  <c r="L3261" i="2"/>
  <c r="L3260" i="2"/>
  <c r="L3259" i="2"/>
  <c r="L3258" i="2"/>
  <c r="L3257" i="2"/>
  <c r="L3256" i="2"/>
  <c r="L3255" i="2"/>
  <c r="L3254" i="2"/>
  <c r="L3253" i="2"/>
  <c r="L3252" i="2"/>
  <c r="L3251" i="2"/>
  <c r="L3250" i="2"/>
  <c r="L3249" i="2"/>
  <c r="L3248" i="2"/>
  <c r="L3247" i="2"/>
  <c r="L3246" i="2"/>
  <c r="L3245" i="2"/>
  <c r="L3244" i="2"/>
  <c r="L3243" i="2"/>
  <c r="L3242" i="2"/>
  <c r="L3241" i="2"/>
  <c r="L3240" i="2"/>
  <c r="L3239" i="2"/>
  <c r="L3238" i="2"/>
  <c r="L3237" i="2"/>
  <c r="L3236" i="2"/>
  <c r="L3235" i="2"/>
  <c r="L3234" i="2"/>
  <c r="L3233" i="2"/>
  <c r="L3232" i="2"/>
  <c r="L3231" i="2"/>
  <c r="L3230" i="2"/>
  <c r="L3229" i="2"/>
  <c r="L3228" i="2"/>
  <c r="L3227" i="2"/>
  <c r="L3226" i="2"/>
  <c r="L3225" i="2"/>
  <c r="L3224" i="2"/>
  <c r="L3223" i="2"/>
  <c r="L3222" i="2"/>
  <c r="L3221" i="2"/>
  <c r="L3220" i="2"/>
  <c r="L3219" i="2"/>
  <c r="L3218" i="2"/>
  <c r="L3217" i="2"/>
  <c r="L3216" i="2"/>
  <c r="L3215" i="2"/>
  <c r="L3214" i="2"/>
  <c r="L3213" i="2"/>
  <c r="L3212" i="2"/>
  <c r="L3211" i="2"/>
  <c r="L3210" i="2"/>
  <c r="L3209" i="2"/>
  <c r="L3208" i="2"/>
  <c r="L3207" i="2"/>
  <c r="L3206" i="2"/>
  <c r="L3205" i="2"/>
  <c r="L3204" i="2"/>
  <c r="L3203" i="2"/>
  <c r="L3202" i="2"/>
  <c r="L3201" i="2"/>
  <c r="L3200" i="2"/>
  <c r="L3199" i="2"/>
  <c r="L3198" i="2"/>
  <c r="L3197" i="2"/>
  <c r="L3196" i="2"/>
  <c r="L3195" i="2"/>
  <c r="L3194" i="2"/>
  <c r="L3193" i="2"/>
  <c r="L3192" i="2"/>
  <c r="L3191" i="2"/>
  <c r="L3190" i="2"/>
  <c r="L3189" i="2"/>
  <c r="L3188" i="2"/>
  <c r="L3187" i="2"/>
  <c r="L3186" i="2"/>
  <c r="L3185" i="2"/>
  <c r="L3184" i="2"/>
  <c r="L3183" i="2"/>
  <c r="L3182" i="2"/>
  <c r="L3181" i="2"/>
  <c r="L3180" i="2"/>
  <c r="L3179" i="2"/>
  <c r="L3178" i="2"/>
  <c r="L3177" i="2"/>
  <c r="L3176" i="2"/>
  <c r="L3175" i="2"/>
  <c r="L3174" i="2"/>
  <c r="L3173" i="2"/>
  <c r="L3172" i="2"/>
  <c r="L3171" i="2"/>
  <c r="L3170" i="2"/>
  <c r="L3169" i="2"/>
  <c r="L3168" i="2"/>
  <c r="L3167" i="2"/>
  <c r="L3166" i="2"/>
  <c r="L3165" i="2"/>
  <c r="L3164" i="2"/>
  <c r="L3163" i="2"/>
  <c r="L3162" i="2"/>
  <c r="L3161" i="2"/>
  <c r="L3160" i="2"/>
  <c r="L3159" i="2"/>
  <c r="L3158" i="2"/>
  <c r="L3157" i="2"/>
  <c r="L3156" i="2"/>
  <c r="L3155" i="2"/>
  <c r="L3154" i="2"/>
  <c r="L3153" i="2"/>
  <c r="L3152" i="2"/>
  <c r="L3151" i="2"/>
  <c r="L3150" i="2"/>
  <c r="L3149" i="2"/>
  <c r="L3148" i="2"/>
  <c r="L3147" i="2"/>
  <c r="L3146" i="2"/>
  <c r="L3145" i="2"/>
  <c r="L3144" i="2"/>
  <c r="L3143" i="2"/>
  <c r="L3142" i="2"/>
  <c r="L3141" i="2"/>
  <c r="L3140" i="2"/>
  <c r="L3139" i="2"/>
  <c r="L3138" i="2"/>
  <c r="L3137" i="2"/>
  <c r="L3136" i="2"/>
  <c r="L3135" i="2"/>
  <c r="L3134" i="2"/>
  <c r="L3133" i="2"/>
  <c r="L3132" i="2"/>
  <c r="L3131" i="2"/>
  <c r="L3130" i="2"/>
  <c r="L3129" i="2"/>
  <c r="L3128" i="2"/>
  <c r="L3127" i="2"/>
  <c r="L3126" i="2"/>
  <c r="L3125" i="2"/>
  <c r="L3124" i="2"/>
  <c r="L3123" i="2"/>
  <c r="L3122" i="2"/>
  <c r="L3121" i="2"/>
  <c r="L3120" i="2"/>
  <c r="L3119" i="2"/>
  <c r="L3118" i="2"/>
  <c r="L3117" i="2"/>
  <c r="L3116" i="2"/>
  <c r="L3115" i="2"/>
  <c r="L3114" i="2"/>
  <c r="L3113" i="2"/>
  <c r="L3112" i="2"/>
  <c r="L3111" i="2"/>
  <c r="L3110" i="2"/>
  <c r="L3109" i="2"/>
  <c r="L3108" i="2"/>
  <c r="L3107" i="2"/>
  <c r="L3106" i="2"/>
  <c r="L3105" i="2"/>
  <c r="L3104" i="2"/>
  <c r="L3103" i="2"/>
  <c r="L3102" i="2"/>
  <c r="L3101" i="2"/>
  <c r="L3100" i="2"/>
  <c r="L3099" i="2"/>
  <c r="L3098" i="2"/>
  <c r="L3097" i="2"/>
  <c r="L3096" i="2"/>
  <c r="L3095" i="2"/>
  <c r="L3094" i="2"/>
  <c r="L3093" i="2"/>
  <c r="L3092" i="2"/>
  <c r="L3091" i="2"/>
  <c r="L3090" i="2"/>
  <c r="L3089" i="2"/>
  <c r="L3088" i="2"/>
  <c r="L3087" i="2"/>
  <c r="L3086" i="2"/>
  <c r="L3085" i="2"/>
  <c r="L3084" i="2"/>
  <c r="L3083" i="2"/>
  <c r="L3082" i="2"/>
  <c r="L3081" i="2"/>
  <c r="L3080" i="2"/>
  <c r="L3079" i="2"/>
  <c r="L3078" i="2"/>
  <c r="L3077" i="2"/>
  <c r="L3076" i="2"/>
  <c r="L3075" i="2"/>
  <c r="L3074" i="2"/>
  <c r="L3073" i="2"/>
  <c r="L3072" i="2"/>
  <c r="L3071" i="2"/>
  <c r="L3070" i="2"/>
  <c r="L3069" i="2"/>
  <c r="L3068" i="2"/>
  <c r="L3067" i="2"/>
  <c r="L3066" i="2"/>
  <c r="L3065" i="2"/>
  <c r="L3064" i="2"/>
  <c r="L3063" i="2"/>
  <c r="L3062" i="2"/>
  <c r="L3061" i="2"/>
  <c r="L3060" i="2"/>
  <c r="L3059" i="2"/>
  <c r="L3058" i="2"/>
  <c r="L3057" i="2"/>
  <c r="L3056" i="2"/>
  <c r="L3055" i="2"/>
  <c r="L3054" i="2"/>
  <c r="L3053" i="2"/>
  <c r="L3052" i="2"/>
  <c r="L3051" i="2"/>
  <c r="L3050" i="2"/>
  <c r="L3049" i="2"/>
  <c r="L3048" i="2"/>
  <c r="L3047" i="2"/>
  <c r="L3046" i="2"/>
  <c r="L3045" i="2"/>
  <c r="L3044" i="2"/>
  <c r="L3043" i="2"/>
  <c r="L3042" i="2"/>
  <c r="L3041" i="2"/>
  <c r="L3040" i="2"/>
  <c r="L3039" i="2"/>
  <c r="L3038" i="2"/>
  <c r="L3037" i="2"/>
  <c r="L3036" i="2"/>
  <c r="L3035" i="2"/>
  <c r="L3034" i="2"/>
  <c r="L3033" i="2"/>
  <c r="L3032" i="2"/>
  <c r="L3031" i="2"/>
  <c r="L3030" i="2"/>
  <c r="L3029" i="2"/>
  <c r="L3028" i="2"/>
  <c r="L3027" i="2"/>
  <c r="L3026" i="2"/>
  <c r="L3025" i="2"/>
  <c r="L3024" i="2"/>
  <c r="L3023" i="2"/>
  <c r="L3022" i="2"/>
  <c r="L3021" i="2"/>
  <c r="L3020" i="2"/>
  <c r="L3019" i="2"/>
  <c r="L3018" i="2"/>
  <c r="L3017" i="2"/>
  <c r="L3016" i="2"/>
  <c r="L3015" i="2"/>
  <c r="L3014" i="2"/>
  <c r="L3013" i="2"/>
  <c r="L3012" i="2"/>
  <c r="L3011" i="2"/>
  <c r="L3010" i="2"/>
  <c r="L3009" i="2"/>
  <c r="L3008" i="2"/>
  <c r="L3007" i="2"/>
  <c r="L3006" i="2"/>
  <c r="L3005" i="2"/>
  <c r="L3004" i="2"/>
  <c r="L3003" i="2"/>
  <c r="L3002" i="2"/>
  <c r="L3001" i="2"/>
  <c r="L3000" i="2"/>
  <c r="L2999" i="2"/>
  <c r="L2998" i="2"/>
  <c r="L2997" i="2"/>
  <c r="L2996" i="2"/>
  <c r="L2995" i="2"/>
  <c r="L2994" i="2"/>
  <c r="L2993" i="2"/>
  <c r="L2992" i="2"/>
  <c r="L2991" i="2"/>
  <c r="L2990" i="2"/>
  <c r="L2989" i="2"/>
  <c r="L2988" i="2"/>
  <c r="L2987" i="2"/>
  <c r="L2986" i="2"/>
  <c r="L2985" i="2"/>
  <c r="L2984" i="2"/>
  <c r="L2983" i="2"/>
  <c r="L2982" i="2"/>
  <c r="L2981" i="2"/>
  <c r="L2980" i="2"/>
  <c r="L2979" i="2"/>
  <c r="L2978" i="2"/>
  <c r="L2977" i="2"/>
  <c r="L2976" i="2"/>
  <c r="L2975" i="2"/>
  <c r="L2974" i="2"/>
  <c r="L2973" i="2"/>
  <c r="L2972" i="2"/>
  <c r="L2971" i="2"/>
  <c r="L2970" i="2"/>
  <c r="L2969" i="2"/>
  <c r="L2968" i="2"/>
  <c r="L2967" i="2"/>
  <c r="L2966" i="2"/>
  <c r="L2965" i="2"/>
  <c r="L2964" i="2"/>
  <c r="L2963" i="2"/>
  <c r="L2962" i="2"/>
  <c r="L2961" i="2"/>
  <c r="L2960" i="2"/>
  <c r="L2959" i="2"/>
  <c r="L2958" i="2"/>
  <c r="L2957" i="2"/>
  <c r="L2956" i="2"/>
  <c r="L2955" i="2"/>
  <c r="L2954" i="2"/>
  <c r="L2953" i="2"/>
  <c r="L2952" i="2"/>
  <c r="L2951" i="2"/>
  <c r="L2950" i="2"/>
  <c r="L2949" i="2"/>
  <c r="L2948" i="2"/>
  <c r="L2947" i="2"/>
  <c r="L2946" i="2"/>
  <c r="L2945" i="2"/>
  <c r="L2944" i="2"/>
  <c r="L2943" i="2"/>
  <c r="L2942" i="2"/>
  <c r="L2941" i="2"/>
  <c r="L2940" i="2"/>
  <c r="L2939" i="2"/>
  <c r="L2938" i="2"/>
  <c r="L2937" i="2"/>
  <c r="L2936" i="2"/>
  <c r="L2935" i="2"/>
  <c r="L2934" i="2"/>
  <c r="L2933" i="2"/>
  <c r="L2932" i="2"/>
  <c r="L2931" i="2"/>
  <c r="L2930" i="2"/>
  <c r="L2929" i="2"/>
  <c r="L2928" i="2"/>
  <c r="L2927" i="2"/>
  <c r="L2926" i="2"/>
  <c r="L2925" i="2"/>
  <c r="L2924" i="2"/>
  <c r="L2923" i="2"/>
  <c r="L2922" i="2"/>
  <c r="L2921" i="2"/>
  <c r="L2920" i="2"/>
  <c r="L2919" i="2"/>
  <c r="L2918" i="2"/>
  <c r="L2917" i="2"/>
  <c r="L2916" i="2"/>
  <c r="L2915" i="2"/>
  <c r="L2914" i="2"/>
  <c r="L2913" i="2"/>
  <c r="L2912" i="2"/>
  <c r="L2911" i="2"/>
  <c r="L2910" i="2"/>
  <c r="L2909" i="2"/>
  <c r="L2908" i="2"/>
  <c r="L2907" i="2"/>
  <c r="L2906" i="2"/>
  <c r="L2905" i="2"/>
  <c r="L2904" i="2"/>
  <c r="L2903" i="2"/>
  <c r="L2902" i="2"/>
  <c r="L2901" i="2"/>
  <c r="L2900" i="2"/>
  <c r="L2899" i="2"/>
  <c r="L2898" i="2"/>
  <c r="L2897" i="2"/>
  <c r="L2896" i="2"/>
  <c r="L2895" i="2"/>
  <c r="L2894" i="2"/>
  <c r="L2893" i="2"/>
  <c r="L2892" i="2"/>
  <c r="L2891" i="2"/>
  <c r="L2890" i="2"/>
  <c r="L2889" i="2"/>
  <c r="L2888" i="2"/>
  <c r="L2887" i="2"/>
  <c r="L2886" i="2"/>
  <c r="L2885" i="2"/>
  <c r="L2884" i="2"/>
  <c r="L2883" i="2"/>
  <c r="L2882" i="2"/>
  <c r="L2881" i="2"/>
  <c r="L2880" i="2"/>
  <c r="L2879" i="2"/>
  <c r="L2878" i="2"/>
  <c r="L2877" i="2"/>
  <c r="L2876" i="2"/>
  <c r="L2875" i="2"/>
  <c r="L2874" i="2"/>
  <c r="L2873" i="2"/>
  <c r="L2872" i="2"/>
  <c r="L2871" i="2"/>
  <c r="L2870" i="2"/>
  <c r="L2869" i="2"/>
  <c r="L2868" i="2"/>
  <c r="L2867" i="2"/>
  <c r="L2866" i="2"/>
  <c r="L2865" i="2"/>
  <c r="L2864" i="2"/>
  <c r="L2863" i="2"/>
  <c r="L2862" i="2"/>
  <c r="L2861" i="2"/>
  <c r="L2860" i="2"/>
  <c r="L2859" i="2"/>
  <c r="L2858" i="2"/>
  <c r="L2857" i="2"/>
  <c r="L2856" i="2"/>
  <c r="L2855" i="2"/>
  <c r="L2854" i="2"/>
  <c r="L2853" i="2"/>
  <c r="L2852" i="2"/>
  <c r="L2851" i="2"/>
  <c r="L2850" i="2"/>
  <c r="L2849" i="2"/>
  <c r="L2848" i="2"/>
  <c r="L2847" i="2"/>
  <c r="L2846" i="2"/>
  <c r="L2845" i="2"/>
  <c r="L2844" i="2"/>
  <c r="L2843" i="2"/>
  <c r="L2842" i="2"/>
  <c r="L2841" i="2"/>
  <c r="L2840" i="2"/>
  <c r="L2839" i="2"/>
  <c r="L2838" i="2"/>
  <c r="L2837" i="2"/>
  <c r="L2836" i="2"/>
  <c r="L2835" i="2"/>
  <c r="L2834" i="2"/>
  <c r="L2833" i="2"/>
  <c r="L2832" i="2"/>
  <c r="L2831" i="2"/>
  <c r="L2830" i="2"/>
  <c r="L2829" i="2"/>
  <c r="L2828" i="2"/>
  <c r="L2827" i="2"/>
  <c r="L2826" i="2"/>
  <c r="L2825" i="2"/>
  <c r="L2824" i="2"/>
  <c r="L2823" i="2"/>
  <c r="L2822" i="2"/>
  <c r="L2821" i="2"/>
  <c r="L2820" i="2"/>
  <c r="L2819" i="2"/>
  <c r="L2818" i="2"/>
  <c r="L2817" i="2"/>
  <c r="L2816" i="2"/>
  <c r="L2815" i="2"/>
  <c r="L2814" i="2"/>
  <c r="L2813" i="2"/>
  <c r="L2812" i="2"/>
  <c r="L2811" i="2"/>
  <c r="L2810" i="2"/>
  <c r="L2809" i="2"/>
  <c r="L2808" i="2"/>
  <c r="L2807" i="2"/>
  <c r="L2806" i="2"/>
  <c r="L2805" i="2"/>
  <c r="L2804" i="2"/>
  <c r="L2803" i="2"/>
  <c r="L2802" i="2"/>
  <c r="L2801" i="2"/>
  <c r="L2800" i="2"/>
  <c r="L2799" i="2"/>
  <c r="L2798" i="2"/>
  <c r="L2797" i="2"/>
  <c r="L2796" i="2"/>
  <c r="L2795" i="2"/>
  <c r="L2794" i="2"/>
  <c r="L2793" i="2"/>
  <c r="L2792" i="2"/>
  <c r="L2791" i="2"/>
  <c r="L2790" i="2"/>
  <c r="L2789" i="2"/>
  <c r="L2788" i="2"/>
  <c r="L2787" i="2"/>
  <c r="L2786" i="2"/>
  <c r="L2785" i="2"/>
  <c r="L2784" i="2"/>
  <c r="L2783" i="2"/>
  <c r="L2782" i="2"/>
  <c r="L2781" i="2"/>
  <c r="L2780" i="2"/>
  <c r="L2779" i="2"/>
  <c r="L2778" i="2"/>
  <c r="L2777" i="2"/>
  <c r="L2776" i="2"/>
  <c r="L2775" i="2"/>
  <c r="L2774" i="2"/>
  <c r="L2773" i="2"/>
  <c r="L2772" i="2"/>
  <c r="L2771" i="2"/>
  <c r="L2770" i="2"/>
  <c r="L2769" i="2"/>
  <c r="L2768" i="2"/>
  <c r="L2767" i="2"/>
  <c r="L2766" i="2"/>
  <c r="L2765" i="2"/>
  <c r="L2764" i="2"/>
  <c r="L2763" i="2"/>
  <c r="L2762" i="2"/>
  <c r="L2761" i="2"/>
  <c r="L2760" i="2"/>
  <c r="L2759" i="2"/>
  <c r="L2758" i="2"/>
  <c r="L2757" i="2"/>
  <c r="L2756" i="2"/>
  <c r="L2755" i="2"/>
  <c r="L2754" i="2"/>
  <c r="L2753" i="2"/>
  <c r="L2752" i="2"/>
  <c r="L2751" i="2"/>
  <c r="L2750" i="2"/>
  <c r="L2749" i="2"/>
  <c r="L2748" i="2"/>
  <c r="L2747" i="2"/>
  <c r="L2746" i="2"/>
  <c r="L2745" i="2"/>
  <c r="L2744" i="2"/>
  <c r="L2743" i="2"/>
  <c r="L2742" i="2"/>
  <c r="L2741" i="2"/>
  <c r="L2740" i="2"/>
  <c r="L2739" i="2"/>
  <c r="L2738" i="2"/>
  <c r="L2737" i="2"/>
  <c r="L2736" i="2"/>
  <c r="L2735" i="2"/>
  <c r="L2734" i="2"/>
  <c r="L2733" i="2"/>
  <c r="L2732" i="2"/>
  <c r="L2731" i="2"/>
  <c r="L2730" i="2"/>
  <c r="L2729" i="2"/>
  <c r="L2728" i="2"/>
  <c r="L2727" i="2"/>
  <c r="L2726" i="2"/>
  <c r="L2725" i="2"/>
  <c r="L2724" i="2"/>
  <c r="L2723" i="2"/>
  <c r="L2722" i="2"/>
  <c r="L2721" i="2"/>
  <c r="L2720" i="2"/>
  <c r="L2719" i="2"/>
  <c r="L2718" i="2"/>
  <c r="L2717" i="2"/>
  <c r="L2716" i="2"/>
  <c r="L2715" i="2"/>
  <c r="L2714" i="2"/>
  <c r="L2713" i="2"/>
  <c r="L2712" i="2"/>
  <c r="L2711" i="2"/>
  <c r="L2710" i="2"/>
  <c r="L2709" i="2"/>
  <c r="L2708" i="2"/>
  <c r="L2707" i="2"/>
  <c r="L2706" i="2"/>
  <c r="L2705" i="2"/>
  <c r="L2704" i="2"/>
  <c r="L2703" i="2"/>
  <c r="L2702" i="2"/>
  <c r="L2701" i="2"/>
  <c r="L2700" i="2"/>
  <c r="L2699" i="2"/>
  <c r="L2698" i="2"/>
  <c r="L2697" i="2"/>
  <c r="L2696" i="2"/>
  <c r="L2695" i="2"/>
  <c r="L2694" i="2"/>
  <c r="L2693" i="2"/>
  <c r="L2692" i="2"/>
  <c r="L2691" i="2"/>
  <c r="L2690" i="2"/>
  <c r="L2689" i="2"/>
  <c r="L2688" i="2"/>
  <c r="L2687" i="2"/>
  <c r="L2686" i="2"/>
  <c r="L2685" i="2"/>
  <c r="L2684" i="2"/>
  <c r="L2683" i="2"/>
  <c r="L2682" i="2"/>
  <c r="L2681" i="2"/>
  <c r="L2680" i="2"/>
  <c r="L2679" i="2"/>
  <c r="L2678" i="2"/>
  <c r="L2677" i="2"/>
  <c r="L2676" i="2"/>
  <c r="L2675" i="2"/>
  <c r="L2674" i="2"/>
  <c r="L2673" i="2"/>
  <c r="L2672" i="2"/>
  <c r="L2671" i="2"/>
  <c r="L2670" i="2"/>
  <c r="L2669" i="2"/>
  <c r="L2668" i="2"/>
  <c r="L2667" i="2"/>
  <c r="L2666" i="2"/>
  <c r="L2665" i="2"/>
  <c r="L2664" i="2"/>
  <c r="L2663" i="2"/>
  <c r="L2662" i="2"/>
  <c r="L2661" i="2"/>
  <c r="L2660" i="2"/>
  <c r="L2659" i="2"/>
  <c r="L2658" i="2"/>
  <c r="L2657" i="2"/>
  <c r="L2656" i="2"/>
  <c r="L2655" i="2"/>
  <c r="L2654" i="2"/>
  <c r="L2653" i="2"/>
  <c r="L2652" i="2"/>
  <c r="L2651" i="2"/>
  <c r="L2650" i="2"/>
  <c r="L2649" i="2"/>
  <c r="L2648" i="2"/>
  <c r="L2647" i="2"/>
  <c r="L2646" i="2"/>
  <c r="L2645" i="2"/>
  <c r="L2644" i="2"/>
  <c r="L2643" i="2"/>
  <c r="L2642" i="2"/>
  <c r="L2641" i="2"/>
  <c r="L2640" i="2"/>
  <c r="L2639" i="2"/>
  <c r="L2638" i="2"/>
  <c r="L2637" i="2"/>
  <c r="L2636" i="2"/>
  <c r="L2635" i="2"/>
  <c r="L2634" i="2"/>
  <c r="L2633" i="2"/>
  <c r="L2632" i="2"/>
  <c r="L2631" i="2"/>
  <c r="L2630" i="2"/>
  <c r="L2629" i="2"/>
  <c r="L2628" i="2"/>
  <c r="L2627" i="2"/>
  <c r="L2626" i="2"/>
  <c r="L2625" i="2"/>
  <c r="L2624" i="2"/>
  <c r="L2623" i="2"/>
  <c r="L2622" i="2"/>
  <c r="L2621" i="2"/>
  <c r="L2620" i="2"/>
  <c r="L2619" i="2"/>
  <c r="L2618" i="2"/>
  <c r="L2617" i="2"/>
  <c r="L2616" i="2"/>
  <c r="L2615" i="2"/>
  <c r="L2614" i="2"/>
  <c r="L2613" i="2"/>
  <c r="L2612" i="2"/>
  <c r="L2611" i="2"/>
  <c r="L2610" i="2"/>
  <c r="L2609" i="2"/>
  <c r="L2608" i="2"/>
  <c r="L2607" i="2"/>
  <c r="L2606" i="2"/>
  <c r="L2605" i="2"/>
  <c r="L2604" i="2"/>
  <c r="L2603" i="2"/>
  <c r="L2602" i="2"/>
  <c r="L2601" i="2"/>
  <c r="L2600" i="2"/>
  <c r="L2599" i="2"/>
  <c r="L2598" i="2"/>
  <c r="L2597" i="2"/>
  <c r="L2596" i="2"/>
  <c r="L2595" i="2"/>
  <c r="L2594" i="2"/>
  <c r="L2593" i="2"/>
  <c r="L2592" i="2"/>
  <c r="L2591" i="2"/>
  <c r="L2590" i="2"/>
  <c r="L2589" i="2"/>
  <c r="L2588" i="2"/>
  <c r="L2587" i="2"/>
  <c r="L2586" i="2"/>
  <c r="L2585" i="2"/>
  <c r="L2584" i="2"/>
  <c r="L2583" i="2"/>
  <c r="L2582" i="2"/>
  <c r="L2581" i="2"/>
  <c r="L2580" i="2"/>
  <c r="L2579" i="2"/>
  <c r="L2578" i="2"/>
  <c r="L2577" i="2"/>
  <c r="L2576" i="2"/>
  <c r="L2575" i="2"/>
  <c r="L2574" i="2"/>
  <c r="L2573" i="2"/>
  <c r="L2572" i="2"/>
  <c r="L2571" i="2"/>
  <c r="L2570" i="2"/>
  <c r="L2569" i="2"/>
  <c r="L2568" i="2"/>
  <c r="L2567" i="2"/>
  <c r="L2566" i="2"/>
  <c r="L2565" i="2"/>
  <c r="L2564" i="2"/>
  <c r="L2563" i="2"/>
  <c r="L2562" i="2"/>
  <c r="L2561" i="2"/>
  <c r="L2560" i="2"/>
  <c r="L2559" i="2"/>
  <c r="L2558" i="2"/>
  <c r="L2557" i="2"/>
  <c r="L2556" i="2"/>
  <c r="L2555" i="2"/>
  <c r="L2554" i="2"/>
  <c r="L2553" i="2"/>
  <c r="L2552" i="2"/>
  <c r="L2551" i="2"/>
  <c r="L2550" i="2"/>
  <c r="L2549" i="2"/>
  <c r="L2548" i="2"/>
  <c r="L2547" i="2"/>
  <c r="L2546" i="2"/>
  <c r="L2545" i="2"/>
  <c r="L2544" i="2"/>
  <c r="L2543" i="2"/>
  <c r="L2542" i="2"/>
  <c r="L2541" i="2"/>
  <c r="L2540" i="2"/>
  <c r="L2539" i="2"/>
  <c r="L2538" i="2"/>
  <c r="L2537" i="2"/>
  <c r="L2536" i="2"/>
  <c r="L2535" i="2"/>
  <c r="L2534" i="2"/>
  <c r="L2533" i="2"/>
  <c r="L2532" i="2"/>
  <c r="L2531" i="2"/>
  <c r="L2530" i="2"/>
  <c r="L2529" i="2"/>
  <c r="L2528" i="2"/>
  <c r="L2527" i="2"/>
  <c r="L2526" i="2"/>
  <c r="L2525" i="2"/>
  <c r="L2524" i="2"/>
  <c r="L2523" i="2"/>
  <c r="L2522" i="2"/>
  <c r="L2521" i="2"/>
  <c r="L2520" i="2"/>
  <c r="L2519" i="2"/>
  <c r="L2518" i="2"/>
  <c r="L2517" i="2"/>
  <c r="L2516" i="2"/>
  <c r="L2515" i="2"/>
  <c r="L2514" i="2"/>
  <c r="L2513" i="2"/>
  <c r="L2512" i="2"/>
  <c r="L2511" i="2"/>
  <c r="L2510" i="2"/>
  <c r="L2509" i="2"/>
  <c r="L2508" i="2"/>
  <c r="L2507" i="2"/>
  <c r="L2506" i="2"/>
  <c r="L2505" i="2"/>
  <c r="L2504" i="2"/>
  <c r="L2503" i="2"/>
  <c r="L2502" i="2"/>
  <c r="L2501" i="2"/>
  <c r="L2500" i="2"/>
  <c r="L2499" i="2"/>
  <c r="L2498" i="2"/>
  <c r="L2497" i="2"/>
  <c r="L2496" i="2"/>
  <c r="L2495" i="2"/>
  <c r="L2494" i="2"/>
  <c r="L2493" i="2"/>
  <c r="L2492" i="2"/>
  <c r="L2491" i="2"/>
  <c r="L2490" i="2"/>
  <c r="L2489" i="2"/>
  <c r="L2488" i="2"/>
  <c r="L2487" i="2"/>
  <c r="L2486" i="2"/>
  <c r="L2485" i="2"/>
  <c r="L2484" i="2"/>
  <c r="L2483" i="2"/>
  <c r="L2482" i="2"/>
  <c r="L2481" i="2"/>
  <c r="L2480" i="2"/>
  <c r="L2479" i="2"/>
  <c r="L2478" i="2"/>
  <c r="L2477" i="2"/>
  <c r="L2476" i="2"/>
  <c r="L2475" i="2"/>
  <c r="L2474" i="2"/>
  <c r="L2473" i="2"/>
  <c r="L2472" i="2"/>
  <c r="L2471" i="2"/>
  <c r="L2470" i="2"/>
  <c r="L2469" i="2"/>
  <c r="L2468" i="2"/>
  <c r="L2467" i="2"/>
  <c r="L2466" i="2"/>
  <c r="L2465" i="2"/>
  <c r="L2464" i="2"/>
  <c r="L2463" i="2"/>
  <c r="L2462" i="2"/>
  <c r="L2461" i="2"/>
  <c r="L2460" i="2"/>
  <c r="L2459" i="2"/>
  <c r="L2458" i="2"/>
  <c r="L2457" i="2"/>
  <c r="L2456" i="2"/>
  <c r="L2455" i="2"/>
  <c r="L2454" i="2"/>
  <c r="L2453" i="2"/>
  <c r="L2452" i="2"/>
  <c r="L2451" i="2"/>
  <c r="L2450" i="2"/>
  <c r="L2449" i="2"/>
  <c r="L2448" i="2"/>
  <c r="L2447" i="2"/>
  <c r="L2446" i="2"/>
  <c r="L2445" i="2"/>
  <c r="L2444" i="2"/>
  <c r="L2443" i="2"/>
  <c r="L2442" i="2"/>
  <c r="L2441" i="2"/>
  <c r="L2440" i="2"/>
  <c r="L2439" i="2"/>
  <c r="L2438" i="2"/>
  <c r="L2437" i="2"/>
  <c r="L2436" i="2"/>
  <c r="L2435" i="2"/>
  <c r="L2434" i="2"/>
  <c r="L2433" i="2"/>
  <c r="L2432" i="2"/>
  <c r="L2431" i="2"/>
  <c r="L2430" i="2"/>
  <c r="L2429" i="2"/>
  <c r="L2428" i="2"/>
  <c r="L2427" i="2"/>
  <c r="L2426" i="2"/>
  <c r="L2425" i="2"/>
  <c r="L2424" i="2"/>
  <c r="L2423" i="2"/>
  <c r="L2422" i="2"/>
  <c r="L2421" i="2"/>
  <c r="L2420" i="2"/>
  <c r="L2419" i="2"/>
  <c r="L2418" i="2"/>
  <c r="L2417" i="2"/>
  <c r="L2416" i="2"/>
  <c r="L2415" i="2"/>
  <c r="L2414" i="2"/>
  <c r="L2413" i="2"/>
  <c r="L2412" i="2"/>
  <c r="L2411" i="2"/>
  <c r="L2410" i="2"/>
  <c r="L2409" i="2"/>
  <c r="L2408" i="2"/>
  <c r="L2407" i="2"/>
  <c r="L2406" i="2"/>
  <c r="L2405" i="2"/>
  <c r="L2404" i="2"/>
  <c r="L2403" i="2"/>
  <c r="L2402" i="2"/>
  <c r="L2401" i="2"/>
  <c r="L2400" i="2"/>
  <c r="L2399" i="2"/>
  <c r="L2398" i="2"/>
  <c r="L2397" i="2"/>
  <c r="L2396" i="2"/>
  <c r="L2395" i="2"/>
  <c r="L2394" i="2"/>
  <c r="L2393" i="2"/>
  <c r="L2392" i="2"/>
  <c r="L2391" i="2"/>
  <c r="L2390" i="2"/>
  <c r="L2389" i="2"/>
  <c r="L2388" i="2"/>
  <c r="L2387" i="2"/>
  <c r="L2386" i="2"/>
  <c r="L2385" i="2"/>
  <c r="L2384" i="2"/>
  <c r="L2383" i="2"/>
  <c r="L2382" i="2"/>
  <c r="L2381" i="2"/>
  <c r="L2380" i="2"/>
  <c r="L2379" i="2"/>
  <c r="L2378" i="2"/>
  <c r="L2377" i="2"/>
  <c r="L2376" i="2"/>
  <c r="L2375" i="2"/>
  <c r="L2374" i="2"/>
  <c r="L2373" i="2"/>
  <c r="L2372" i="2"/>
  <c r="L2371" i="2"/>
  <c r="L2370" i="2"/>
  <c r="L2369" i="2"/>
  <c r="L2368" i="2"/>
  <c r="L2367" i="2"/>
  <c r="L2366" i="2"/>
  <c r="L2365" i="2"/>
  <c r="L2364" i="2"/>
  <c r="L2363" i="2"/>
  <c r="L2362" i="2"/>
  <c r="L2361" i="2"/>
  <c r="L2360" i="2"/>
  <c r="L2359" i="2"/>
  <c r="L2358" i="2"/>
  <c r="L2357" i="2"/>
  <c r="L2356" i="2"/>
  <c r="L2355" i="2"/>
  <c r="L2354" i="2"/>
  <c r="L2353" i="2"/>
  <c r="L2352" i="2"/>
  <c r="L2351" i="2"/>
  <c r="L2350" i="2"/>
  <c r="L2349" i="2"/>
  <c r="L2348" i="2"/>
  <c r="L2347" i="2"/>
  <c r="L2346" i="2"/>
  <c r="L2345" i="2"/>
  <c r="L2344" i="2"/>
  <c r="L2343" i="2"/>
  <c r="L2342" i="2"/>
  <c r="L2341" i="2"/>
  <c r="L2340" i="2"/>
  <c r="L2339" i="2"/>
  <c r="L2338" i="2"/>
  <c r="L2337" i="2"/>
  <c r="L2336" i="2"/>
  <c r="L2335" i="2"/>
  <c r="L2334" i="2"/>
  <c r="L2333" i="2"/>
  <c r="L2332" i="2"/>
  <c r="L2331" i="2"/>
  <c r="L2330" i="2"/>
  <c r="L2329" i="2"/>
  <c r="L2328" i="2"/>
  <c r="L2327" i="2"/>
  <c r="L2326" i="2"/>
  <c r="L2325" i="2"/>
  <c r="L2324" i="2"/>
  <c r="L2323" i="2"/>
  <c r="L2322" i="2"/>
  <c r="L2321" i="2"/>
  <c r="L2320" i="2"/>
  <c r="L2319" i="2"/>
  <c r="L2318" i="2"/>
  <c r="L2317" i="2"/>
  <c r="L2316" i="2"/>
  <c r="L2315" i="2"/>
  <c r="L2314" i="2"/>
  <c r="L2313" i="2"/>
  <c r="L2312" i="2"/>
  <c r="L2311" i="2"/>
  <c r="L2310" i="2"/>
  <c r="L2309" i="2"/>
  <c r="L2308" i="2"/>
  <c r="L2307" i="2"/>
  <c r="L2306" i="2"/>
  <c r="L2305" i="2"/>
  <c r="L2304" i="2"/>
  <c r="L2303" i="2"/>
  <c r="L2302" i="2"/>
  <c r="L2301" i="2"/>
  <c r="L2300" i="2"/>
  <c r="L2299" i="2"/>
  <c r="L2298" i="2"/>
  <c r="L2297" i="2"/>
  <c r="L2296" i="2"/>
  <c r="L2295" i="2"/>
  <c r="L2294" i="2"/>
  <c r="L2293" i="2"/>
  <c r="L2292" i="2"/>
  <c r="L2291" i="2"/>
  <c r="L2290" i="2"/>
  <c r="L2289" i="2"/>
  <c r="L2288" i="2"/>
  <c r="L2287" i="2"/>
  <c r="L2286" i="2"/>
  <c r="L2285" i="2"/>
  <c r="L2284" i="2"/>
  <c r="L2283" i="2"/>
  <c r="L2282" i="2"/>
  <c r="L2281" i="2"/>
  <c r="L2280" i="2"/>
  <c r="L2279" i="2"/>
  <c r="L2278" i="2"/>
  <c r="L2277" i="2"/>
  <c r="L2276" i="2"/>
  <c r="L2275" i="2"/>
  <c r="L2274" i="2"/>
  <c r="L2273" i="2"/>
  <c r="L2272" i="2"/>
  <c r="L2271" i="2"/>
  <c r="L2270" i="2"/>
  <c r="L2269" i="2"/>
  <c r="L2268" i="2"/>
  <c r="L2267" i="2"/>
  <c r="L2266" i="2"/>
  <c r="L2265" i="2"/>
  <c r="L2264" i="2"/>
  <c r="L2263" i="2"/>
  <c r="L2262" i="2"/>
  <c r="L2261" i="2"/>
  <c r="L2260" i="2"/>
  <c r="L2259" i="2"/>
  <c r="L2258" i="2"/>
  <c r="L2257" i="2"/>
  <c r="L2256" i="2"/>
  <c r="L2255" i="2"/>
  <c r="L2254" i="2"/>
  <c r="L2253" i="2"/>
  <c r="L2252" i="2"/>
  <c r="L2251" i="2"/>
  <c r="L2250" i="2"/>
  <c r="L2249" i="2"/>
  <c r="L2248" i="2"/>
  <c r="L2247" i="2"/>
  <c r="L2246" i="2"/>
  <c r="L2245" i="2"/>
  <c r="L2244" i="2"/>
  <c r="L2243" i="2"/>
  <c r="L2242" i="2"/>
  <c r="L2241" i="2"/>
  <c r="L2240" i="2"/>
  <c r="L2239" i="2"/>
  <c r="L2238" i="2"/>
  <c r="L2237" i="2"/>
  <c r="L2236" i="2"/>
  <c r="L2235" i="2"/>
  <c r="L2234" i="2"/>
  <c r="L2233" i="2"/>
  <c r="L2232" i="2"/>
  <c r="L2231" i="2"/>
  <c r="L2230" i="2"/>
  <c r="L2229" i="2"/>
  <c r="L2228" i="2"/>
  <c r="L2227" i="2"/>
  <c r="L2226" i="2"/>
  <c r="L2225" i="2"/>
  <c r="L2224" i="2"/>
  <c r="L2223" i="2"/>
  <c r="L2222" i="2"/>
  <c r="L2221" i="2"/>
  <c r="L2220" i="2"/>
  <c r="L2219" i="2"/>
  <c r="L2218" i="2"/>
  <c r="L2217" i="2"/>
  <c r="L2216" i="2"/>
  <c r="L2215" i="2"/>
  <c r="L2214" i="2"/>
  <c r="L2213" i="2"/>
  <c r="L2212" i="2"/>
  <c r="L2211" i="2"/>
  <c r="L2210" i="2"/>
  <c r="L2209" i="2"/>
  <c r="L2208" i="2"/>
  <c r="L2207" i="2"/>
  <c r="L2206" i="2"/>
  <c r="L2205" i="2"/>
  <c r="L2204" i="2"/>
  <c r="L2203" i="2"/>
  <c r="L2202" i="2"/>
  <c r="L2201" i="2"/>
  <c r="L2200" i="2"/>
  <c r="L2199" i="2"/>
  <c r="L2198" i="2"/>
  <c r="L2197" i="2"/>
  <c r="L2196" i="2"/>
  <c r="L2195" i="2"/>
  <c r="L2194" i="2"/>
  <c r="L2193" i="2"/>
  <c r="L2192" i="2"/>
  <c r="L2191" i="2"/>
  <c r="L2190" i="2"/>
  <c r="L2189" i="2"/>
  <c r="L2188" i="2"/>
  <c r="L2187" i="2"/>
  <c r="L2186" i="2"/>
  <c r="L2185" i="2"/>
  <c r="L2184" i="2"/>
  <c r="L2183" i="2"/>
  <c r="L2182" i="2"/>
  <c r="L2181" i="2"/>
  <c r="L2180" i="2"/>
  <c r="L2179" i="2"/>
  <c r="L2178" i="2"/>
  <c r="L2177" i="2"/>
  <c r="L2176" i="2"/>
  <c r="L2175" i="2"/>
  <c r="L2174" i="2"/>
  <c r="L2173" i="2"/>
  <c r="L2172" i="2"/>
  <c r="L2171" i="2"/>
  <c r="L2170" i="2"/>
  <c r="L2169" i="2"/>
  <c r="L2168" i="2"/>
  <c r="L2167" i="2"/>
  <c r="L2166" i="2"/>
  <c r="L2165" i="2"/>
  <c r="L2164" i="2"/>
  <c r="L2163" i="2"/>
  <c r="L2162" i="2"/>
  <c r="L2161" i="2"/>
  <c r="L2160" i="2"/>
  <c r="L2159" i="2"/>
  <c r="L2158" i="2"/>
  <c r="L2157" i="2"/>
  <c r="L2156" i="2"/>
  <c r="L2155" i="2"/>
  <c r="L2154" i="2"/>
  <c r="L2153" i="2"/>
  <c r="L2152" i="2"/>
  <c r="L2151" i="2"/>
  <c r="L2150" i="2"/>
  <c r="L2149" i="2"/>
  <c r="L2148" i="2"/>
  <c r="L2147" i="2"/>
  <c r="L2146" i="2"/>
  <c r="L2145" i="2"/>
  <c r="L2144" i="2"/>
  <c r="L2143" i="2"/>
  <c r="L2142" i="2"/>
  <c r="L2141" i="2"/>
  <c r="L2140" i="2"/>
  <c r="L2139" i="2"/>
  <c r="L2138" i="2"/>
  <c r="L2137" i="2"/>
  <c r="L2136" i="2"/>
  <c r="L2135" i="2"/>
  <c r="L2134" i="2"/>
  <c r="L2133" i="2"/>
  <c r="L2132" i="2"/>
  <c r="L2131" i="2"/>
  <c r="L2130" i="2"/>
  <c r="L2129" i="2"/>
  <c r="L2128" i="2"/>
  <c r="L2127" i="2"/>
  <c r="L2126" i="2"/>
  <c r="L2125" i="2"/>
  <c r="L2124" i="2"/>
  <c r="L2123" i="2"/>
  <c r="L2122" i="2"/>
  <c r="L2121" i="2"/>
  <c r="L2120" i="2"/>
  <c r="L2119" i="2"/>
  <c r="L2118" i="2"/>
  <c r="L2117" i="2"/>
  <c r="L2116" i="2"/>
  <c r="L2115" i="2"/>
  <c r="L2114" i="2"/>
  <c r="L2113" i="2"/>
  <c r="L2112" i="2"/>
  <c r="L2111" i="2"/>
  <c r="L2110" i="2"/>
  <c r="L2109" i="2"/>
  <c r="L2108" i="2"/>
  <c r="L2107" i="2"/>
  <c r="L2106" i="2"/>
  <c r="L2105" i="2"/>
  <c r="L2104" i="2"/>
  <c r="L2103" i="2"/>
  <c r="L2102" i="2"/>
  <c r="L2101" i="2"/>
  <c r="L2100" i="2"/>
  <c r="L2099" i="2"/>
  <c r="L2098" i="2"/>
  <c r="L2097" i="2"/>
  <c r="L2096" i="2"/>
  <c r="L2095" i="2"/>
  <c r="L2094" i="2"/>
  <c r="L2093" i="2"/>
  <c r="L2092" i="2"/>
  <c r="L2091" i="2"/>
  <c r="L2090" i="2"/>
  <c r="L2089" i="2"/>
  <c r="L2088" i="2"/>
  <c r="L2087" i="2"/>
  <c r="L2086" i="2"/>
  <c r="L2085" i="2"/>
  <c r="L2084" i="2"/>
  <c r="L2083" i="2"/>
  <c r="L2082" i="2"/>
  <c r="L2081" i="2"/>
  <c r="L2080" i="2"/>
  <c r="L2079" i="2"/>
  <c r="L2078" i="2"/>
  <c r="L2077" i="2"/>
  <c r="L2076" i="2"/>
  <c r="L2075" i="2"/>
  <c r="L2074" i="2"/>
  <c r="L2073" i="2"/>
  <c r="L2072" i="2"/>
  <c r="L2071" i="2"/>
  <c r="L2070" i="2"/>
  <c r="L2069" i="2"/>
  <c r="L2068" i="2"/>
  <c r="L2067" i="2"/>
  <c r="L2066" i="2"/>
  <c r="L2065" i="2"/>
  <c r="L2064" i="2"/>
  <c r="L2063" i="2"/>
  <c r="L2062" i="2"/>
  <c r="L2061" i="2"/>
  <c r="L2060" i="2"/>
  <c r="L2059" i="2"/>
  <c r="L2058" i="2"/>
  <c r="L2057" i="2"/>
  <c r="L2056" i="2"/>
  <c r="L2055" i="2"/>
  <c r="L2054" i="2"/>
  <c r="L2053" i="2"/>
  <c r="L2052" i="2"/>
  <c r="L2051" i="2"/>
  <c r="L2050" i="2"/>
  <c r="L2049" i="2"/>
  <c r="L2048" i="2"/>
  <c r="L2047" i="2"/>
  <c r="L2046" i="2"/>
  <c r="L2045" i="2"/>
  <c r="L2044" i="2"/>
  <c r="L2043" i="2"/>
  <c r="L2042" i="2"/>
  <c r="L2041" i="2"/>
  <c r="L2040" i="2"/>
  <c r="L2039" i="2"/>
  <c r="L2038" i="2"/>
  <c r="L2037" i="2"/>
  <c r="L2036" i="2"/>
  <c r="L2035" i="2"/>
  <c r="L2034" i="2"/>
  <c r="L2033" i="2"/>
  <c r="L2032" i="2"/>
  <c r="L2031" i="2"/>
  <c r="L2030" i="2"/>
  <c r="L2029" i="2"/>
  <c r="L2028" i="2"/>
  <c r="L2027" i="2"/>
  <c r="L2026" i="2"/>
  <c r="L2025" i="2"/>
  <c r="L2024" i="2"/>
  <c r="L2023" i="2"/>
  <c r="L2022" i="2"/>
  <c r="L2021" i="2"/>
  <c r="L2020" i="2"/>
  <c r="L2019" i="2"/>
  <c r="L2018" i="2"/>
  <c r="L2017" i="2"/>
  <c r="L2016" i="2"/>
  <c r="L2015" i="2"/>
  <c r="L2014" i="2"/>
  <c r="L2013" i="2"/>
  <c r="L2012" i="2"/>
  <c r="L2011" i="2"/>
  <c r="L2010" i="2"/>
  <c r="L2009" i="2"/>
  <c r="L2008" i="2"/>
  <c r="L2007" i="2"/>
  <c r="L2006" i="2"/>
  <c r="L2005" i="2"/>
  <c r="L2004" i="2"/>
  <c r="L2003" i="2"/>
  <c r="L2002" i="2"/>
  <c r="L2001" i="2"/>
  <c r="L2000" i="2"/>
  <c r="L1999" i="2"/>
  <c r="L1998" i="2"/>
  <c r="L1997" i="2"/>
  <c r="L1996" i="2"/>
  <c r="L1995" i="2"/>
  <c r="L1994" i="2"/>
  <c r="L1993" i="2"/>
  <c r="L1992" i="2"/>
  <c r="L1991" i="2"/>
  <c r="L1990" i="2"/>
  <c r="L1989" i="2"/>
  <c r="L1988" i="2"/>
  <c r="L1987" i="2"/>
  <c r="L1986" i="2"/>
  <c r="L1985" i="2"/>
  <c r="L1984" i="2"/>
  <c r="L1983" i="2"/>
  <c r="L1982" i="2"/>
  <c r="L1981" i="2"/>
  <c r="L1980" i="2"/>
  <c r="L1979" i="2"/>
  <c r="L1978" i="2"/>
  <c r="L1977" i="2"/>
  <c r="L1976" i="2"/>
  <c r="L1975" i="2"/>
  <c r="L1974" i="2"/>
  <c r="L1973" i="2"/>
  <c r="L1972" i="2"/>
  <c r="L1971" i="2"/>
  <c r="L1970" i="2"/>
  <c r="L1969" i="2"/>
  <c r="L1968" i="2"/>
  <c r="L1967" i="2"/>
  <c r="L1966" i="2"/>
  <c r="L1965" i="2"/>
  <c r="L1964" i="2"/>
  <c r="L1963" i="2"/>
  <c r="L1962" i="2"/>
  <c r="L1961" i="2"/>
  <c r="L1960" i="2"/>
  <c r="L1959" i="2"/>
  <c r="L1958" i="2"/>
  <c r="L1957" i="2"/>
  <c r="L1956" i="2"/>
  <c r="L1955" i="2"/>
  <c r="L1954" i="2"/>
  <c r="L1953" i="2"/>
  <c r="L1952" i="2"/>
  <c r="L1951" i="2"/>
  <c r="L1950" i="2"/>
  <c r="L1949" i="2"/>
  <c r="L1948" i="2"/>
  <c r="L1947" i="2"/>
  <c r="L1946" i="2"/>
  <c r="L1945" i="2"/>
  <c r="L1944" i="2"/>
  <c r="L1943" i="2"/>
  <c r="L1942" i="2"/>
  <c r="L1941" i="2"/>
  <c r="L1940" i="2"/>
  <c r="L1939" i="2"/>
  <c r="L1938" i="2"/>
  <c r="L1937" i="2"/>
  <c r="L1936" i="2"/>
  <c r="L1935" i="2"/>
  <c r="L1934" i="2"/>
  <c r="L1933" i="2"/>
  <c r="L1932" i="2"/>
  <c r="L1931" i="2"/>
  <c r="L1930" i="2"/>
  <c r="L1929" i="2"/>
  <c r="L1928" i="2"/>
  <c r="L1927" i="2"/>
  <c r="L1926" i="2"/>
  <c r="L1925" i="2"/>
  <c r="L1924" i="2"/>
  <c r="L1923" i="2"/>
  <c r="L1922" i="2"/>
  <c r="L1921" i="2"/>
  <c r="L1920" i="2"/>
  <c r="L1919" i="2"/>
  <c r="L1918" i="2"/>
  <c r="L1917" i="2"/>
  <c r="L1916" i="2"/>
  <c r="L1915" i="2"/>
  <c r="L1914" i="2"/>
  <c r="L1913" i="2"/>
  <c r="L1912" i="2"/>
  <c r="L1911" i="2"/>
  <c r="L1910" i="2"/>
  <c r="L1909" i="2"/>
  <c r="L1908" i="2"/>
  <c r="L1907" i="2"/>
  <c r="L1906" i="2"/>
  <c r="L1905" i="2"/>
  <c r="L1904" i="2"/>
  <c r="L1903" i="2"/>
  <c r="L1902" i="2"/>
  <c r="L1901" i="2"/>
  <c r="L1900" i="2"/>
  <c r="L1899" i="2"/>
  <c r="L1898" i="2"/>
  <c r="L1897" i="2"/>
  <c r="L1896" i="2"/>
  <c r="L1895" i="2"/>
  <c r="L1894" i="2"/>
  <c r="L1893" i="2"/>
  <c r="L1892" i="2"/>
  <c r="L1891" i="2"/>
  <c r="L1890" i="2"/>
  <c r="L1889" i="2"/>
  <c r="L1888" i="2"/>
  <c r="L1887" i="2"/>
  <c r="L1886" i="2"/>
  <c r="L1885" i="2"/>
  <c r="L1884" i="2"/>
  <c r="L1883" i="2"/>
  <c r="L1882" i="2"/>
  <c r="L1881" i="2"/>
  <c r="L1880" i="2"/>
  <c r="L1879" i="2"/>
  <c r="L1878" i="2"/>
  <c r="L1877" i="2"/>
  <c r="L1876" i="2"/>
  <c r="L1875" i="2"/>
  <c r="L1874" i="2"/>
  <c r="L1873" i="2"/>
  <c r="L1872" i="2"/>
  <c r="L1871" i="2"/>
  <c r="L1870" i="2"/>
  <c r="L1869" i="2"/>
  <c r="L1868" i="2"/>
  <c r="L1867" i="2"/>
  <c r="L1866" i="2"/>
  <c r="L1865" i="2"/>
  <c r="L1864" i="2"/>
  <c r="L1863" i="2"/>
  <c r="L1862" i="2"/>
  <c r="L1861" i="2"/>
  <c r="L1860" i="2"/>
  <c r="L1859" i="2"/>
  <c r="L1858" i="2"/>
  <c r="L1857" i="2"/>
  <c r="L1856" i="2"/>
  <c r="L1855" i="2"/>
  <c r="L1854" i="2"/>
  <c r="L1853" i="2"/>
  <c r="L1852" i="2"/>
  <c r="L1851" i="2"/>
  <c r="L1850" i="2"/>
  <c r="L1849" i="2"/>
  <c r="L1848" i="2"/>
  <c r="L1847" i="2"/>
  <c r="L1846" i="2"/>
  <c r="L1845" i="2"/>
  <c r="L1844" i="2"/>
  <c r="L1843" i="2"/>
  <c r="L1842" i="2"/>
  <c r="L1841" i="2"/>
  <c r="L1840" i="2"/>
  <c r="L1839" i="2"/>
  <c r="L1838" i="2"/>
  <c r="L1837" i="2"/>
  <c r="L1836" i="2"/>
  <c r="L1835" i="2"/>
  <c r="L1834" i="2"/>
  <c r="L1833" i="2"/>
  <c r="L1832" i="2"/>
  <c r="L1831" i="2"/>
  <c r="L1830" i="2"/>
  <c r="L1829" i="2"/>
  <c r="L1828" i="2"/>
  <c r="L1827" i="2"/>
  <c r="L1826" i="2"/>
  <c r="L1825" i="2"/>
  <c r="L1824" i="2"/>
  <c r="L1823" i="2"/>
  <c r="L1822" i="2"/>
  <c r="L1821" i="2"/>
  <c r="L1820" i="2"/>
  <c r="L1819" i="2"/>
  <c r="L1818" i="2"/>
  <c r="L1817" i="2"/>
  <c r="L1816" i="2"/>
  <c r="L1815" i="2"/>
  <c r="L1814" i="2"/>
  <c r="L1813" i="2"/>
  <c r="L1812" i="2"/>
  <c r="L1811" i="2"/>
  <c r="L1810" i="2"/>
  <c r="L1809" i="2"/>
  <c r="L1808" i="2"/>
  <c r="L1807" i="2"/>
  <c r="L1806" i="2"/>
  <c r="L1805" i="2"/>
  <c r="L1804" i="2"/>
  <c r="L1803" i="2"/>
  <c r="L1802" i="2"/>
  <c r="L1801" i="2"/>
  <c r="L1800" i="2"/>
  <c r="L1799" i="2"/>
  <c r="L1798" i="2"/>
  <c r="L1797" i="2"/>
  <c r="L1796" i="2"/>
  <c r="L1795" i="2"/>
  <c r="L1794" i="2"/>
  <c r="L1793" i="2"/>
  <c r="L1792" i="2"/>
  <c r="L1791" i="2"/>
  <c r="L1790" i="2"/>
  <c r="L1789" i="2"/>
  <c r="L1788" i="2"/>
  <c r="L1787" i="2"/>
  <c r="L1786" i="2"/>
  <c r="L1785" i="2"/>
  <c r="L1784" i="2"/>
  <c r="L1783" i="2"/>
  <c r="L1782" i="2"/>
  <c r="L1781" i="2"/>
  <c r="L1780" i="2"/>
  <c r="L1779" i="2"/>
  <c r="L1778" i="2"/>
  <c r="L1777" i="2"/>
  <c r="L1776" i="2"/>
  <c r="L1775" i="2"/>
  <c r="L1774" i="2"/>
  <c r="L1773" i="2"/>
  <c r="L1772" i="2"/>
  <c r="L1771" i="2"/>
  <c r="L1770" i="2"/>
  <c r="L1769" i="2"/>
  <c r="L1768" i="2"/>
  <c r="L1767" i="2"/>
  <c r="L1766" i="2"/>
  <c r="L1765" i="2"/>
  <c r="L1764" i="2"/>
  <c r="L1763" i="2"/>
  <c r="L1762" i="2"/>
  <c r="L1761" i="2"/>
  <c r="L1760" i="2"/>
  <c r="L1759" i="2"/>
  <c r="L1758" i="2"/>
  <c r="L1757" i="2"/>
  <c r="L1756" i="2"/>
  <c r="L1755" i="2"/>
  <c r="L1754" i="2"/>
  <c r="L1753" i="2"/>
  <c r="L1752" i="2"/>
  <c r="L1751" i="2"/>
  <c r="L1750" i="2"/>
  <c r="L1749" i="2"/>
  <c r="L1748" i="2"/>
  <c r="L1747" i="2"/>
  <c r="L1746" i="2"/>
  <c r="L1745" i="2"/>
  <c r="L1744" i="2"/>
  <c r="L1743" i="2"/>
  <c r="L1742" i="2"/>
  <c r="L1741" i="2"/>
  <c r="L1740" i="2"/>
  <c r="L1739" i="2"/>
  <c r="L1738" i="2"/>
  <c r="L1737" i="2"/>
  <c r="L1736" i="2"/>
  <c r="L1735" i="2"/>
  <c r="L1734" i="2"/>
  <c r="L1733" i="2"/>
  <c r="L1732" i="2"/>
  <c r="L1731" i="2"/>
  <c r="L1730" i="2"/>
  <c r="L1729" i="2"/>
  <c r="L1728" i="2"/>
  <c r="L1727" i="2"/>
  <c r="L1726" i="2"/>
  <c r="L1725" i="2"/>
  <c r="L1724" i="2"/>
  <c r="L1723" i="2"/>
  <c r="L1722" i="2"/>
  <c r="L1721" i="2"/>
  <c r="L1720" i="2"/>
  <c r="L1719" i="2"/>
  <c r="L1718" i="2"/>
  <c r="L1717" i="2"/>
  <c r="L1716" i="2"/>
  <c r="L1715" i="2"/>
  <c r="L1714" i="2"/>
  <c r="L1713" i="2"/>
  <c r="L1712" i="2"/>
  <c r="L1711" i="2"/>
  <c r="L1710" i="2"/>
  <c r="L1709" i="2"/>
  <c r="L1708" i="2"/>
  <c r="L1707" i="2"/>
  <c r="L1706" i="2"/>
  <c r="L1705" i="2"/>
  <c r="L1704" i="2"/>
  <c r="L1703" i="2"/>
  <c r="L1702" i="2"/>
  <c r="L1701" i="2"/>
  <c r="L1700" i="2"/>
  <c r="L1699" i="2"/>
  <c r="L1698" i="2"/>
  <c r="L1697" i="2"/>
  <c r="L1696" i="2"/>
  <c r="L1695" i="2"/>
  <c r="L1694" i="2"/>
  <c r="L1693" i="2"/>
  <c r="L1692" i="2"/>
  <c r="L1691" i="2"/>
  <c r="L1690" i="2"/>
  <c r="L1689" i="2"/>
  <c r="L1688" i="2"/>
  <c r="L1687" i="2"/>
  <c r="L1686" i="2"/>
  <c r="L1685" i="2"/>
  <c r="L1684" i="2"/>
  <c r="L1683" i="2"/>
  <c r="L1682" i="2"/>
  <c r="L1681" i="2"/>
  <c r="L1680" i="2"/>
  <c r="L1679" i="2"/>
  <c r="L1678" i="2"/>
  <c r="L1677" i="2"/>
  <c r="L1676" i="2"/>
  <c r="L1675" i="2"/>
  <c r="L1674" i="2"/>
  <c r="L1673" i="2"/>
  <c r="L1672" i="2"/>
  <c r="L1671" i="2"/>
  <c r="L1670" i="2"/>
  <c r="L1669" i="2"/>
  <c r="L1668" i="2"/>
  <c r="L1667" i="2"/>
  <c r="L1666" i="2"/>
  <c r="L1665" i="2"/>
  <c r="L1664" i="2"/>
  <c r="L1663" i="2"/>
  <c r="L1662" i="2"/>
  <c r="L1661" i="2"/>
  <c r="L1660" i="2"/>
  <c r="L1659" i="2"/>
  <c r="L1658" i="2"/>
  <c r="L1657" i="2"/>
  <c r="L1656" i="2"/>
  <c r="L1655" i="2"/>
  <c r="L1654" i="2"/>
  <c r="L1653" i="2"/>
  <c r="L1652" i="2"/>
  <c r="L1651" i="2"/>
  <c r="L1650" i="2"/>
  <c r="L1649" i="2"/>
  <c r="L1648" i="2"/>
  <c r="L1647" i="2"/>
  <c r="L1646" i="2"/>
  <c r="L1645" i="2"/>
  <c r="L1644" i="2"/>
  <c r="L1643" i="2"/>
  <c r="L1642" i="2"/>
  <c r="L1641" i="2"/>
  <c r="L1640" i="2"/>
  <c r="L1639" i="2"/>
  <c r="L1638" i="2"/>
  <c r="L1637" i="2"/>
  <c r="L1636" i="2"/>
  <c r="L1635" i="2"/>
  <c r="L1634" i="2"/>
  <c r="L1633" i="2"/>
  <c r="L1632" i="2"/>
  <c r="L1631" i="2"/>
  <c r="L1630" i="2"/>
  <c r="L1629" i="2"/>
  <c r="L1628" i="2"/>
  <c r="L1627" i="2"/>
  <c r="L1626" i="2"/>
  <c r="L1625" i="2"/>
  <c r="L1624" i="2"/>
  <c r="L1623" i="2"/>
  <c r="L1622" i="2"/>
  <c r="L1621" i="2"/>
  <c r="L1620" i="2"/>
  <c r="L1619" i="2"/>
  <c r="L1618" i="2"/>
  <c r="L1617" i="2"/>
  <c r="L1616" i="2"/>
  <c r="L1615" i="2"/>
  <c r="L1614" i="2"/>
  <c r="L1613" i="2"/>
  <c r="L1612" i="2"/>
  <c r="L1611" i="2"/>
  <c r="L1610" i="2"/>
  <c r="L1609" i="2"/>
  <c r="L1608" i="2"/>
  <c r="L1607" i="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C798" i="2" l="1"/>
  <c r="F896" i="2"/>
  <c r="E903" i="2"/>
  <c r="H912" i="2"/>
  <c r="E898" i="2"/>
  <c r="E910" i="2"/>
  <c r="H919" i="2"/>
  <c r="H899" i="2"/>
  <c r="H907" i="2"/>
  <c r="F893" i="2"/>
  <c r="H891" i="2"/>
  <c r="G895" i="2"/>
  <c r="H890" i="2"/>
  <c r="F847" i="2"/>
  <c r="H915" i="2"/>
  <c r="G907" i="2"/>
  <c r="E877" i="2"/>
  <c r="F892" i="2"/>
  <c r="E900" i="2"/>
  <c r="F888" i="2"/>
  <c r="E886" i="2"/>
  <c r="G884" i="2"/>
  <c r="E882" i="2"/>
  <c r="H880" i="2"/>
  <c r="F878" i="2"/>
  <c r="H875" i="2"/>
  <c r="E873" i="2"/>
  <c r="G871" i="2"/>
  <c r="H869" i="2"/>
  <c r="E867" i="2"/>
  <c r="H865" i="2"/>
  <c r="E863" i="2"/>
  <c r="F861" i="2"/>
  <c r="F859" i="2"/>
  <c r="G857" i="2"/>
  <c r="G855" i="2"/>
  <c r="G853" i="2"/>
  <c r="F851" i="2"/>
  <c r="F849" i="2"/>
  <c r="G823" i="2"/>
  <c r="F815" i="2"/>
  <c r="E827" i="2"/>
  <c r="F828" i="2"/>
  <c r="E824" i="2"/>
  <c r="G836" i="2"/>
  <c r="H830" i="2"/>
  <c r="E819" i="2"/>
  <c r="G820" i="2"/>
  <c r="H829" i="2"/>
  <c r="H813" i="2"/>
  <c r="G830" i="2"/>
  <c r="G814" i="2"/>
  <c r="H832" i="2"/>
  <c r="E823" i="2"/>
  <c r="G839" i="2"/>
  <c r="G843" i="2"/>
  <c r="F809" i="2"/>
  <c r="H807" i="2"/>
  <c r="F805" i="2"/>
  <c r="F803" i="2"/>
  <c r="G801" i="2"/>
  <c r="G799" i="2"/>
  <c r="H797" i="2"/>
  <c r="E804" i="2"/>
  <c r="G798" i="2"/>
  <c r="H798" i="2"/>
  <c r="E909" i="2"/>
  <c r="E844" i="2"/>
  <c r="F884" i="2"/>
  <c r="G880" i="2"/>
  <c r="F871" i="2"/>
  <c r="H861" i="2"/>
  <c r="E853" i="2"/>
  <c r="G825" i="2"/>
  <c r="E833" i="2"/>
  <c r="E828" i="2"/>
  <c r="F825" i="2"/>
  <c r="E805" i="2"/>
  <c r="G878" i="2"/>
  <c r="H855" i="2"/>
  <c r="E820" i="2"/>
  <c r="F831" i="2"/>
  <c r="E839" i="2"/>
  <c r="F801" i="2"/>
  <c r="H914" i="2"/>
  <c r="F915" i="2"/>
  <c r="F908" i="2"/>
  <c r="G917" i="2"/>
  <c r="G918" i="2"/>
  <c r="F916" i="2"/>
  <c r="F889" i="2"/>
  <c r="G910" i="2"/>
  <c r="H916" i="2"/>
  <c r="F907" i="2"/>
  <c r="H846" i="2"/>
  <c r="G892" i="2"/>
  <c r="E895" i="2"/>
  <c r="E913" i="2"/>
  <c r="E901" i="2"/>
  <c r="E906" i="2"/>
  <c r="G912" i="2"/>
  <c r="G914" i="2"/>
  <c r="F909" i="2"/>
  <c r="H887" i="2"/>
  <c r="F885" i="2"/>
  <c r="H883" i="2"/>
  <c r="E881" i="2"/>
  <c r="G879" i="2"/>
  <c r="E876" i="2"/>
  <c r="E874" i="2"/>
  <c r="H872" i="2"/>
  <c r="G870" i="2"/>
  <c r="G868" i="2"/>
  <c r="H866" i="2"/>
  <c r="H864" i="2"/>
  <c r="H862" i="2"/>
  <c r="F860" i="2"/>
  <c r="F858" i="2"/>
  <c r="G856" i="2"/>
  <c r="G854" i="2"/>
  <c r="E852" i="2"/>
  <c r="E850" i="2"/>
  <c r="F819" i="2"/>
  <c r="H827" i="2"/>
  <c r="H820" i="2"/>
  <c r="G828" i="2"/>
  <c r="F833" i="2"/>
  <c r="E818" i="2"/>
  <c r="G824" i="2"/>
  <c r="G826" i="2"/>
  <c r="F818" i="2"/>
  <c r="F836" i="2"/>
  <c r="H824" i="2"/>
  <c r="H841" i="2"/>
  <c r="F835" i="2"/>
  <c r="H823" i="2"/>
  <c r="G832" i="2"/>
  <c r="E816" i="2"/>
  <c r="G813" i="2"/>
  <c r="E810" i="2"/>
  <c r="G810" i="2"/>
  <c r="F806" i="2"/>
  <c r="G802" i="2"/>
  <c r="F800" i="2"/>
  <c r="E800" i="2"/>
  <c r="F917" i="2"/>
  <c r="H903" i="2"/>
  <c r="F873" i="2"/>
  <c r="H857" i="2"/>
  <c r="F811" i="2"/>
  <c r="G819" i="2"/>
  <c r="E843" i="2"/>
  <c r="F813" i="2"/>
  <c r="G807" i="2"/>
  <c r="H882" i="2"/>
  <c r="G861" i="2"/>
  <c r="H849" i="2"/>
  <c r="G829" i="2"/>
  <c r="G821" i="2"/>
  <c r="E799" i="2"/>
  <c r="G891" i="2"/>
  <c r="G897" i="2"/>
  <c r="G845" i="2"/>
  <c r="H902" i="2"/>
  <c r="E899" i="2"/>
  <c r="F877" i="2"/>
  <c r="G903" i="2"/>
  <c r="F902" i="2"/>
  <c r="H906" i="2"/>
  <c r="F913" i="2"/>
  <c r="E911" i="2"/>
  <c r="E46" i="2"/>
  <c r="E897" i="2"/>
  <c r="E916" i="2"/>
  <c r="G847" i="2"/>
  <c r="G900" i="2"/>
  <c r="G904" i="2"/>
  <c r="H889" i="2"/>
  <c r="E892" i="2"/>
  <c r="E887" i="2"/>
  <c r="E885" i="2"/>
  <c r="G883" i="2"/>
  <c r="H881" i="2"/>
  <c r="H879" i="2"/>
  <c r="G876" i="2"/>
  <c r="G874" i="2"/>
  <c r="G872" i="2"/>
  <c r="F870" i="2"/>
  <c r="H868" i="2"/>
  <c r="E866" i="2"/>
  <c r="F864" i="2"/>
  <c r="F862" i="2"/>
  <c r="G860" i="2"/>
  <c r="E858" i="2"/>
  <c r="F856" i="2"/>
  <c r="H854" i="2"/>
  <c r="F852" i="2"/>
  <c r="H850" i="2"/>
  <c r="H834" i="2"/>
  <c r="E815" i="2"/>
  <c r="E835" i="2"/>
  <c r="E848" i="2"/>
  <c r="E814" i="2"/>
  <c r="E829" i="2"/>
  <c r="G812" i="2"/>
  <c r="E840" i="2"/>
  <c r="E836" i="2"/>
  <c r="G827" i="2"/>
  <c r="H816" i="2"/>
  <c r="G833" i="2"/>
  <c r="H833" i="2"/>
  <c r="E837" i="2"/>
  <c r="G841" i="2"/>
  <c r="F837" i="2"/>
  <c r="F829" i="2"/>
  <c r="E809" i="2"/>
  <c r="G809" i="2"/>
  <c r="E806" i="2"/>
  <c r="G804" i="2"/>
  <c r="E802" i="2"/>
  <c r="F910" i="2"/>
  <c r="E888" i="2"/>
  <c r="G865" i="2"/>
  <c r="G849" i="2"/>
  <c r="F820" i="2"/>
  <c r="G816" i="2"/>
  <c r="H801" i="2"/>
  <c r="E871" i="2"/>
  <c r="H840" i="2"/>
  <c r="H811" i="2"/>
  <c r="G805" i="2"/>
  <c r="G893" i="2"/>
  <c r="G909" i="2"/>
  <c r="F846" i="2"/>
  <c r="H904" i="2"/>
  <c r="H918" i="2"/>
  <c r="E894" i="2"/>
  <c r="G915" i="2"/>
  <c r="H844" i="2"/>
  <c r="H897" i="2"/>
  <c r="F890" i="2"/>
  <c r="H909" i="2"/>
  <c r="E914" i="2"/>
  <c r="H877" i="2"/>
  <c r="F46" i="2"/>
  <c r="G908" i="2"/>
  <c r="E904" i="2"/>
  <c r="F899" i="2"/>
  <c r="F914" i="2"/>
  <c r="F919" i="2"/>
  <c r="F887" i="2"/>
  <c r="G885" i="2"/>
  <c r="E883" i="2"/>
  <c r="F881" i="2"/>
  <c r="E879" i="2"/>
  <c r="H876" i="2"/>
  <c r="F874" i="2"/>
  <c r="E872" i="2"/>
  <c r="H870" i="2"/>
  <c r="F868" i="2"/>
  <c r="F866" i="2"/>
  <c r="E864" i="2"/>
  <c r="G862" i="2"/>
  <c r="E860" i="2"/>
  <c r="H858" i="2"/>
  <c r="E856" i="2"/>
  <c r="E854" i="2"/>
  <c r="G852" i="2"/>
  <c r="F850" i="2"/>
  <c r="H837" i="2"/>
  <c r="H815" i="2"/>
  <c r="G837" i="2"/>
  <c r="F816" i="2"/>
  <c r="G840" i="2"/>
  <c r="H848" i="2"/>
  <c r="F840" i="2"/>
  <c r="H819" i="2"/>
  <c r="F842" i="2"/>
  <c r="F841" i="2"/>
  <c r="G822" i="2"/>
  <c r="E830" i="2"/>
  <c r="H821" i="2"/>
  <c r="E831" i="2"/>
  <c r="E822" i="2"/>
  <c r="G817" i="2"/>
  <c r="H822" i="2"/>
  <c r="H809" i="2"/>
  <c r="F808" i="2"/>
  <c r="H806" i="2"/>
  <c r="F804" i="2"/>
  <c r="F802" i="2"/>
  <c r="G800" i="2"/>
  <c r="F798" i="2"/>
  <c r="H800" i="2"/>
  <c r="F894" i="2"/>
  <c r="F905" i="2"/>
  <c r="E912" i="2"/>
  <c r="H913" i="2"/>
  <c r="H905" i="2"/>
  <c r="F882" i="2"/>
  <c r="E875" i="2"/>
  <c r="F867" i="2"/>
  <c r="E859" i="2"/>
  <c r="G851" i="2"/>
  <c r="H814" i="2"/>
  <c r="G835" i="2"/>
  <c r="F830" i="2"/>
  <c r="G808" i="2"/>
  <c r="H799" i="2"/>
  <c r="F875" i="2"/>
  <c r="H853" i="2"/>
  <c r="H812" i="2"/>
  <c r="E811" i="2"/>
  <c r="G838" i="2"/>
  <c r="H808" i="2"/>
  <c r="F797" i="2"/>
  <c r="E890" i="2"/>
  <c r="H46" i="2"/>
  <c r="G916" i="2"/>
  <c r="E919" i="2"/>
  <c r="H896" i="2"/>
  <c r="E896" i="2"/>
  <c r="H908" i="2"/>
  <c r="H845" i="2"/>
  <c r="H898" i="2"/>
  <c r="F895" i="2"/>
  <c r="G901" i="2"/>
  <c r="E893" i="2"/>
  <c r="G913" i="2"/>
  <c r="F844" i="2"/>
  <c r="F903" i="2"/>
  <c r="G46" i="2"/>
  <c r="H917" i="2"/>
  <c r="E908" i="2"/>
  <c r="F901" i="2"/>
  <c r="G887" i="2"/>
  <c r="H885" i="2"/>
  <c r="F883" i="2"/>
  <c r="G881" i="2"/>
  <c r="F879" i="2"/>
  <c r="F876" i="2"/>
  <c r="H874" i="2"/>
  <c r="F872" i="2"/>
  <c r="E870" i="2"/>
  <c r="E868" i="2"/>
  <c r="G866" i="2"/>
  <c r="G864" i="2"/>
  <c r="E862" i="2"/>
  <c r="H860" i="2"/>
  <c r="G858" i="2"/>
  <c r="H856" i="2"/>
  <c r="F854" i="2"/>
  <c r="H852" i="2"/>
  <c r="G850" i="2"/>
  <c r="G842" i="2"/>
  <c r="F848" i="2"/>
  <c r="G815" i="2"/>
  <c r="H842" i="2"/>
  <c r="H817" i="2"/>
  <c r="E838" i="2"/>
  <c r="G811" i="2"/>
  <c r="F821" i="2"/>
  <c r="H828" i="2"/>
  <c r="H843" i="2"/>
  <c r="F823" i="2"/>
  <c r="F812" i="2"/>
  <c r="H818" i="2"/>
  <c r="G831" i="2"/>
  <c r="G818" i="2"/>
  <c r="H831" i="2"/>
  <c r="F822" i="2"/>
  <c r="F810" i="2"/>
  <c r="H810" i="2"/>
  <c r="G806" i="2"/>
  <c r="H804" i="2"/>
  <c r="H802" i="2"/>
  <c r="E798" i="2"/>
  <c r="F906" i="2"/>
  <c r="F912" i="2"/>
  <c r="H892" i="2"/>
  <c r="G896" i="2"/>
  <c r="G902" i="2"/>
  <c r="H900" i="2"/>
  <c r="E846" i="2"/>
  <c r="G877" i="2"/>
  <c r="G886" i="2"/>
  <c r="E878" i="2"/>
  <c r="E869" i="2"/>
  <c r="G863" i="2"/>
  <c r="E855" i="2"/>
  <c r="H835" i="2"/>
  <c r="G848" i="2"/>
  <c r="E841" i="2"/>
  <c r="F814" i="2"/>
  <c r="E803" i="2"/>
  <c r="G797" i="2"/>
  <c r="H873" i="2"/>
  <c r="G859" i="2"/>
  <c r="E825" i="2"/>
  <c r="F817" i="2"/>
  <c r="E813" i="2"/>
  <c r="G803" i="2"/>
  <c r="H895" i="2"/>
  <c r="F904" i="2"/>
  <c r="G894" i="2"/>
  <c r="F918" i="2"/>
  <c r="H847" i="2"/>
  <c r="E918" i="2"/>
  <c r="F911" i="2"/>
  <c r="E915" i="2"/>
  <c r="G906" i="2"/>
  <c r="H910" i="2"/>
  <c r="E845" i="2"/>
  <c r="G846" i="2"/>
  <c r="F900" i="2"/>
  <c r="G899" i="2"/>
  <c r="G919" i="2"/>
  <c r="F891" i="2"/>
  <c r="E902" i="2"/>
  <c r="F898" i="2"/>
  <c r="H888" i="2"/>
  <c r="H886" i="2"/>
  <c r="H884" i="2"/>
  <c r="G882" i="2"/>
  <c r="E880" i="2"/>
  <c r="H878" i="2"/>
  <c r="G875" i="2"/>
  <c r="G873" i="2"/>
  <c r="H871" i="2"/>
  <c r="F869" i="2"/>
  <c r="G867" i="2"/>
  <c r="E865" i="2"/>
  <c r="F863" i="2"/>
  <c r="E861" i="2"/>
  <c r="H859" i="2"/>
  <c r="E857" i="2"/>
  <c r="F855" i="2"/>
  <c r="F853" i="2"/>
  <c r="E851" i="2"/>
  <c r="E849" i="2"/>
  <c r="E826" i="2"/>
  <c r="E821" i="2"/>
  <c r="E817" i="2"/>
  <c r="F834" i="2"/>
  <c r="E832" i="2"/>
  <c r="F832" i="2"/>
  <c r="F824" i="2"/>
  <c r="H836" i="2"/>
  <c r="F826" i="2"/>
  <c r="F838" i="2"/>
  <c r="F839" i="2"/>
  <c r="F827" i="2"/>
  <c r="E842" i="2"/>
  <c r="H839" i="2"/>
  <c r="G834" i="2"/>
  <c r="H838" i="2"/>
  <c r="H826" i="2"/>
  <c r="E808" i="2"/>
  <c r="E807" i="2"/>
  <c r="H805" i="2"/>
  <c r="H803" i="2"/>
  <c r="E801" i="2"/>
  <c r="F799" i="2"/>
  <c r="E797" i="2"/>
  <c r="G911" i="2"/>
  <c r="G844" i="2"/>
  <c r="E917" i="2"/>
  <c r="H893" i="2"/>
  <c r="F845" i="2"/>
  <c r="G890" i="2"/>
  <c r="H901" i="2"/>
  <c r="G889" i="2"/>
  <c r="F897" i="2"/>
  <c r="G905" i="2"/>
  <c r="E905" i="2"/>
  <c r="E889" i="2"/>
  <c r="G898" i="2"/>
  <c r="H894" i="2"/>
  <c r="E847" i="2"/>
  <c r="E907" i="2"/>
  <c r="E891" i="2"/>
  <c r="H911" i="2"/>
  <c r="G888" i="2"/>
  <c r="F886" i="2"/>
  <c r="E884" i="2"/>
  <c r="F880" i="2"/>
  <c r="G869" i="2"/>
  <c r="H867" i="2"/>
  <c r="F865" i="2"/>
  <c r="H863" i="2"/>
  <c r="F857" i="2"/>
  <c r="H851" i="2"/>
  <c r="E812" i="2"/>
  <c r="E834" i="2"/>
  <c r="H825" i="2"/>
  <c r="F843" i="2"/>
  <c r="F807" i="2"/>
  <c r="L798" i="2" l="1"/>
  <c r="L799" i="2"/>
  <c r="L800" i="2"/>
  <c r="L801" i="2"/>
  <c r="L802" i="2"/>
  <c r="L803" i="2"/>
  <c r="L804" i="2"/>
  <c r="L805" i="2"/>
  <c r="L806" i="2"/>
  <c r="L807" i="2"/>
  <c r="L810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8" i="2"/>
  <c r="L879" i="2"/>
  <c r="L880" i="2"/>
  <c r="L881" i="2"/>
  <c r="L882" i="2"/>
  <c r="L883" i="2"/>
  <c r="L884" i="2"/>
  <c r="L885" i="2"/>
  <c r="L886" i="2"/>
  <c r="L887" i="2"/>
  <c r="L888" i="2"/>
  <c r="L914" i="2"/>
  <c r="L904" i="2"/>
  <c r="L912" i="2"/>
  <c r="L877" i="2"/>
  <c r="L900" i="2"/>
  <c r="L907" i="2"/>
  <c r="L919" i="2"/>
  <c r="L908" i="2"/>
  <c r="L899" i="2"/>
  <c r="L898" i="2"/>
  <c r="L913" i="2"/>
  <c r="L46" i="2"/>
  <c r="L892" i="2"/>
  <c r="L895" i="2"/>
  <c r="L901" i="2"/>
  <c r="L905" i="2"/>
  <c r="L902" i="2"/>
  <c r="L906" i="2"/>
  <c r="L889" i="2"/>
  <c r="L896" i="2"/>
  <c r="L915" i="2"/>
  <c r="L903" i="2"/>
  <c r="L890" i="2"/>
  <c r="L918" i="2"/>
  <c r="L917" i="2"/>
  <c r="L894" i="2"/>
  <c r="L910" i="2"/>
  <c r="L916" i="2"/>
  <c r="L909" i="2"/>
  <c r="L897" i="2"/>
  <c r="L911" i="2"/>
  <c r="L893" i="2"/>
  <c r="L891" i="2"/>
  <c r="L797" i="2"/>
  <c r="B797" i="2"/>
  <c r="C797" i="2" s="1"/>
  <c r="F796" i="2"/>
  <c r="G796" i="2"/>
  <c r="H796" i="2"/>
  <c r="E796" i="2"/>
  <c r="L796" i="2" l="1"/>
  <c r="B796" i="2"/>
  <c r="C796" i="2" s="1"/>
  <c r="F795" i="2"/>
  <c r="E795" i="2"/>
  <c r="G795" i="2"/>
  <c r="H795" i="2"/>
  <c r="L795" i="2" l="1"/>
  <c r="B795" i="2"/>
  <c r="C795" i="2" s="1"/>
  <c r="F794" i="2"/>
  <c r="G794" i="2"/>
  <c r="H794" i="2"/>
  <c r="E794" i="2"/>
  <c r="L794" i="2" l="1"/>
  <c r="B794" i="2"/>
  <c r="C794" i="2" s="1"/>
  <c r="F793" i="2"/>
  <c r="E793" i="2"/>
  <c r="H793" i="2"/>
  <c r="G793" i="2"/>
  <c r="L793" i="2" l="1"/>
  <c r="B793" i="2"/>
  <c r="C793" i="2" s="1"/>
  <c r="F792" i="2"/>
  <c r="G792" i="2"/>
  <c r="H792" i="2"/>
  <c r="E792" i="2"/>
  <c r="L792" i="2" l="1"/>
  <c r="G791" i="2"/>
  <c r="E791" i="2"/>
  <c r="F791" i="2"/>
  <c r="H791" i="2"/>
  <c r="L791" i="2" l="1"/>
  <c r="H790" i="2"/>
  <c r="E790" i="2"/>
  <c r="G790" i="2"/>
  <c r="F790" i="2"/>
  <c r="L790" i="2" l="1"/>
  <c r="B790" i="2"/>
  <c r="C790" i="2" s="1"/>
  <c r="H789" i="2"/>
  <c r="G789" i="2"/>
  <c r="F789" i="2"/>
  <c r="E789" i="2"/>
  <c r="L789" i="2" l="1"/>
  <c r="F788" i="2"/>
  <c r="H788" i="2"/>
  <c r="G788" i="2"/>
  <c r="E788" i="2"/>
  <c r="L788" i="2" l="1"/>
  <c r="B788" i="2"/>
  <c r="C788" i="2" s="1"/>
  <c r="F787" i="2"/>
  <c r="G787" i="2"/>
  <c r="H787" i="2"/>
  <c r="E787" i="2"/>
  <c r="L787" i="2" l="1"/>
  <c r="E786" i="2"/>
  <c r="F786" i="2"/>
  <c r="H786" i="2"/>
  <c r="G786" i="2"/>
  <c r="L786" i="2" l="1"/>
  <c r="B786" i="2"/>
  <c r="C786" i="2" s="1"/>
  <c r="E785" i="2"/>
  <c r="G785" i="2"/>
  <c r="F785" i="2"/>
  <c r="H785" i="2"/>
  <c r="L785" i="2" l="1"/>
  <c r="B785" i="2"/>
  <c r="G784" i="2"/>
  <c r="H784" i="2"/>
  <c r="F784" i="2"/>
  <c r="E784" i="2"/>
  <c r="L784" i="2" l="1"/>
  <c r="F783" i="2"/>
  <c r="H783" i="2"/>
  <c r="E783" i="2"/>
  <c r="G783" i="2"/>
  <c r="L783" i="2" l="1"/>
  <c r="H782" i="2"/>
  <c r="G782" i="2"/>
  <c r="F782" i="2"/>
  <c r="E782" i="2"/>
  <c r="L782" i="2" l="1"/>
  <c r="B782" i="2"/>
  <c r="C782" i="2" s="1"/>
  <c r="G781" i="2"/>
  <c r="H781" i="2"/>
  <c r="F781" i="2"/>
  <c r="E781" i="2"/>
  <c r="L781" i="2" l="1"/>
  <c r="E780" i="2"/>
  <c r="F780" i="2"/>
  <c r="G780" i="2"/>
  <c r="H780" i="2"/>
  <c r="L780" i="2" l="1"/>
  <c r="B780" i="2"/>
  <c r="C780" i="2" s="1"/>
  <c r="H779" i="2"/>
  <c r="E779" i="2"/>
  <c r="G779" i="2"/>
  <c r="F779" i="2"/>
  <c r="L779" i="2" l="1"/>
  <c r="B779" i="2"/>
  <c r="C779" i="2" s="1"/>
  <c r="G778" i="2"/>
  <c r="E778" i="2"/>
  <c r="F778" i="2"/>
  <c r="H778" i="2"/>
  <c r="L778" i="2" l="1"/>
  <c r="E777" i="2"/>
  <c r="F777" i="2"/>
  <c r="G777" i="2"/>
  <c r="H777" i="2"/>
  <c r="L777" i="2" l="1"/>
  <c r="H776" i="2"/>
  <c r="E776" i="2"/>
  <c r="F776" i="2"/>
  <c r="G776" i="2"/>
  <c r="L776" i="2" l="1"/>
  <c r="B776" i="2"/>
  <c r="C776" i="2" s="1"/>
  <c r="F775" i="2"/>
  <c r="E775" i="2"/>
  <c r="G775" i="2"/>
  <c r="H775" i="2"/>
  <c r="L775" i="2" l="1"/>
  <c r="G774" i="2"/>
  <c r="H774" i="2"/>
  <c r="E774" i="2"/>
  <c r="F774" i="2"/>
  <c r="L774" i="2" l="1"/>
  <c r="F773" i="2"/>
  <c r="H773" i="2"/>
  <c r="G773" i="2"/>
  <c r="E773" i="2"/>
  <c r="L773" i="2" l="1"/>
  <c r="B773" i="2"/>
  <c r="C773" i="2" s="1"/>
  <c r="E772" i="2"/>
  <c r="H772" i="2"/>
  <c r="G772" i="2"/>
  <c r="F772" i="2"/>
  <c r="L772" i="2" l="1"/>
  <c r="B772" i="2"/>
  <c r="C772" i="2" s="1"/>
  <c r="G771" i="2"/>
  <c r="H771" i="2"/>
  <c r="E771" i="2"/>
  <c r="F771" i="2"/>
  <c r="L771" i="2" l="1"/>
  <c r="B771" i="2"/>
  <c r="C771" i="2" s="1"/>
  <c r="F770" i="2"/>
  <c r="H770" i="2"/>
  <c r="G770" i="2"/>
  <c r="E770" i="2"/>
  <c r="L770" i="2" l="1"/>
  <c r="B770" i="2"/>
  <c r="C770" i="2" s="1"/>
  <c r="G769" i="2"/>
  <c r="E769" i="2"/>
  <c r="H769" i="2"/>
  <c r="F769" i="2"/>
  <c r="L769" i="2" l="1"/>
  <c r="B769" i="2"/>
  <c r="C769" i="2" s="1"/>
  <c r="H768" i="2"/>
  <c r="E768" i="2"/>
  <c r="G768" i="2"/>
  <c r="F768" i="2"/>
  <c r="L768" i="2" l="1"/>
  <c r="B768" i="2"/>
  <c r="C768" i="2" s="1"/>
  <c r="F767" i="2"/>
  <c r="H767" i="2"/>
  <c r="G767" i="2"/>
  <c r="E767" i="2"/>
  <c r="L767" i="2" l="1"/>
  <c r="G766" i="2"/>
  <c r="H766" i="2"/>
  <c r="F766" i="2"/>
  <c r="E766" i="2"/>
  <c r="L766" i="2" l="1"/>
  <c r="B766" i="2"/>
  <c r="C766" i="2" s="1"/>
  <c r="H765" i="2"/>
  <c r="E765" i="2"/>
  <c r="G765" i="2"/>
  <c r="F765" i="2"/>
  <c r="L765" i="2" l="1"/>
  <c r="B765" i="2"/>
  <c r="C765" i="2" s="1"/>
  <c r="E764" i="2"/>
  <c r="H764" i="2"/>
  <c r="F764" i="2"/>
  <c r="G764" i="2"/>
  <c r="L764" i="2" l="1"/>
  <c r="B764" i="2"/>
  <c r="C764" i="2" s="1"/>
  <c r="F763" i="2"/>
  <c r="H763" i="2"/>
  <c r="G763" i="2"/>
  <c r="E763" i="2"/>
  <c r="L763" i="2" l="1"/>
  <c r="B763" i="2"/>
  <c r="C763" i="2" s="1"/>
  <c r="G762" i="2"/>
  <c r="E762" i="2"/>
  <c r="H762" i="2"/>
  <c r="F762" i="2"/>
  <c r="L762" i="2" l="1"/>
  <c r="B762" i="2"/>
  <c r="C762" i="2" s="1"/>
  <c r="E761" i="2"/>
  <c r="G761" i="2"/>
  <c r="H761" i="2"/>
  <c r="F761" i="2"/>
  <c r="L761" i="2" l="1"/>
  <c r="B761" i="2"/>
  <c r="C761" i="2" s="1"/>
  <c r="F760" i="2"/>
  <c r="E760" i="2"/>
  <c r="H760" i="2"/>
  <c r="G760" i="2"/>
  <c r="L760" i="2" l="1"/>
  <c r="F759" i="2"/>
  <c r="G759" i="2"/>
  <c r="E759" i="2"/>
  <c r="H759" i="2"/>
  <c r="L759" i="2" l="1"/>
  <c r="B759" i="2"/>
  <c r="C759" i="2" s="1"/>
  <c r="F758" i="2"/>
  <c r="H758" i="2"/>
  <c r="G758" i="2"/>
  <c r="E758" i="2"/>
  <c r="L758" i="2" l="1"/>
  <c r="B758" i="2"/>
  <c r="C758" i="2" s="1"/>
  <c r="H757" i="2"/>
  <c r="G757" i="2"/>
  <c r="F757" i="2"/>
  <c r="E757" i="2"/>
  <c r="L757" i="2" l="1"/>
  <c r="B757" i="2"/>
  <c r="C757" i="2" s="1"/>
  <c r="G756" i="2"/>
  <c r="E756" i="2"/>
  <c r="F756" i="2"/>
  <c r="H756" i="2"/>
  <c r="L756" i="2" l="1"/>
  <c r="B756" i="2"/>
  <c r="C756" i="2" s="1"/>
  <c r="H755" i="2"/>
  <c r="E755" i="2"/>
  <c r="F755" i="2"/>
  <c r="G755" i="2"/>
  <c r="L755" i="2" l="1"/>
  <c r="B755" i="2"/>
  <c r="C755" i="2" s="1"/>
  <c r="H754" i="2"/>
  <c r="G754" i="2"/>
  <c r="F754" i="2"/>
  <c r="E754" i="2"/>
  <c r="L754" i="2" l="1"/>
  <c r="B754" i="2"/>
  <c r="C754" i="2" s="1"/>
  <c r="H753" i="2"/>
  <c r="G753" i="2"/>
  <c r="F753" i="2"/>
  <c r="E753" i="2"/>
  <c r="L753" i="2" l="1"/>
  <c r="B753" i="2"/>
  <c r="C753" i="2" s="1"/>
  <c r="H752" i="2"/>
  <c r="F752" i="2"/>
  <c r="G752" i="2"/>
  <c r="E752" i="2"/>
  <c r="L752" i="2" l="1"/>
  <c r="B752" i="2"/>
  <c r="C752" i="2" s="1"/>
  <c r="H751" i="2"/>
  <c r="G751" i="2"/>
  <c r="F751" i="2"/>
  <c r="E751" i="2"/>
  <c r="L751" i="2" l="1"/>
  <c r="B751" i="2"/>
  <c r="C751" i="2" s="1"/>
  <c r="H750" i="2"/>
  <c r="G750" i="2"/>
  <c r="E750" i="2"/>
  <c r="F750" i="2"/>
  <c r="L750" i="2" l="1"/>
  <c r="E749" i="2"/>
  <c r="G749" i="2"/>
  <c r="H749" i="2"/>
  <c r="F749" i="2"/>
  <c r="L749" i="2" l="1"/>
  <c r="B749" i="2"/>
  <c r="C749" i="2" s="1"/>
  <c r="H748" i="2"/>
  <c r="E748" i="2"/>
  <c r="G748" i="2"/>
  <c r="F748" i="2"/>
  <c r="L748" i="2" l="1"/>
  <c r="B748" i="2"/>
  <c r="C748" i="2" s="1"/>
  <c r="F747" i="2"/>
  <c r="H747" i="2"/>
  <c r="G747" i="2"/>
  <c r="E747" i="2"/>
  <c r="L747" i="2" l="1"/>
  <c r="E746" i="2"/>
  <c r="F746" i="2"/>
  <c r="H746" i="2"/>
  <c r="G746" i="2"/>
  <c r="L746" i="2" l="1"/>
  <c r="B746" i="2"/>
  <c r="C746" i="2" s="1"/>
  <c r="H745" i="2"/>
  <c r="F745" i="2"/>
  <c r="E745" i="2"/>
  <c r="G745" i="2"/>
  <c r="L745" i="2" l="1"/>
  <c r="B745" i="2"/>
  <c r="C745" i="2" s="1"/>
  <c r="F744" i="2"/>
  <c r="G744" i="2"/>
  <c r="H744" i="2"/>
  <c r="E744" i="2"/>
  <c r="L744" i="2" l="1"/>
  <c r="B744" i="2"/>
  <c r="C744" i="2" s="1"/>
  <c r="F743" i="2"/>
  <c r="E743" i="2"/>
  <c r="G743" i="2"/>
  <c r="H743" i="2"/>
  <c r="L743" i="2" l="1"/>
  <c r="B743" i="2"/>
  <c r="C743" i="2" s="1"/>
  <c r="G742" i="2"/>
  <c r="E742" i="2"/>
  <c r="H742" i="2"/>
  <c r="F742" i="2"/>
  <c r="L742" i="2" l="1"/>
  <c r="H741" i="2"/>
  <c r="G741" i="2"/>
  <c r="F741" i="2"/>
  <c r="E741" i="2"/>
  <c r="L741" i="2" l="1"/>
  <c r="H740" i="2"/>
  <c r="G740" i="2"/>
  <c r="E740" i="2"/>
  <c r="F740" i="2"/>
  <c r="L740" i="2" l="1"/>
  <c r="E739" i="2"/>
  <c r="G739" i="2"/>
  <c r="F739" i="2"/>
  <c r="H739" i="2"/>
  <c r="L739" i="2" l="1"/>
  <c r="B739" i="2"/>
  <c r="C739" i="2" s="1"/>
  <c r="G738" i="2"/>
  <c r="H738" i="2"/>
  <c r="E738" i="2"/>
  <c r="F738" i="2"/>
  <c r="L738" i="2" l="1"/>
  <c r="B738" i="2"/>
  <c r="C738" i="2" s="1"/>
  <c r="G737" i="2"/>
  <c r="E737" i="2"/>
  <c r="F737" i="2"/>
  <c r="H737" i="2"/>
  <c r="L737" i="2" l="1"/>
  <c r="B737" i="2"/>
  <c r="C737" i="2" s="1"/>
  <c r="G736" i="2"/>
  <c r="F736" i="2"/>
  <c r="H736" i="2"/>
  <c r="E736" i="2"/>
  <c r="L736" i="2" l="1"/>
  <c r="B736" i="2"/>
  <c r="C736" i="2" s="1"/>
  <c r="F735" i="2"/>
  <c r="G735" i="2"/>
  <c r="H735" i="2"/>
  <c r="E735" i="2"/>
  <c r="L735" i="2" l="1"/>
  <c r="B735" i="2"/>
  <c r="C735" i="2" s="1"/>
  <c r="F734" i="2"/>
  <c r="G734" i="2"/>
  <c r="E734" i="2"/>
  <c r="H734" i="2"/>
  <c r="L734" i="2" l="1"/>
  <c r="B734" i="2"/>
  <c r="C734" i="2" s="1"/>
  <c r="G733" i="2"/>
  <c r="E733" i="2"/>
  <c r="F733" i="2"/>
  <c r="H733" i="2"/>
  <c r="L733" i="2" l="1"/>
  <c r="B733" i="2"/>
  <c r="C733" i="2" s="1"/>
  <c r="F732" i="2"/>
  <c r="G732" i="2"/>
  <c r="H732" i="2"/>
  <c r="E732" i="2"/>
  <c r="L732" i="2" l="1"/>
  <c r="B732" i="2"/>
  <c r="C732" i="2" s="1"/>
  <c r="F731" i="2"/>
  <c r="E731" i="2"/>
  <c r="H731" i="2"/>
  <c r="G731" i="2"/>
  <c r="L731" i="2" l="1"/>
  <c r="B731" i="2"/>
  <c r="C731" i="2" s="1"/>
  <c r="F730" i="2"/>
  <c r="E730" i="2"/>
  <c r="G730" i="2"/>
  <c r="H730" i="2"/>
  <c r="L730" i="2" l="1"/>
  <c r="B730" i="2"/>
  <c r="C730" i="2" s="1"/>
  <c r="H729" i="2"/>
  <c r="F729" i="2"/>
  <c r="E729" i="2"/>
  <c r="G729" i="2"/>
  <c r="L729" i="2" l="1"/>
  <c r="H728" i="2"/>
  <c r="G728" i="2"/>
  <c r="E728" i="2"/>
  <c r="F728" i="2"/>
  <c r="L728" i="2" l="1"/>
  <c r="G727" i="2"/>
  <c r="E727" i="2"/>
  <c r="F727" i="2"/>
  <c r="H727" i="2"/>
  <c r="L727" i="2" l="1"/>
  <c r="B727" i="2"/>
  <c r="C727" i="2" s="1"/>
  <c r="G726" i="2"/>
  <c r="F726" i="2"/>
  <c r="E726" i="2"/>
  <c r="H726" i="2"/>
  <c r="L726" i="2" l="1"/>
  <c r="B726" i="2"/>
  <c r="C726" i="2" s="1"/>
  <c r="H725" i="2"/>
  <c r="F725" i="2"/>
  <c r="E725" i="2"/>
  <c r="G725" i="2"/>
  <c r="L725" i="2" l="1"/>
  <c r="G724" i="2"/>
  <c r="E724" i="2"/>
  <c r="H724" i="2"/>
  <c r="F724" i="2"/>
  <c r="L724" i="2" l="1"/>
  <c r="H723" i="2"/>
  <c r="G723" i="2"/>
  <c r="E723" i="2"/>
  <c r="F723" i="2"/>
  <c r="L723" i="2" l="1"/>
  <c r="B723" i="2"/>
  <c r="C723" i="2" s="1"/>
  <c r="E722" i="2"/>
  <c r="G722" i="2"/>
  <c r="H722" i="2"/>
  <c r="F722" i="2"/>
  <c r="L722" i="2" l="1"/>
  <c r="G721" i="2"/>
  <c r="E721" i="2"/>
  <c r="F721" i="2"/>
  <c r="H721" i="2"/>
  <c r="L721" i="2" l="1"/>
  <c r="B721" i="2"/>
  <c r="C721" i="2" s="1"/>
  <c r="G720" i="2"/>
  <c r="E720" i="2"/>
  <c r="F720" i="2"/>
  <c r="H720" i="2"/>
  <c r="L720" i="2" l="1"/>
  <c r="B720" i="2"/>
  <c r="C720" i="2" s="1"/>
  <c r="E719" i="2"/>
  <c r="H719" i="2"/>
  <c r="F719" i="2"/>
  <c r="G719" i="2"/>
  <c r="L719" i="2" l="1"/>
  <c r="E718" i="2"/>
  <c r="F718" i="2"/>
  <c r="G718" i="2"/>
  <c r="H718" i="2"/>
  <c r="L718" i="2" l="1"/>
  <c r="G717" i="2"/>
  <c r="H717" i="2"/>
  <c r="F717" i="2"/>
  <c r="E717" i="2"/>
  <c r="L717" i="2" l="1"/>
  <c r="B717" i="2"/>
  <c r="C717" i="2" s="1"/>
  <c r="G716" i="2"/>
  <c r="E716" i="2"/>
  <c r="H716" i="2"/>
  <c r="F716" i="2"/>
  <c r="L716" i="2" l="1"/>
  <c r="B716" i="2"/>
  <c r="C716" i="2" s="1"/>
  <c r="G715" i="2"/>
  <c r="H715" i="2"/>
  <c r="F715" i="2"/>
  <c r="E715" i="2"/>
  <c r="L715" i="2" l="1"/>
  <c r="E714" i="2"/>
  <c r="F714" i="2"/>
  <c r="G714" i="2"/>
  <c r="H714" i="2"/>
  <c r="L714" i="2" l="1"/>
  <c r="B714" i="2"/>
  <c r="C714" i="2" s="1"/>
  <c r="H713" i="2"/>
  <c r="E713" i="2"/>
  <c r="G713" i="2"/>
  <c r="F713" i="2"/>
  <c r="L713" i="2" l="1"/>
  <c r="B713" i="2"/>
  <c r="C713" i="2" s="1"/>
  <c r="H712" i="2"/>
  <c r="G712" i="2"/>
  <c r="F712" i="2"/>
  <c r="E712" i="2"/>
  <c r="L712" i="2" l="1"/>
  <c r="H711" i="2"/>
  <c r="E711" i="2"/>
  <c r="F711" i="2"/>
  <c r="G711" i="2"/>
  <c r="L711" i="2" l="1"/>
  <c r="B711" i="2"/>
  <c r="C711" i="2" s="1"/>
  <c r="F710" i="2"/>
  <c r="G710" i="2"/>
  <c r="H710" i="2"/>
  <c r="E710" i="2"/>
  <c r="L710" i="2" l="1"/>
  <c r="B710" i="2"/>
  <c r="C710" i="2" s="1"/>
  <c r="F709" i="2"/>
  <c r="E709" i="2"/>
  <c r="H709" i="2"/>
  <c r="G709" i="2"/>
  <c r="L709" i="2" l="1"/>
  <c r="B709" i="2"/>
  <c r="C709" i="2" s="1"/>
  <c r="F708" i="2"/>
  <c r="G708" i="2"/>
  <c r="E708" i="2"/>
  <c r="H708" i="2"/>
  <c r="L708" i="2" l="1"/>
  <c r="H707" i="2"/>
  <c r="F707" i="2"/>
  <c r="G707" i="2"/>
  <c r="E707" i="2"/>
  <c r="L707" i="2" l="1"/>
  <c r="F706" i="2"/>
  <c r="G706" i="2"/>
  <c r="H706" i="2"/>
  <c r="E706" i="2"/>
  <c r="L706" i="2" l="1"/>
  <c r="B706" i="2"/>
  <c r="C706" i="2" s="1"/>
  <c r="E705" i="2"/>
  <c r="H705" i="2"/>
  <c r="G705" i="2"/>
  <c r="F705" i="2"/>
  <c r="L705" i="2" l="1"/>
  <c r="B705" i="2"/>
  <c r="C705" i="2" s="1"/>
  <c r="G704" i="2"/>
  <c r="F704" i="2"/>
  <c r="H704" i="2"/>
  <c r="E704" i="2"/>
  <c r="L704" i="2" l="1"/>
  <c r="H703" i="2"/>
  <c r="G703" i="2"/>
  <c r="F703" i="2"/>
  <c r="E703" i="2"/>
  <c r="L703" i="2" l="1"/>
  <c r="B703" i="2"/>
  <c r="C703" i="2" s="1"/>
  <c r="F702" i="2"/>
  <c r="H702" i="2"/>
  <c r="E702" i="2"/>
  <c r="G702" i="2"/>
  <c r="L702" i="2" l="1"/>
  <c r="B702" i="2"/>
  <c r="C702" i="2" s="1"/>
  <c r="F701" i="2"/>
  <c r="G701" i="2"/>
  <c r="H701" i="2"/>
  <c r="E701" i="2"/>
  <c r="L701" i="2" l="1"/>
  <c r="G700" i="2"/>
  <c r="H700" i="2"/>
  <c r="E700" i="2"/>
  <c r="F700" i="2"/>
  <c r="L700" i="2" l="1"/>
  <c r="B700" i="2"/>
  <c r="C700" i="2" s="1"/>
  <c r="G699" i="2"/>
  <c r="H699" i="2"/>
  <c r="E699" i="2"/>
  <c r="F699" i="2"/>
  <c r="L699" i="2" l="1"/>
  <c r="B699" i="2"/>
  <c r="C699" i="2" s="1"/>
  <c r="F698" i="2"/>
  <c r="G698" i="2"/>
  <c r="E698" i="2"/>
  <c r="H698" i="2"/>
  <c r="L698" i="2" l="1"/>
  <c r="B698" i="2"/>
  <c r="C698" i="2" s="1"/>
  <c r="H697" i="2"/>
  <c r="F697" i="2"/>
  <c r="E697" i="2"/>
  <c r="G697" i="2"/>
  <c r="L697" i="2" l="1"/>
  <c r="B697" i="2"/>
  <c r="C697" i="2" s="1"/>
  <c r="F696" i="2"/>
  <c r="G696" i="2"/>
  <c r="H696" i="2"/>
  <c r="E696" i="2"/>
  <c r="L696" i="2" l="1"/>
  <c r="B696" i="2"/>
  <c r="C696" i="2" s="1"/>
  <c r="F695" i="2"/>
  <c r="H695" i="2"/>
  <c r="E695" i="2"/>
  <c r="G695" i="2"/>
  <c r="L695" i="2" l="1"/>
  <c r="H694" i="2"/>
  <c r="E694" i="2"/>
  <c r="G694" i="2"/>
  <c r="F694" i="2"/>
  <c r="L694" i="2" l="1"/>
  <c r="G693" i="2"/>
  <c r="F693" i="2"/>
  <c r="E693" i="2"/>
  <c r="H693" i="2"/>
  <c r="L693" i="2" l="1"/>
  <c r="B693" i="2"/>
  <c r="C693" i="2" s="1"/>
  <c r="G692" i="2"/>
  <c r="F692" i="2"/>
  <c r="H692" i="2"/>
  <c r="E692" i="2"/>
  <c r="L692" i="2" l="1"/>
  <c r="B692" i="2"/>
  <c r="C692" i="2" s="1"/>
  <c r="F691" i="2"/>
  <c r="H691" i="2"/>
  <c r="E691" i="2"/>
  <c r="G691" i="2"/>
  <c r="L691" i="2" l="1"/>
  <c r="B691" i="2"/>
  <c r="C691" i="2" s="1"/>
  <c r="H690" i="2"/>
  <c r="F690" i="2"/>
  <c r="G690" i="2"/>
  <c r="E690" i="2"/>
  <c r="L690" i="2" l="1"/>
  <c r="F689" i="2"/>
  <c r="H689" i="2"/>
  <c r="G689" i="2"/>
  <c r="E689" i="2"/>
  <c r="L689" i="2" l="1"/>
  <c r="B689" i="2"/>
  <c r="C689" i="2" s="1"/>
  <c r="E688" i="2"/>
  <c r="H688" i="2"/>
  <c r="G688" i="2"/>
  <c r="F688" i="2"/>
  <c r="L688" i="2" l="1"/>
  <c r="B688" i="2"/>
  <c r="C688" i="2" s="1"/>
  <c r="G687" i="2"/>
  <c r="E687" i="2"/>
  <c r="H687" i="2"/>
  <c r="F687" i="2"/>
  <c r="L687" i="2" l="1"/>
  <c r="B687" i="2"/>
  <c r="C687" i="2" s="1"/>
  <c r="F686" i="2"/>
  <c r="H686" i="2"/>
  <c r="E686" i="2"/>
  <c r="G686" i="2"/>
  <c r="L686" i="2" l="1"/>
  <c r="B686" i="2"/>
  <c r="C686" i="2" s="1"/>
  <c r="G685" i="2"/>
  <c r="F685" i="2"/>
  <c r="H685" i="2"/>
  <c r="E685" i="2"/>
  <c r="L685" i="2" l="1"/>
  <c r="B685" i="2"/>
  <c r="C685" i="2" s="1"/>
  <c r="E684" i="2"/>
  <c r="F684" i="2"/>
  <c r="G684" i="2"/>
  <c r="H684" i="2"/>
  <c r="L684" i="2" l="1"/>
  <c r="G683" i="2"/>
  <c r="H683" i="2"/>
  <c r="E683" i="2"/>
  <c r="F683" i="2"/>
  <c r="L683" i="2" l="1"/>
  <c r="B683" i="2"/>
  <c r="C683" i="2" s="1"/>
  <c r="H682" i="2"/>
  <c r="G682" i="2"/>
  <c r="E682" i="2"/>
  <c r="F682" i="2"/>
  <c r="L682" i="2" l="1"/>
  <c r="G681" i="2"/>
  <c r="E681" i="2"/>
  <c r="H681" i="2"/>
  <c r="F681" i="2"/>
  <c r="L681" i="2" l="1"/>
  <c r="G680" i="2"/>
  <c r="E680" i="2"/>
  <c r="H680" i="2"/>
  <c r="F680" i="2"/>
  <c r="L680" i="2" l="1"/>
  <c r="B680" i="2"/>
  <c r="C680" i="2" s="1"/>
  <c r="H679" i="2"/>
  <c r="E679" i="2"/>
  <c r="G679" i="2"/>
  <c r="F679" i="2"/>
  <c r="L679" i="2" l="1"/>
  <c r="B679" i="2"/>
  <c r="C679" i="2" s="1"/>
  <c r="E678" i="2"/>
  <c r="H678" i="2"/>
  <c r="G678" i="2"/>
  <c r="F678" i="2"/>
  <c r="L678" i="2" l="1"/>
  <c r="B678" i="2"/>
  <c r="C678" i="2" s="1"/>
  <c r="E677" i="2"/>
  <c r="G677" i="2"/>
  <c r="H677" i="2"/>
  <c r="F677" i="2"/>
  <c r="L677" i="2" l="1"/>
  <c r="B677" i="2"/>
  <c r="C677" i="2" s="1"/>
  <c r="H676" i="2"/>
  <c r="E676" i="2"/>
  <c r="F676" i="2"/>
  <c r="G676" i="2"/>
  <c r="L676" i="2" l="1"/>
  <c r="E675" i="2"/>
  <c r="H675" i="2"/>
  <c r="F675" i="2"/>
  <c r="G675" i="2"/>
  <c r="L675" i="2" l="1"/>
  <c r="B675" i="2"/>
  <c r="C675" i="2" s="1"/>
  <c r="G674" i="2"/>
  <c r="H674" i="2"/>
  <c r="E674" i="2"/>
  <c r="F674" i="2"/>
  <c r="L674" i="2" l="1"/>
  <c r="B674" i="2"/>
  <c r="C674" i="2" s="1"/>
  <c r="G673" i="2"/>
  <c r="H673" i="2"/>
  <c r="F673" i="2"/>
  <c r="E673" i="2"/>
  <c r="L673" i="2" l="1"/>
  <c r="B673" i="2"/>
  <c r="C673" i="2" s="1"/>
  <c r="G672" i="2"/>
  <c r="F672" i="2"/>
  <c r="E672" i="2"/>
  <c r="H672" i="2"/>
  <c r="L672" i="2" l="1"/>
  <c r="E671" i="2"/>
  <c r="H671" i="2"/>
  <c r="F671" i="2"/>
  <c r="G671" i="2"/>
  <c r="L671" i="2" l="1"/>
  <c r="B671" i="2"/>
  <c r="C671" i="2" s="1"/>
  <c r="G670" i="2"/>
  <c r="H670" i="2"/>
  <c r="E670" i="2"/>
  <c r="F670" i="2"/>
  <c r="L670" i="2" l="1"/>
  <c r="B670" i="2"/>
  <c r="C670" i="2" s="1"/>
  <c r="G669" i="2"/>
  <c r="E669" i="2"/>
  <c r="H669" i="2"/>
  <c r="F669" i="2"/>
  <c r="L669" i="2" l="1"/>
  <c r="B669" i="2"/>
  <c r="C669" i="2" s="1"/>
  <c r="E668" i="2"/>
  <c r="F668" i="2"/>
  <c r="G668" i="2"/>
  <c r="H668" i="2"/>
  <c r="L668" i="2" l="1"/>
  <c r="B668" i="2"/>
  <c r="C668" i="2" s="1"/>
  <c r="F667" i="2"/>
  <c r="H667" i="2"/>
  <c r="E667" i="2"/>
  <c r="G667" i="2"/>
  <c r="L667" i="2" l="1"/>
  <c r="B667" i="2"/>
  <c r="C667" i="2" s="1"/>
  <c r="H666" i="2"/>
  <c r="E666" i="2"/>
  <c r="F666" i="2"/>
  <c r="G666" i="2"/>
  <c r="L666" i="2" l="1"/>
  <c r="B666" i="2"/>
  <c r="C666" i="2" s="1"/>
  <c r="H665" i="2"/>
  <c r="E665" i="2"/>
  <c r="F665" i="2"/>
  <c r="G665" i="2"/>
  <c r="L665" i="2" l="1"/>
  <c r="B665" i="2"/>
  <c r="C665" i="2" s="1"/>
  <c r="E664" i="2"/>
  <c r="F664" i="2"/>
  <c r="G664" i="2"/>
  <c r="H664" i="2"/>
  <c r="L664" i="2" l="1"/>
  <c r="E663" i="2"/>
  <c r="F663" i="2"/>
  <c r="G663" i="2"/>
  <c r="H663" i="2"/>
  <c r="L663" i="2" l="1"/>
  <c r="G662" i="2"/>
  <c r="F662" i="2"/>
  <c r="H662" i="2"/>
  <c r="E662" i="2"/>
  <c r="L662" i="2" l="1"/>
  <c r="B662" i="2"/>
  <c r="C662" i="2" s="1"/>
  <c r="E661" i="2"/>
  <c r="H661" i="2"/>
  <c r="G661" i="2"/>
  <c r="F661" i="2"/>
  <c r="L661" i="2" l="1"/>
  <c r="B661" i="2"/>
  <c r="C661" i="2" s="1"/>
  <c r="E660" i="2"/>
  <c r="G660" i="2"/>
  <c r="F660" i="2"/>
  <c r="H660" i="2"/>
  <c r="L660" i="2" l="1"/>
  <c r="B660" i="2"/>
  <c r="C660" i="2" s="1"/>
  <c r="G659" i="2"/>
  <c r="F659" i="2"/>
  <c r="E659" i="2"/>
  <c r="H659" i="2"/>
  <c r="L659" i="2" l="1"/>
  <c r="F658" i="2"/>
  <c r="E658" i="2"/>
  <c r="G658" i="2"/>
  <c r="H658" i="2"/>
  <c r="L658" i="2" l="1"/>
  <c r="G657" i="2"/>
  <c r="F657" i="2"/>
  <c r="E657" i="2"/>
  <c r="H657" i="2"/>
  <c r="L657" i="2" l="1"/>
  <c r="E656" i="2"/>
  <c r="F656" i="2"/>
  <c r="H656" i="2"/>
  <c r="G656" i="2"/>
  <c r="L656" i="2" l="1"/>
  <c r="B656" i="2"/>
  <c r="C656" i="2" s="1"/>
  <c r="E655" i="2"/>
  <c r="G655" i="2"/>
  <c r="H655" i="2"/>
  <c r="F655" i="2"/>
  <c r="L655" i="2" l="1"/>
  <c r="G654" i="2"/>
  <c r="E654" i="2"/>
  <c r="H654" i="2"/>
  <c r="F654" i="2"/>
  <c r="L654" i="2" l="1"/>
  <c r="G653" i="2"/>
  <c r="F653" i="2"/>
  <c r="E653" i="2"/>
  <c r="H653" i="2"/>
  <c r="L653" i="2" l="1"/>
  <c r="F652" i="2"/>
  <c r="G652" i="2"/>
  <c r="H652" i="2"/>
  <c r="E652" i="2"/>
  <c r="L652" i="2" l="1"/>
  <c r="B652" i="2"/>
  <c r="C652" i="2" s="1"/>
  <c r="F651" i="2"/>
  <c r="G651" i="2"/>
  <c r="H651" i="2"/>
  <c r="E651" i="2"/>
  <c r="L651" i="2" l="1"/>
  <c r="B651" i="2"/>
  <c r="C651" i="2" s="1"/>
  <c r="G650" i="2"/>
  <c r="F650" i="2"/>
  <c r="E650" i="2"/>
  <c r="H650" i="2"/>
  <c r="L650" i="2" l="1"/>
  <c r="B650" i="2"/>
  <c r="C650" i="2" s="1"/>
  <c r="E649" i="2"/>
  <c r="F649" i="2"/>
  <c r="H649" i="2"/>
  <c r="G649" i="2"/>
  <c r="L649" i="2" l="1"/>
  <c r="B649" i="2"/>
  <c r="C649" i="2" s="1"/>
  <c r="G648" i="2"/>
  <c r="F648" i="2"/>
  <c r="E648" i="2"/>
  <c r="H648" i="2"/>
  <c r="L648" i="2" l="1"/>
  <c r="B648" i="2"/>
  <c r="C648" i="2" s="1"/>
  <c r="E647" i="2"/>
  <c r="F647" i="2"/>
  <c r="H647" i="2"/>
  <c r="G647" i="2"/>
  <c r="L647" i="2" l="1"/>
  <c r="G646" i="2"/>
  <c r="H646" i="2"/>
  <c r="F646" i="2"/>
  <c r="E646" i="2"/>
  <c r="L646" i="2" l="1"/>
  <c r="H645" i="2"/>
  <c r="G645" i="2"/>
  <c r="F645" i="2"/>
  <c r="E645" i="2"/>
  <c r="L645" i="2" l="1"/>
  <c r="B645" i="2"/>
  <c r="C645" i="2" s="1"/>
  <c r="F644" i="2"/>
  <c r="G644" i="2"/>
  <c r="H644" i="2"/>
  <c r="E644" i="2"/>
  <c r="L644" i="2" l="1"/>
  <c r="F643" i="2"/>
  <c r="G643" i="2"/>
  <c r="H643" i="2"/>
  <c r="E643" i="2"/>
  <c r="L643" i="2" l="1"/>
  <c r="E642" i="2"/>
  <c r="H642" i="2"/>
  <c r="F642" i="2"/>
  <c r="G642" i="2"/>
  <c r="L642" i="2" l="1"/>
  <c r="B642" i="2"/>
  <c r="C642" i="2" s="1"/>
  <c r="G641" i="2"/>
  <c r="F641" i="2"/>
  <c r="E641" i="2"/>
  <c r="H641" i="2"/>
  <c r="L641" i="2" l="1"/>
  <c r="B641" i="2"/>
  <c r="C641" i="2" s="1"/>
  <c r="E640" i="2"/>
  <c r="F640" i="2"/>
  <c r="G640" i="2"/>
  <c r="H640" i="2"/>
  <c r="L640" i="2" l="1"/>
  <c r="B640" i="2"/>
  <c r="C640" i="2" s="1"/>
  <c r="H639" i="2"/>
  <c r="G639" i="2"/>
  <c r="E639" i="2"/>
  <c r="F639" i="2"/>
  <c r="L639" i="2" l="1"/>
  <c r="B639" i="2"/>
  <c r="C639" i="2" s="1"/>
  <c r="E638" i="2"/>
  <c r="G638" i="2"/>
  <c r="F638" i="2"/>
  <c r="H638" i="2"/>
  <c r="L638" i="2" l="1"/>
  <c r="E637" i="2"/>
  <c r="G637" i="2"/>
  <c r="F637" i="2"/>
  <c r="H637" i="2"/>
  <c r="L637" i="2" l="1"/>
  <c r="B637" i="2"/>
  <c r="C637" i="2" s="1"/>
  <c r="F636" i="2"/>
  <c r="E636" i="2"/>
  <c r="H636" i="2"/>
  <c r="G636" i="2"/>
  <c r="L636" i="2" l="1"/>
  <c r="B636" i="2"/>
  <c r="C636" i="2" s="1"/>
  <c r="G635" i="2"/>
  <c r="F635" i="2"/>
  <c r="E635" i="2"/>
  <c r="H635" i="2"/>
  <c r="L635" i="2" l="1"/>
  <c r="B635" i="2"/>
  <c r="C635" i="2" s="1"/>
  <c r="G634" i="2"/>
  <c r="F634" i="2"/>
  <c r="E634" i="2"/>
  <c r="H634" i="2"/>
  <c r="L634" i="2" l="1"/>
  <c r="B634" i="2"/>
  <c r="C634" i="2" s="1"/>
  <c r="H633" i="2"/>
  <c r="E633" i="2"/>
  <c r="F633" i="2"/>
  <c r="G633" i="2"/>
  <c r="L633" i="2" l="1"/>
  <c r="B633" i="2"/>
  <c r="F632" i="2"/>
  <c r="H632" i="2"/>
  <c r="E632" i="2"/>
  <c r="G632" i="2"/>
  <c r="L632" i="2" l="1"/>
  <c r="E631" i="2"/>
  <c r="G631" i="2"/>
  <c r="H631" i="2"/>
  <c r="F631" i="2"/>
  <c r="L631" i="2" l="1"/>
  <c r="B631" i="2"/>
  <c r="C631" i="2" s="1"/>
  <c r="E630" i="2"/>
  <c r="G630" i="2"/>
  <c r="H630" i="2"/>
  <c r="F630" i="2"/>
  <c r="L630" i="2" l="1"/>
  <c r="B630" i="2"/>
  <c r="C630" i="2" s="1"/>
  <c r="H629" i="2"/>
  <c r="E629" i="2"/>
  <c r="G629" i="2"/>
  <c r="F629" i="2"/>
  <c r="L629" i="2" l="1"/>
  <c r="G628" i="2"/>
  <c r="H628" i="2"/>
  <c r="E628" i="2"/>
  <c r="F628" i="2"/>
  <c r="L628" i="2" l="1"/>
  <c r="G627" i="2"/>
  <c r="E627" i="2"/>
  <c r="H627" i="2"/>
  <c r="F627" i="2"/>
  <c r="L627" i="2" l="1"/>
  <c r="E626" i="2"/>
  <c r="G626" i="2"/>
  <c r="H626" i="2"/>
  <c r="F626" i="2"/>
  <c r="L626" i="2" l="1"/>
  <c r="E625" i="2"/>
  <c r="G625" i="2"/>
  <c r="F625" i="2"/>
  <c r="H625" i="2"/>
  <c r="L625" i="2" l="1"/>
  <c r="B625" i="2"/>
  <c r="C625" i="2" s="1"/>
  <c r="H624" i="2"/>
  <c r="F624" i="2"/>
  <c r="E624" i="2"/>
  <c r="G624" i="2"/>
  <c r="L624" i="2" l="1"/>
  <c r="B624" i="2"/>
  <c r="C624" i="2" s="1"/>
  <c r="E623" i="2"/>
  <c r="G623" i="2"/>
  <c r="F623" i="2"/>
  <c r="H623" i="2"/>
  <c r="L623" i="2" l="1"/>
  <c r="E622" i="2"/>
  <c r="H622" i="2"/>
  <c r="F622" i="2"/>
  <c r="G622" i="2"/>
  <c r="L622" i="2" l="1"/>
  <c r="E621" i="2"/>
  <c r="F621" i="2"/>
  <c r="G621" i="2"/>
  <c r="H621" i="2"/>
  <c r="L621" i="2" l="1"/>
  <c r="E620" i="2"/>
  <c r="F620" i="2"/>
  <c r="H620" i="2"/>
  <c r="G620" i="2"/>
  <c r="L620" i="2" l="1"/>
  <c r="B620" i="2"/>
  <c r="C620" i="2" s="1"/>
  <c r="F619" i="2"/>
  <c r="E619" i="2"/>
  <c r="G619" i="2"/>
  <c r="H619" i="2"/>
  <c r="L619" i="2" l="1"/>
  <c r="B619" i="2"/>
  <c r="C619" i="2" s="1"/>
  <c r="F618" i="2"/>
  <c r="G618" i="2"/>
  <c r="E618" i="2"/>
  <c r="H618" i="2"/>
  <c r="L618" i="2" l="1"/>
  <c r="H617" i="2"/>
  <c r="G617" i="2"/>
  <c r="E617" i="2"/>
  <c r="F617" i="2"/>
  <c r="L617" i="2" l="1"/>
  <c r="B617" i="2"/>
  <c r="C617" i="2" s="1"/>
  <c r="H616" i="2"/>
  <c r="F616" i="2"/>
  <c r="E616" i="2"/>
  <c r="G616" i="2"/>
  <c r="L616" i="2" l="1"/>
  <c r="B616" i="2"/>
  <c r="C616" i="2" s="1"/>
  <c r="F615" i="2"/>
  <c r="H615" i="2"/>
  <c r="E615" i="2"/>
  <c r="G615" i="2"/>
  <c r="L615" i="2" l="1"/>
  <c r="B615" i="2"/>
  <c r="C615" i="2" s="1"/>
  <c r="E614" i="2"/>
  <c r="G614" i="2"/>
  <c r="H614" i="2"/>
  <c r="F614" i="2"/>
  <c r="L614" i="2" l="1"/>
  <c r="B614" i="2"/>
  <c r="C614" i="2" s="1"/>
  <c r="E613" i="2"/>
  <c r="H613" i="2"/>
  <c r="F613" i="2"/>
  <c r="G613" i="2"/>
  <c r="L613" i="2" l="1"/>
  <c r="B613" i="2"/>
  <c r="C613" i="2" s="1"/>
  <c r="F612" i="2"/>
  <c r="H612" i="2"/>
  <c r="E612" i="2"/>
  <c r="G612" i="2"/>
  <c r="L612" i="2" l="1"/>
  <c r="B612" i="2"/>
  <c r="C612" i="2" s="1"/>
  <c r="E611" i="2"/>
  <c r="G611" i="2"/>
  <c r="F611" i="2"/>
  <c r="H611" i="2"/>
  <c r="L611" i="2" l="1"/>
  <c r="B611" i="2"/>
  <c r="C611" i="2" s="1"/>
  <c r="H610" i="2"/>
  <c r="E610" i="2"/>
  <c r="G610" i="2"/>
  <c r="F610" i="2"/>
  <c r="L610" i="2" l="1"/>
  <c r="B610" i="2"/>
  <c r="C610" i="2" s="1"/>
  <c r="E609" i="2"/>
  <c r="H609" i="2"/>
  <c r="F609" i="2"/>
  <c r="G609" i="2"/>
  <c r="L609" i="2" l="1"/>
  <c r="E608" i="2"/>
  <c r="G608" i="2"/>
  <c r="H608" i="2"/>
  <c r="F608" i="2"/>
  <c r="L608" i="2" l="1"/>
  <c r="G607" i="2"/>
  <c r="H607" i="2"/>
  <c r="F607" i="2"/>
  <c r="E607" i="2"/>
  <c r="L607" i="2" l="1"/>
  <c r="B607" i="2"/>
  <c r="C607" i="2" s="1"/>
  <c r="E606" i="2"/>
  <c r="F606" i="2"/>
  <c r="G606" i="2"/>
  <c r="H606" i="2"/>
  <c r="L606" i="2" l="1"/>
  <c r="B606" i="2"/>
  <c r="C606" i="2" s="1"/>
  <c r="G605" i="2"/>
  <c r="E605" i="2"/>
  <c r="F605" i="2"/>
  <c r="H605" i="2"/>
  <c r="L605" i="2" l="1"/>
  <c r="F604" i="2"/>
  <c r="E604" i="2"/>
  <c r="H604" i="2"/>
  <c r="G604" i="2"/>
  <c r="L604" i="2" l="1"/>
  <c r="B604" i="2"/>
  <c r="C604" i="2" s="1"/>
  <c r="H603" i="2"/>
  <c r="F603" i="2"/>
  <c r="E603" i="2"/>
  <c r="G603" i="2"/>
  <c r="L603" i="2" l="1"/>
  <c r="B603" i="2"/>
  <c r="C603" i="2" s="1"/>
  <c r="H602" i="2"/>
  <c r="E602" i="2"/>
  <c r="G602" i="2"/>
  <c r="F602" i="2"/>
  <c r="L602" i="2" l="1"/>
  <c r="B602" i="2"/>
  <c r="C602" i="2" s="1"/>
  <c r="G601" i="2"/>
  <c r="E601" i="2"/>
  <c r="H601" i="2"/>
  <c r="F601" i="2"/>
  <c r="L601" i="2" l="1"/>
  <c r="B601" i="2"/>
  <c r="C601" i="2" s="1"/>
  <c r="G600" i="2"/>
  <c r="E600" i="2"/>
  <c r="F600" i="2"/>
  <c r="H600" i="2"/>
  <c r="L600" i="2" l="1"/>
  <c r="B600" i="2"/>
  <c r="C600" i="2" s="1"/>
  <c r="G599" i="2"/>
  <c r="E599" i="2"/>
  <c r="H599" i="2"/>
  <c r="F599" i="2"/>
  <c r="L599" i="2" l="1"/>
  <c r="B599" i="2"/>
  <c r="C599" i="2" s="1"/>
  <c r="E598" i="2"/>
  <c r="G598" i="2"/>
  <c r="F598" i="2"/>
  <c r="H598" i="2"/>
  <c r="L598" i="2" l="1"/>
  <c r="B598" i="2"/>
  <c r="C598" i="2" s="1"/>
  <c r="H597" i="2"/>
  <c r="G597" i="2"/>
  <c r="F597" i="2"/>
  <c r="E597" i="2"/>
  <c r="L597" i="2" l="1"/>
  <c r="E596" i="2"/>
  <c r="H596" i="2"/>
  <c r="F596" i="2"/>
  <c r="G596" i="2"/>
  <c r="L596" i="2" l="1"/>
  <c r="B596" i="2"/>
  <c r="C596" i="2" s="1"/>
  <c r="H595" i="2"/>
  <c r="F595" i="2"/>
  <c r="E595" i="2"/>
  <c r="G595" i="2"/>
  <c r="L595" i="2" l="1"/>
  <c r="G594" i="2"/>
  <c r="F594" i="2"/>
  <c r="H594" i="2"/>
  <c r="E594" i="2"/>
  <c r="L594" i="2" l="1"/>
  <c r="B594" i="2"/>
  <c r="C594" i="2" s="1"/>
  <c r="H593" i="2"/>
  <c r="E593" i="2"/>
  <c r="G593" i="2"/>
  <c r="F593" i="2"/>
  <c r="L593" i="2" l="1"/>
  <c r="H592" i="2"/>
  <c r="G592" i="2"/>
  <c r="E592" i="2"/>
  <c r="F592" i="2"/>
  <c r="L592" i="2" l="1"/>
  <c r="B592" i="2"/>
  <c r="C592" i="2" s="1"/>
  <c r="E591" i="2"/>
  <c r="H591" i="2"/>
  <c r="F591" i="2"/>
  <c r="G591" i="2"/>
  <c r="L591" i="2" l="1"/>
  <c r="B591" i="2"/>
  <c r="C591" i="2" s="1"/>
  <c r="G590" i="2"/>
  <c r="F590" i="2"/>
  <c r="E590" i="2"/>
  <c r="H590" i="2"/>
  <c r="L590" i="2" l="1"/>
  <c r="G589" i="2"/>
  <c r="F589" i="2"/>
  <c r="E589" i="2"/>
  <c r="H589" i="2"/>
  <c r="L589" i="2" l="1"/>
  <c r="B589" i="2"/>
  <c r="C589" i="2" s="1"/>
  <c r="G588" i="2"/>
  <c r="F588" i="2"/>
  <c r="H588" i="2"/>
  <c r="E588" i="2"/>
  <c r="L588" i="2" l="1"/>
  <c r="B588" i="2"/>
  <c r="C588" i="2" s="1"/>
  <c r="E587" i="2"/>
  <c r="G587" i="2"/>
  <c r="H587" i="2"/>
  <c r="F587" i="2"/>
  <c r="L587" i="2" l="1"/>
  <c r="G586" i="2"/>
  <c r="E586" i="2"/>
  <c r="F586" i="2"/>
  <c r="H586" i="2"/>
  <c r="L586" i="2" l="1"/>
  <c r="B586" i="2"/>
  <c r="C586" i="2" s="1"/>
  <c r="F585" i="2"/>
  <c r="G585" i="2"/>
  <c r="H585" i="2"/>
  <c r="E585" i="2"/>
  <c r="L585" i="2" l="1"/>
  <c r="B585" i="2"/>
  <c r="C585" i="2" s="1"/>
  <c r="F584" i="2"/>
  <c r="G584" i="2"/>
  <c r="E584" i="2"/>
  <c r="H584" i="2"/>
  <c r="L584" i="2" l="1"/>
  <c r="B584" i="2"/>
  <c r="C584" i="2" s="1"/>
  <c r="G583" i="2"/>
  <c r="F583" i="2"/>
  <c r="E583" i="2"/>
  <c r="H583" i="2"/>
  <c r="L583" i="2" l="1"/>
  <c r="E582" i="2"/>
  <c r="F582" i="2"/>
  <c r="H582" i="2"/>
  <c r="G582" i="2"/>
  <c r="L582" i="2" l="1"/>
  <c r="H581" i="2"/>
  <c r="G581" i="2"/>
  <c r="E581" i="2"/>
  <c r="F581" i="2"/>
  <c r="L581" i="2" l="1"/>
  <c r="E580" i="2"/>
  <c r="F580" i="2"/>
  <c r="G580" i="2"/>
  <c r="H580" i="2"/>
  <c r="L580" i="2" l="1"/>
  <c r="B580" i="2"/>
  <c r="C580" i="2" s="1"/>
  <c r="G579" i="2"/>
  <c r="E579" i="2"/>
  <c r="F579" i="2"/>
  <c r="H579" i="2"/>
  <c r="L579" i="2" l="1"/>
  <c r="B579" i="2"/>
  <c r="C579" i="2" s="1"/>
  <c r="H578" i="2"/>
  <c r="G578" i="2"/>
  <c r="E578" i="2"/>
  <c r="F578" i="2"/>
  <c r="L578" i="2" l="1"/>
  <c r="G577" i="2"/>
  <c r="F577" i="2"/>
  <c r="E577" i="2"/>
  <c r="H577" i="2"/>
  <c r="L577" i="2" l="1"/>
  <c r="B577" i="2"/>
  <c r="C577" i="2" s="1"/>
  <c r="H576" i="2"/>
  <c r="G576" i="2"/>
  <c r="E576" i="2"/>
  <c r="F576" i="2"/>
  <c r="L576" i="2" l="1"/>
  <c r="B576" i="2"/>
  <c r="C576" i="2" s="1"/>
  <c r="G575" i="2"/>
  <c r="E575" i="2"/>
  <c r="F575" i="2"/>
  <c r="H575" i="2"/>
  <c r="L575" i="2" l="1"/>
  <c r="B575" i="2"/>
  <c r="C575" i="2" s="1"/>
  <c r="G574" i="2"/>
  <c r="E574" i="2"/>
  <c r="H574" i="2"/>
  <c r="F574" i="2"/>
  <c r="L574" i="2" l="1"/>
  <c r="B574" i="2"/>
  <c r="C574" i="2" s="1"/>
  <c r="G573" i="2"/>
  <c r="E573" i="2"/>
  <c r="H573" i="2"/>
  <c r="F573" i="2"/>
  <c r="L573" i="2" l="1"/>
  <c r="B573" i="2"/>
  <c r="C573" i="2" s="1"/>
  <c r="G572" i="2"/>
  <c r="E572" i="2"/>
  <c r="F572" i="2"/>
  <c r="H572" i="2"/>
  <c r="L572" i="2" l="1"/>
  <c r="H571" i="2"/>
  <c r="G571" i="2"/>
  <c r="F571" i="2"/>
  <c r="E571" i="2"/>
  <c r="L571" i="2" l="1"/>
  <c r="H570" i="2"/>
  <c r="F570" i="2"/>
  <c r="G570" i="2"/>
  <c r="E570" i="2"/>
  <c r="L570" i="2" l="1"/>
  <c r="B570" i="2"/>
  <c r="C570" i="2" s="1"/>
  <c r="F569" i="2"/>
  <c r="H569" i="2"/>
  <c r="E569" i="2"/>
  <c r="G569" i="2"/>
  <c r="L569" i="2" l="1"/>
  <c r="B569" i="2"/>
  <c r="C569" i="2" s="1"/>
  <c r="G568" i="2"/>
  <c r="F568" i="2"/>
  <c r="H568" i="2"/>
  <c r="E568" i="2"/>
  <c r="L568" i="2" l="1"/>
  <c r="B568" i="2"/>
  <c r="C568" i="2" s="1"/>
  <c r="H567" i="2"/>
  <c r="F567" i="2"/>
  <c r="E567" i="2"/>
  <c r="G567" i="2"/>
  <c r="L567" i="2" l="1"/>
  <c r="B567" i="2"/>
  <c r="C567" i="2" s="1"/>
  <c r="F566" i="2"/>
  <c r="G566" i="2"/>
  <c r="E566" i="2"/>
  <c r="H566" i="2"/>
  <c r="L566" i="2" l="1"/>
  <c r="B566" i="2"/>
  <c r="C566" i="2" s="1"/>
  <c r="G565" i="2"/>
  <c r="E565" i="2"/>
  <c r="H565" i="2"/>
  <c r="F565" i="2"/>
  <c r="L565" i="2" l="1"/>
  <c r="B565" i="2"/>
  <c r="C565" i="2" s="1"/>
  <c r="F564" i="2"/>
  <c r="H564" i="2"/>
  <c r="E564" i="2"/>
  <c r="G564" i="2"/>
  <c r="L564" i="2" l="1"/>
  <c r="E563" i="2"/>
  <c r="G563" i="2"/>
  <c r="H563" i="2"/>
  <c r="F563" i="2"/>
  <c r="L563" i="2" l="1"/>
  <c r="G562" i="2"/>
  <c r="H562" i="2"/>
  <c r="E562" i="2"/>
  <c r="F562" i="2"/>
  <c r="L562" i="2" l="1"/>
  <c r="B562" i="2"/>
  <c r="C562" i="2" s="1"/>
  <c r="G561" i="2"/>
  <c r="H561" i="2"/>
  <c r="E561" i="2"/>
  <c r="F561" i="2"/>
  <c r="L561" i="2" l="1"/>
  <c r="B561" i="2"/>
  <c r="C561" i="2" s="1"/>
  <c r="F560" i="2"/>
  <c r="H560" i="2"/>
  <c r="E560" i="2"/>
  <c r="G560" i="2"/>
  <c r="L560" i="2" l="1"/>
  <c r="B560" i="2"/>
  <c r="C560" i="2" s="1"/>
  <c r="G559" i="2"/>
  <c r="H559" i="2"/>
  <c r="E559" i="2"/>
  <c r="F559" i="2"/>
  <c r="L559" i="2" l="1"/>
  <c r="B559" i="2"/>
  <c r="C559" i="2" s="1"/>
  <c r="G558" i="2"/>
  <c r="F558" i="2"/>
  <c r="H558" i="2"/>
  <c r="E558" i="2"/>
  <c r="L558" i="2" l="1"/>
  <c r="H557" i="2"/>
  <c r="G557" i="2"/>
  <c r="F557" i="2"/>
  <c r="E557" i="2"/>
  <c r="L557" i="2" l="1"/>
  <c r="B557" i="2"/>
  <c r="C557" i="2" s="1"/>
  <c r="H556" i="2"/>
  <c r="G556" i="2"/>
  <c r="F556" i="2"/>
  <c r="E556" i="2"/>
  <c r="L556" i="2" l="1"/>
  <c r="H555" i="2"/>
  <c r="E555" i="2"/>
  <c r="G555" i="2"/>
  <c r="F555" i="2"/>
  <c r="L555" i="2" l="1"/>
  <c r="B555" i="2"/>
  <c r="C555" i="2" s="1"/>
  <c r="F554" i="2"/>
  <c r="E554" i="2"/>
  <c r="H554" i="2"/>
  <c r="G554" i="2"/>
  <c r="L554" i="2" l="1"/>
  <c r="G553" i="2"/>
  <c r="H553" i="2"/>
  <c r="F553" i="2"/>
  <c r="E553" i="2"/>
  <c r="L553" i="2" l="1"/>
  <c r="B553" i="2"/>
  <c r="C553" i="2" s="1"/>
  <c r="E552" i="2"/>
  <c r="G552" i="2"/>
  <c r="H552" i="2"/>
  <c r="F552" i="2"/>
  <c r="L552" i="2" l="1"/>
  <c r="G551" i="2"/>
  <c r="H551" i="2"/>
  <c r="E551" i="2"/>
  <c r="F551" i="2"/>
  <c r="L551" i="2" l="1"/>
  <c r="B551" i="2"/>
  <c r="C551" i="2" s="1"/>
  <c r="F550" i="2"/>
  <c r="E550" i="2"/>
  <c r="H550" i="2"/>
  <c r="G550" i="2"/>
  <c r="L550" i="2" l="1"/>
  <c r="B550" i="2"/>
  <c r="C550" i="2" s="1"/>
  <c r="G549" i="2"/>
  <c r="E549" i="2"/>
  <c r="H549" i="2"/>
  <c r="F549" i="2"/>
  <c r="L549" i="2" l="1"/>
  <c r="B549" i="2"/>
  <c r="C549" i="2" s="1"/>
  <c r="E548" i="2"/>
  <c r="G548" i="2"/>
  <c r="H548" i="2"/>
  <c r="F548" i="2"/>
  <c r="L548" i="2" l="1"/>
  <c r="B548" i="2"/>
  <c r="C548" i="2" s="1"/>
  <c r="G547" i="2"/>
  <c r="H547" i="2"/>
  <c r="F547" i="2"/>
  <c r="E547" i="2"/>
  <c r="L547" i="2" l="1"/>
  <c r="H546" i="2"/>
  <c r="F546" i="2"/>
  <c r="E546" i="2"/>
  <c r="G546" i="2"/>
  <c r="L546" i="2" l="1"/>
  <c r="B546" i="2"/>
  <c r="C546" i="2" s="1"/>
  <c r="E545" i="2"/>
  <c r="G545" i="2"/>
  <c r="H545" i="2"/>
  <c r="F545" i="2"/>
  <c r="L545" i="2" l="1"/>
  <c r="B545" i="2"/>
  <c r="C545" i="2" s="1"/>
  <c r="E544" i="2"/>
  <c r="G544" i="2"/>
  <c r="F544" i="2"/>
  <c r="H544" i="2"/>
  <c r="L544" i="2" l="1"/>
  <c r="B544" i="2"/>
  <c r="C544" i="2" s="1"/>
  <c r="H543" i="2"/>
  <c r="F543" i="2"/>
  <c r="G543" i="2"/>
  <c r="E543" i="2"/>
  <c r="L543" i="2" l="1"/>
  <c r="B543" i="2"/>
  <c r="C543" i="2" s="1"/>
  <c r="H542" i="2"/>
  <c r="E542" i="2"/>
  <c r="G542" i="2"/>
  <c r="F542" i="2"/>
  <c r="L542" i="2" l="1"/>
  <c r="B542" i="2"/>
  <c r="C542" i="2" s="1"/>
  <c r="F541" i="2"/>
  <c r="E541" i="2"/>
  <c r="G541" i="2"/>
  <c r="H541" i="2"/>
  <c r="L541" i="2" l="1"/>
  <c r="E540" i="2"/>
  <c r="F540" i="2"/>
  <c r="G540" i="2"/>
  <c r="H540" i="2"/>
  <c r="L540" i="2" l="1"/>
  <c r="B540" i="2"/>
  <c r="C540" i="2" s="1"/>
  <c r="F539" i="2"/>
  <c r="E539" i="2"/>
  <c r="H539" i="2"/>
  <c r="G539" i="2"/>
  <c r="L539" i="2" l="1"/>
  <c r="B539" i="2"/>
  <c r="C539" i="2" s="1"/>
  <c r="F538" i="2"/>
  <c r="E538" i="2"/>
  <c r="G538" i="2"/>
  <c r="H538" i="2"/>
  <c r="L538" i="2" l="1"/>
  <c r="F537" i="2"/>
  <c r="G537" i="2"/>
  <c r="H537" i="2"/>
  <c r="E537" i="2"/>
  <c r="L537" i="2" l="1"/>
  <c r="B537" i="2"/>
  <c r="C537" i="2" s="1"/>
  <c r="G536" i="2"/>
  <c r="H536" i="2"/>
  <c r="E536" i="2"/>
  <c r="F536" i="2"/>
  <c r="L536" i="2" l="1"/>
  <c r="B536" i="2"/>
  <c r="C536" i="2" s="1"/>
  <c r="F535" i="2"/>
  <c r="E535" i="2"/>
  <c r="H535" i="2"/>
  <c r="G535" i="2"/>
  <c r="L535" i="2" l="1"/>
  <c r="B535" i="2"/>
  <c r="C535" i="2" s="1"/>
  <c r="H534" i="2"/>
  <c r="G534" i="2"/>
  <c r="E534" i="2"/>
  <c r="F534" i="2"/>
  <c r="L534" i="2" l="1"/>
  <c r="B534" i="2"/>
  <c r="C534" i="2" s="1"/>
  <c r="G533" i="2"/>
  <c r="E533" i="2"/>
  <c r="H533" i="2"/>
  <c r="F533" i="2"/>
  <c r="L533" i="2" l="1"/>
  <c r="B533" i="2"/>
  <c r="C533" i="2" s="1"/>
  <c r="H532" i="2"/>
  <c r="G532" i="2"/>
  <c r="F532" i="2"/>
  <c r="E532" i="2"/>
  <c r="L532" i="2" l="1"/>
  <c r="B532" i="2"/>
  <c r="C532" i="2" s="1"/>
  <c r="H531" i="2"/>
  <c r="F531" i="2"/>
  <c r="G531" i="2"/>
  <c r="E531" i="2"/>
  <c r="L531" i="2" l="1"/>
  <c r="F530" i="2"/>
  <c r="E530" i="2"/>
  <c r="H530" i="2"/>
  <c r="G530" i="2"/>
  <c r="L530" i="2" l="1"/>
  <c r="B530" i="2"/>
  <c r="C530" i="2" s="1"/>
  <c r="G529" i="2"/>
  <c r="F529" i="2"/>
  <c r="H529" i="2"/>
  <c r="E529" i="2"/>
  <c r="L529" i="2" l="1"/>
  <c r="B529" i="2"/>
  <c r="C529" i="2" s="1"/>
  <c r="H528" i="2"/>
  <c r="E528" i="2"/>
  <c r="F528" i="2"/>
  <c r="G528" i="2"/>
  <c r="L528" i="2" l="1"/>
  <c r="B528" i="2"/>
  <c r="C528" i="2" s="1"/>
  <c r="H527" i="2"/>
  <c r="F527" i="2"/>
  <c r="G527" i="2"/>
  <c r="E527" i="2"/>
  <c r="L527" i="2" l="1"/>
  <c r="B527" i="2"/>
  <c r="C527" i="2" s="1"/>
  <c r="E526" i="2"/>
  <c r="G526" i="2"/>
  <c r="F526" i="2"/>
  <c r="H526" i="2"/>
  <c r="L526" i="2" l="1"/>
  <c r="B526" i="2"/>
  <c r="C526" i="2" s="1"/>
  <c r="H525" i="2"/>
  <c r="E525" i="2"/>
  <c r="G525" i="2"/>
  <c r="F525" i="2"/>
  <c r="L525" i="2" l="1"/>
  <c r="B525" i="2"/>
  <c r="C525" i="2" s="1"/>
  <c r="F524" i="2"/>
  <c r="G524" i="2"/>
  <c r="E524" i="2"/>
  <c r="H524" i="2"/>
  <c r="L524" i="2" l="1"/>
  <c r="F523" i="2"/>
  <c r="G523" i="2"/>
  <c r="H523" i="2"/>
  <c r="E523" i="2"/>
  <c r="L523" i="2" l="1"/>
  <c r="B523" i="2"/>
  <c r="C523" i="2" s="1"/>
  <c r="G522" i="2"/>
  <c r="H522" i="2"/>
  <c r="E522" i="2"/>
  <c r="F522" i="2"/>
  <c r="L522" i="2" l="1"/>
  <c r="B522" i="2"/>
  <c r="C522" i="2" s="1"/>
  <c r="G521" i="2"/>
  <c r="H521" i="2"/>
  <c r="E521" i="2"/>
  <c r="F521" i="2"/>
  <c r="L521" i="2" l="1"/>
  <c r="F520" i="2"/>
  <c r="G520" i="2"/>
  <c r="E520" i="2"/>
  <c r="H520" i="2"/>
  <c r="L520" i="2" l="1"/>
  <c r="E519" i="2"/>
  <c r="F519" i="2"/>
  <c r="G519" i="2"/>
  <c r="H519" i="2"/>
  <c r="L519" i="2" l="1"/>
  <c r="B519" i="2"/>
  <c r="C519" i="2" s="1"/>
  <c r="G518" i="2"/>
  <c r="H518" i="2"/>
  <c r="F518" i="2"/>
  <c r="E518" i="2"/>
  <c r="L518" i="2" l="1"/>
  <c r="G517" i="2"/>
  <c r="F517" i="2"/>
  <c r="E517" i="2"/>
  <c r="H517" i="2"/>
  <c r="L517" i="2" l="1"/>
  <c r="F516" i="2"/>
  <c r="H516" i="2"/>
  <c r="E516" i="2"/>
  <c r="G516" i="2"/>
  <c r="L516" i="2" l="1"/>
  <c r="B516" i="2"/>
  <c r="C516" i="2" s="1"/>
  <c r="E515" i="2"/>
  <c r="H515" i="2"/>
  <c r="G515" i="2"/>
  <c r="F515" i="2"/>
  <c r="L515" i="2" l="1"/>
  <c r="F514" i="2"/>
  <c r="H514" i="2"/>
  <c r="G514" i="2"/>
  <c r="E514" i="2"/>
  <c r="L514" i="2" l="1"/>
  <c r="B514" i="2"/>
  <c r="C514" i="2" s="1"/>
  <c r="E513" i="2"/>
  <c r="H513" i="2"/>
  <c r="G513" i="2"/>
  <c r="F513" i="2"/>
  <c r="L513" i="2" l="1"/>
  <c r="B513" i="2"/>
  <c r="C513" i="2" s="1"/>
  <c r="G512" i="2"/>
  <c r="E512" i="2"/>
  <c r="F512" i="2"/>
  <c r="H512" i="2"/>
  <c r="L512" i="2" l="1"/>
  <c r="B512" i="2"/>
  <c r="C512" i="2" s="1"/>
  <c r="F511" i="2"/>
  <c r="H511" i="2"/>
  <c r="G511" i="2"/>
  <c r="E511" i="2"/>
  <c r="L511" i="2" l="1"/>
  <c r="G510" i="2"/>
  <c r="H510" i="2"/>
  <c r="F510" i="2"/>
  <c r="E510" i="2"/>
  <c r="L510" i="2" l="1"/>
  <c r="H509" i="2"/>
  <c r="G509" i="2"/>
  <c r="F509" i="2"/>
  <c r="E509" i="2"/>
  <c r="L509" i="2" l="1"/>
  <c r="B509" i="2"/>
  <c r="C509" i="2" s="1"/>
  <c r="E508" i="2"/>
  <c r="F508" i="2"/>
  <c r="G508" i="2"/>
  <c r="H508" i="2"/>
  <c r="L508" i="2" l="1"/>
  <c r="F507" i="2"/>
  <c r="G507" i="2"/>
  <c r="E507" i="2"/>
  <c r="H507" i="2"/>
  <c r="L507" i="2" l="1"/>
  <c r="B507" i="2"/>
  <c r="C507" i="2" s="1"/>
  <c r="E506" i="2"/>
  <c r="H506" i="2"/>
  <c r="F506" i="2"/>
  <c r="G506" i="2"/>
  <c r="L506" i="2" l="1"/>
  <c r="E505" i="2"/>
  <c r="H505" i="2"/>
  <c r="F505" i="2"/>
  <c r="G505" i="2"/>
  <c r="L505" i="2" l="1"/>
  <c r="B505" i="2"/>
  <c r="C505" i="2" s="1"/>
  <c r="H504" i="2"/>
  <c r="E504" i="2"/>
  <c r="G504" i="2"/>
  <c r="F504" i="2"/>
  <c r="L504" i="2" l="1"/>
  <c r="B504" i="2"/>
  <c r="C504" i="2" s="1"/>
  <c r="E503" i="2"/>
  <c r="H503" i="2"/>
  <c r="G503" i="2"/>
  <c r="F503" i="2"/>
  <c r="L503" i="2" l="1"/>
  <c r="E502" i="2"/>
  <c r="H502" i="2"/>
  <c r="G502" i="2"/>
  <c r="F502" i="2"/>
  <c r="L502" i="2" l="1"/>
  <c r="B502" i="2"/>
  <c r="C502" i="2" s="1"/>
  <c r="F501" i="2"/>
  <c r="E501" i="2"/>
  <c r="G501" i="2"/>
  <c r="H501" i="2"/>
  <c r="L501" i="2" l="1"/>
  <c r="B501" i="2"/>
  <c r="C501" i="2" s="1"/>
  <c r="G500" i="2"/>
  <c r="F500" i="2"/>
  <c r="E500" i="2"/>
  <c r="H500" i="2"/>
  <c r="L500" i="2" l="1"/>
  <c r="F499" i="2"/>
  <c r="H499" i="2"/>
  <c r="E499" i="2"/>
  <c r="G499" i="2"/>
  <c r="L499" i="2" l="1"/>
  <c r="H498" i="2"/>
  <c r="E498" i="2"/>
  <c r="G498" i="2"/>
  <c r="F498" i="2"/>
  <c r="L498" i="2" l="1"/>
  <c r="B498" i="2"/>
  <c r="C498" i="2" s="1"/>
  <c r="E497" i="2"/>
  <c r="G497" i="2"/>
  <c r="F497" i="2"/>
  <c r="H497" i="2"/>
  <c r="L497" i="2" l="1"/>
  <c r="B497" i="2"/>
  <c r="C497" i="2" s="1"/>
  <c r="F496" i="2"/>
  <c r="H496" i="2"/>
  <c r="E496" i="2"/>
  <c r="G496" i="2"/>
  <c r="L496" i="2" l="1"/>
  <c r="G495" i="2"/>
  <c r="H495" i="2"/>
  <c r="E495" i="2"/>
  <c r="F495" i="2"/>
  <c r="L495" i="2" l="1"/>
  <c r="B495" i="2"/>
  <c r="C495" i="2" s="1"/>
  <c r="E494" i="2"/>
  <c r="H494" i="2"/>
  <c r="F494" i="2"/>
  <c r="G494" i="2"/>
  <c r="L494" i="2" l="1"/>
  <c r="E493" i="2"/>
  <c r="H493" i="2"/>
  <c r="F493" i="2"/>
  <c r="G493" i="2"/>
  <c r="L493" i="2" l="1"/>
  <c r="B493" i="2"/>
  <c r="C493" i="2" s="1"/>
  <c r="F492" i="2"/>
  <c r="E492" i="2"/>
  <c r="H492" i="2"/>
  <c r="G492" i="2"/>
  <c r="L492" i="2" l="1"/>
  <c r="B492" i="2"/>
  <c r="C492" i="2" s="1"/>
  <c r="E491" i="2"/>
  <c r="F491" i="2"/>
  <c r="H491" i="2"/>
  <c r="G491" i="2"/>
  <c r="L491" i="2" l="1"/>
  <c r="G490" i="2"/>
  <c r="E490" i="2"/>
  <c r="F490" i="2"/>
  <c r="H490" i="2"/>
  <c r="L490" i="2" l="1"/>
  <c r="B490" i="2"/>
  <c r="C490" i="2" s="1"/>
  <c r="H489" i="2"/>
  <c r="F489" i="2"/>
  <c r="E489" i="2"/>
  <c r="G489" i="2"/>
  <c r="L489" i="2" l="1"/>
  <c r="H488" i="2"/>
  <c r="F488" i="2"/>
  <c r="E488" i="2"/>
  <c r="G488" i="2"/>
  <c r="L488" i="2" l="1"/>
  <c r="B488" i="2"/>
  <c r="C488" i="2" s="1"/>
  <c r="F487" i="2"/>
  <c r="G487" i="2"/>
  <c r="H487" i="2"/>
  <c r="E487" i="2"/>
  <c r="L487" i="2" l="1"/>
  <c r="B487" i="2"/>
  <c r="C487" i="2" s="1"/>
  <c r="G486" i="2"/>
  <c r="F486" i="2"/>
  <c r="E486" i="2"/>
  <c r="H486" i="2"/>
  <c r="L486" i="2" l="1"/>
  <c r="B486" i="2"/>
  <c r="C486" i="2" s="1"/>
  <c r="G485" i="2"/>
  <c r="E485" i="2"/>
  <c r="H485" i="2"/>
  <c r="F485" i="2"/>
  <c r="L485" i="2" l="1"/>
  <c r="B485" i="2"/>
  <c r="C485" i="2" s="1"/>
  <c r="G484" i="2"/>
  <c r="F484" i="2"/>
  <c r="H484" i="2"/>
  <c r="E484" i="2"/>
  <c r="L484" i="2" l="1"/>
  <c r="B484" i="2"/>
  <c r="C484" i="2" s="1"/>
  <c r="F483" i="2"/>
  <c r="E483" i="2"/>
  <c r="H483" i="2"/>
  <c r="G483" i="2"/>
  <c r="L483" i="2" l="1"/>
  <c r="G482" i="2"/>
  <c r="E482" i="2"/>
  <c r="H482" i="2"/>
  <c r="F482" i="2"/>
  <c r="L482" i="2" l="1"/>
  <c r="F481" i="2"/>
  <c r="E481" i="2"/>
  <c r="G481" i="2"/>
  <c r="H481" i="2"/>
  <c r="L481" i="2" l="1"/>
  <c r="B481" i="2"/>
  <c r="C481" i="2" s="1"/>
  <c r="F480" i="2"/>
  <c r="E480" i="2"/>
  <c r="G480" i="2"/>
  <c r="H480" i="2"/>
  <c r="L480" i="2" l="1"/>
  <c r="E479" i="2"/>
  <c r="F479" i="2"/>
  <c r="G479" i="2"/>
  <c r="H479" i="2"/>
  <c r="L479" i="2" l="1"/>
  <c r="B479" i="2"/>
  <c r="C479" i="2" s="1"/>
  <c r="G478" i="2"/>
  <c r="F478" i="2"/>
  <c r="H478" i="2"/>
  <c r="E478" i="2"/>
  <c r="L478" i="2" l="1"/>
  <c r="B478" i="2"/>
  <c r="C478" i="2" s="1"/>
  <c r="H477" i="2"/>
  <c r="G477" i="2"/>
  <c r="F477" i="2"/>
  <c r="E477" i="2"/>
  <c r="L477" i="2" l="1"/>
  <c r="E476" i="2"/>
  <c r="H476" i="2"/>
  <c r="F476" i="2"/>
  <c r="G476" i="2"/>
  <c r="L476" i="2" l="1"/>
  <c r="B476" i="2"/>
  <c r="C476" i="2" s="1"/>
  <c r="H475" i="2"/>
  <c r="G475" i="2"/>
  <c r="E475" i="2"/>
  <c r="F475" i="2"/>
  <c r="L475" i="2" l="1"/>
  <c r="E474" i="2"/>
  <c r="H474" i="2"/>
  <c r="F474" i="2"/>
  <c r="G474" i="2"/>
  <c r="L474" i="2" l="1"/>
  <c r="B474" i="2"/>
  <c r="C474" i="2" s="1"/>
  <c r="H473" i="2"/>
  <c r="E473" i="2"/>
  <c r="G473" i="2"/>
  <c r="F473" i="2"/>
  <c r="L473" i="2" l="1"/>
  <c r="B473" i="2"/>
  <c r="C473" i="2" s="1"/>
  <c r="E472" i="2"/>
  <c r="F472" i="2"/>
  <c r="G472" i="2"/>
  <c r="H472" i="2"/>
  <c r="L472" i="2" l="1"/>
  <c r="G471" i="2"/>
  <c r="H471" i="2"/>
  <c r="F471" i="2"/>
  <c r="E471" i="2"/>
  <c r="L471" i="2" l="1"/>
  <c r="B471" i="2"/>
  <c r="C471" i="2" s="1"/>
  <c r="F470" i="2"/>
  <c r="G470" i="2"/>
  <c r="E470" i="2"/>
  <c r="H470" i="2"/>
  <c r="L470" i="2" l="1"/>
  <c r="F469" i="2"/>
  <c r="G469" i="2"/>
  <c r="E469" i="2"/>
  <c r="H469" i="2"/>
  <c r="L469" i="2" l="1"/>
  <c r="B469" i="2"/>
  <c r="H468" i="2"/>
  <c r="E468" i="2"/>
  <c r="F468" i="2"/>
  <c r="G468" i="2"/>
  <c r="L468" i="2" l="1"/>
  <c r="B468" i="2"/>
  <c r="C468" i="2" s="1"/>
  <c r="H467" i="2"/>
  <c r="E467" i="2"/>
  <c r="G467" i="2"/>
  <c r="F467" i="2"/>
  <c r="L467" i="2" l="1"/>
  <c r="H466" i="2"/>
  <c r="F466" i="2"/>
  <c r="G466" i="2"/>
  <c r="E466" i="2"/>
  <c r="L466" i="2" l="1"/>
  <c r="F465" i="2"/>
  <c r="G465" i="2"/>
  <c r="E465" i="2"/>
  <c r="H465" i="2"/>
  <c r="L465" i="2" l="1"/>
  <c r="B465" i="2"/>
  <c r="C465" i="2" s="1"/>
  <c r="E464" i="2"/>
  <c r="G464" i="2"/>
  <c r="F464" i="2"/>
  <c r="H464" i="2"/>
  <c r="L464" i="2" l="1"/>
  <c r="E463" i="2"/>
  <c r="G463" i="2"/>
  <c r="F463" i="2"/>
  <c r="H463" i="2"/>
  <c r="L463" i="2" l="1"/>
  <c r="E462" i="2"/>
  <c r="F462" i="2"/>
  <c r="G462" i="2"/>
  <c r="H462" i="2"/>
  <c r="L462" i="2" l="1"/>
  <c r="H461" i="2"/>
  <c r="G461" i="2"/>
  <c r="E461" i="2"/>
  <c r="F461" i="2"/>
  <c r="L461" i="2" l="1"/>
  <c r="H460" i="2"/>
  <c r="F460" i="2"/>
  <c r="G460" i="2"/>
  <c r="E460" i="2"/>
  <c r="L460" i="2" l="1"/>
  <c r="E459" i="2"/>
  <c r="F459" i="2"/>
  <c r="H459" i="2"/>
  <c r="G459" i="2"/>
  <c r="L459" i="2" l="1"/>
  <c r="F458" i="2"/>
  <c r="E458" i="2"/>
  <c r="H458" i="2"/>
  <c r="G458" i="2"/>
  <c r="L458" i="2" l="1"/>
  <c r="B458" i="2"/>
  <c r="C458" i="2" s="1"/>
  <c r="F457" i="2"/>
  <c r="G457" i="2"/>
  <c r="H457" i="2"/>
  <c r="E457" i="2"/>
  <c r="L457" i="2" l="1"/>
  <c r="B457" i="2"/>
  <c r="C457" i="2" s="1"/>
  <c r="E456" i="2"/>
  <c r="F456" i="2"/>
  <c r="H456" i="2"/>
  <c r="G456" i="2"/>
  <c r="L456" i="2" l="1"/>
  <c r="B456" i="2"/>
  <c r="C456" i="2" s="1"/>
  <c r="H455" i="2"/>
  <c r="E455" i="2"/>
  <c r="G455" i="2"/>
  <c r="F455" i="2"/>
  <c r="L455" i="2" l="1"/>
  <c r="F454" i="2"/>
  <c r="E454" i="2"/>
  <c r="G454" i="2"/>
  <c r="H454" i="2"/>
  <c r="L454" i="2" l="1"/>
  <c r="B454" i="2"/>
  <c r="C454" i="2" s="1"/>
  <c r="F453" i="2"/>
  <c r="G453" i="2"/>
  <c r="H453" i="2"/>
  <c r="E453" i="2"/>
  <c r="L453" i="2" l="1"/>
  <c r="B453" i="2"/>
  <c r="C453" i="2" s="1"/>
  <c r="G452" i="2"/>
  <c r="F452" i="2"/>
  <c r="E452" i="2"/>
  <c r="H452" i="2"/>
  <c r="L452" i="2" l="1"/>
  <c r="B452" i="2"/>
  <c r="C452" i="2" s="1"/>
  <c r="G451" i="2"/>
  <c r="H451" i="2"/>
  <c r="F451" i="2"/>
  <c r="E451" i="2"/>
  <c r="L451" i="2" l="1"/>
  <c r="B451" i="2"/>
  <c r="C451" i="2" s="1"/>
  <c r="G450" i="2"/>
  <c r="F450" i="2"/>
  <c r="H450" i="2"/>
  <c r="E450" i="2"/>
  <c r="L450" i="2" l="1"/>
  <c r="G449" i="2"/>
  <c r="F449" i="2"/>
  <c r="E449" i="2"/>
  <c r="H449" i="2"/>
  <c r="L449" i="2" l="1"/>
  <c r="B449" i="2"/>
  <c r="C449" i="2" s="1"/>
  <c r="E448" i="2"/>
  <c r="H448" i="2"/>
  <c r="F448" i="2"/>
  <c r="G448" i="2"/>
  <c r="L448" i="2" l="1"/>
  <c r="B448" i="2"/>
  <c r="C448" i="2" s="1"/>
  <c r="F447" i="2"/>
  <c r="H447" i="2"/>
  <c r="G447" i="2"/>
  <c r="E447" i="2"/>
  <c r="L447" i="2" l="1"/>
  <c r="B447" i="2"/>
  <c r="C447" i="2" s="1"/>
  <c r="G446" i="2"/>
  <c r="E446" i="2"/>
  <c r="F446" i="2"/>
  <c r="H446" i="2"/>
  <c r="L446" i="2" l="1"/>
  <c r="B446" i="2"/>
  <c r="C446" i="2" s="1"/>
  <c r="H445" i="2"/>
  <c r="F445" i="2"/>
  <c r="E445" i="2"/>
  <c r="G445" i="2"/>
  <c r="L445" i="2" l="1"/>
  <c r="B445" i="2"/>
  <c r="C445" i="2" s="1"/>
  <c r="H444" i="2"/>
  <c r="G444" i="2"/>
  <c r="F444" i="2"/>
  <c r="E444" i="2"/>
  <c r="L444" i="2" l="1"/>
  <c r="B444" i="2"/>
  <c r="C444" i="2" s="1"/>
  <c r="E443" i="2"/>
  <c r="F443" i="2"/>
  <c r="H443" i="2"/>
  <c r="G443" i="2"/>
  <c r="L443" i="2" l="1"/>
  <c r="B443" i="2"/>
  <c r="C443" i="2" s="1"/>
  <c r="F442" i="2"/>
  <c r="G442" i="2"/>
  <c r="H442" i="2"/>
  <c r="E442" i="2"/>
  <c r="L442" i="2" l="1"/>
  <c r="B442" i="2"/>
  <c r="C442" i="2" s="1"/>
  <c r="G441" i="2"/>
  <c r="E441" i="2"/>
  <c r="H441" i="2"/>
  <c r="F441" i="2"/>
  <c r="L441" i="2" l="1"/>
  <c r="B441" i="2"/>
  <c r="C441" i="2" s="1"/>
  <c r="G440" i="2"/>
  <c r="E440" i="2"/>
  <c r="H440" i="2"/>
  <c r="F440" i="2"/>
  <c r="L440" i="2" l="1"/>
  <c r="B440" i="2"/>
  <c r="C440" i="2" s="1"/>
  <c r="E439" i="2"/>
  <c r="F439" i="2"/>
  <c r="G439" i="2"/>
  <c r="H439" i="2"/>
  <c r="L439" i="2" l="1"/>
  <c r="H438" i="2"/>
  <c r="E438" i="2"/>
  <c r="F438" i="2"/>
  <c r="G438" i="2"/>
  <c r="L438" i="2" l="1"/>
  <c r="F437" i="2"/>
  <c r="G437" i="2"/>
  <c r="H437" i="2"/>
  <c r="E437" i="2"/>
  <c r="L437" i="2" l="1"/>
  <c r="B437" i="2"/>
  <c r="C437" i="2" s="1"/>
  <c r="F436" i="2"/>
  <c r="H436" i="2"/>
  <c r="G436" i="2"/>
  <c r="E436" i="2"/>
  <c r="L436" i="2" l="1"/>
  <c r="B436" i="2"/>
  <c r="C436" i="2" s="1"/>
  <c r="E435" i="2"/>
  <c r="G435" i="2"/>
  <c r="F435" i="2"/>
  <c r="H435" i="2"/>
  <c r="L435" i="2" l="1"/>
  <c r="F434" i="2"/>
  <c r="H434" i="2"/>
  <c r="G434" i="2"/>
  <c r="E434" i="2"/>
  <c r="L434" i="2" l="1"/>
  <c r="B434" i="2"/>
  <c r="C434" i="2" s="1"/>
  <c r="E433" i="2"/>
  <c r="G433" i="2"/>
  <c r="F433" i="2"/>
  <c r="H433" i="2"/>
  <c r="L433" i="2" l="1"/>
  <c r="B433" i="2"/>
  <c r="C433" i="2" s="1"/>
  <c r="G432" i="2"/>
  <c r="H432" i="2"/>
  <c r="E432" i="2"/>
  <c r="F432" i="2"/>
  <c r="L432" i="2" l="1"/>
  <c r="B432" i="2"/>
  <c r="C432" i="2" s="1"/>
  <c r="F431" i="2"/>
  <c r="E431" i="2"/>
  <c r="H431" i="2"/>
  <c r="G431" i="2"/>
  <c r="L431" i="2" l="1"/>
  <c r="F430" i="2"/>
  <c r="H430" i="2"/>
  <c r="G430" i="2"/>
  <c r="E430" i="2"/>
  <c r="L430" i="2" l="1"/>
  <c r="B430" i="2"/>
  <c r="C430" i="2" s="1"/>
  <c r="H429" i="2"/>
  <c r="E429" i="2"/>
  <c r="F429" i="2"/>
  <c r="G429" i="2"/>
  <c r="L429" i="2" l="1"/>
  <c r="B429" i="2"/>
  <c r="C429" i="2" s="1"/>
  <c r="G428" i="2"/>
  <c r="F428" i="2"/>
  <c r="E428" i="2"/>
  <c r="H428" i="2"/>
  <c r="L428" i="2" l="1"/>
  <c r="B428" i="2"/>
  <c r="C428" i="2" s="1"/>
  <c r="G427" i="2"/>
  <c r="E427" i="2"/>
  <c r="H427" i="2"/>
  <c r="F427" i="2"/>
  <c r="L427" i="2" l="1"/>
  <c r="H426" i="2"/>
  <c r="G426" i="2"/>
  <c r="E426" i="2"/>
  <c r="F426" i="2"/>
  <c r="L426" i="2" l="1"/>
  <c r="E425" i="2"/>
  <c r="H425" i="2"/>
  <c r="F425" i="2"/>
  <c r="G425" i="2"/>
  <c r="L425" i="2" l="1"/>
  <c r="B425" i="2"/>
  <c r="C425" i="2" s="1"/>
  <c r="G424" i="2"/>
  <c r="H424" i="2"/>
  <c r="F424" i="2"/>
  <c r="E424" i="2"/>
  <c r="L424" i="2" l="1"/>
  <c r="F423" i="2"/>
  <c r="E423" i="2"/>
  <c r="H423" i="2"/>
  <c r="G423" i="2"/>
  <c r="L423" i="2" l="1"/>
  <c r="H422" i="2"/>
  <c r="F422" i="2"/>
  <c r="G422" i="2"/>
  <c r="E422" i="2"/>
  <c r="L422" i="2" l="1"/>
  <c r="B422" i="2"/>
  <c r="C422" i="2" s="1"/>
  <c r="G421" i="2"/>
  <c r="H421" i="2"/>
  <c r="F421" i="2"/>
  <c r="E421" i="2"/>
  <c r="L421" i="2" l="1"/>
  <c r="B421" i="2"/>
  <c r="C421" i="2" s="1"/>
  <c r="E419" i="2"/>
  <c r="G419" i="2"/>
  <c r="H419" i="2"/>
  <c r="F419" i="2"/>
  <c r="L419" i="2" l="1"/>
  <c r="B419" i="2"/>
  <c r="C419" i="2" s="1"/>
  <c r="G418" i="2"/>
  <c r="E418" i="2"/>
  <c r="H418" i="2"/>
  <c r="F418" i="2"/>
  <c r="L418" i="2" l="1"/>
  <c r="H417" i="2"/>
  <c r="G417" i="2"/>
  <c r="F417" i="2"/>
  <c r="E417" i="2"/>
  <c r="L417" i="2" l="1"/>
  <c r="B417" i="2"/>
  <c r="C417" i="2" s="1"/>
  <c r="H416" i="2"/>
  <c r="F416" i="2"/>
  <c r="G416" i="2"/>
  <c r="E416" i="2"/>
  <c r="L416" i="2" l="1"/>
  <c r="G415" i="2"/>
  <c r="H415" i="2"/>
  <c r="E415" i="2"/>
  <c r="F415" i="2"/>
  <c r="L415" i="2" l="1"/>
  <c r="B415" i="2"/>
  <c r="C415" i="2" s="1"/>
  <c r="H414" i="2"/>
  <c r="E414" i="2"/>
  <c r="G414" i="2"/>
  <c r="F414" i="2"/>
  <c r="L414" i="2" l="1"/>
  <c r="B414" i="2"/>
  <c r="C414" i="2" s="1"/>
  <c r="E413" i="2"/>
  <c r="F413" i="2"/>
  <c r="H413" i="2"/>
  <c r="G413" i="2"/>
  <c r="L413" i="2" l="1"/>
  <c r="E412" i="2"/>
  <c r="F412" i="2"/>
  <c r="H412" i="2"/>
  <c r="G412" i="2"/>
  <c r="L412" i="2" l="1"/>
  <c r="B412" i="2"/>
  <c r="C412" i="2" s="1"/>
  <c r="H411" i="2"/>
  <c r="G411" i="2"/>
  <c r="F411" i="2"/>
  <c r="E411" i="2"/>
  <c r="L411" i="2" l="1"/>
  <c r="B411" i="2"/>
  <c r="C411" i="2" s="1"/>
  <c r="H410" i="2"/>
  <c r="E410" i="2"/>
  <c r="G410" i="2"/>
  <c r="F410" i="2"/>
  <c r="L410" i="2" l="1"/>
  <c r="F409" i="2"/>
  <c r="H409" i="2"/>
  <c r="E409" i="2"/>
  <c r="G409" i="2"/>
  <c r="L409" i="2" l="1"/>
  <c r="B409" i="2"/>
  <c r="C409" i="2" s="1"/>
  <c r="E408" i="2"/>
  <c r="F408" i="2"/>
  <c r="G408" i="2"/>
  <c r="H408" i="2"/>
  <c r="L408" i="2" l="1"/>
  <c r="B408" i="2"/>
  <c r="C408" i="2" s="1"/>
  <c r="E407" i="2"/>
  <c r="F407" i="2"/>
  <c r="G407" i="2"/>
  <c r="H407" i="2"/>
  <c r="L407" i="2" l="1"/>
  <c r="B407" i="2"/>
  <c r="C407" i="2" s="1"/>
  <c r="F406" i="2"/>
  <c r="H406" i="2"/>
  <c r="G406" i="2"/>
  <c r="E406" i="2"/>
  <c r="L406" i="2" l="1"/>
  <c r="E405" i="2"/>
  <c r="G405" i="2"/>
  <c r="F405" i="2"/>
  <c r="H405" i="2"/>
  <c r="L405" i="2" l="1"/>
  <c r="B405" i="2"/>
  <c r="C405" i="2" s="1"/>
  <c r="E404" i="2"/>
  <c r="H404" i="2"/>
  <c r="G404" i="2"/>
  <c r="F404" i="2"/>
  <c r="L404" i="2" l="1"/>
  <c r="B404" i="2"/>
  <c r="C404" i="2" s="1"/>
  <c r="F403" i="2"/>
  <c r="E403" i="2"/>
  <c r="H403" i="2"/>
  <c r="G403" i="2"/>
  <c r="L403" i="2" l="1"/>
  <c r="H402" i="2"/>
  <c r="G402" i="2"/>
  <c r="E402" i="2"/>
  <c r="F402" i="2"/>
  <c r="L402" i="2" l="1"/>
  <c r="B402" i="2"/>
  <c r="C402" i="2" s="1"/>
  <c r="H401" i="2"/>
  <c r="F401" i="2"/>
  <c r="E401" i="2"/>
  <c r="G401" i="2"/>
  <c r="L401" i="2" l="1"/>
  <c r="B401" i="2"/>
  <c r="C401" i="2" s="1"/>
  <c r="E400" i="2"/>
  <c r="G400" i="2"/>
  <c r="H400" i="2"/>
  <c r="F400" i="2"/>
  <c r="L400" i="2" l="1"/>
  <c r="G399" i="2"/>
  <c r="H399" i="2"/>
  <c r="E399" i="2"/>
  <c r="F399" i="2"/>
  <c r="L399" i="2" l="1"/>
  <c r="G398" i="2"/>
  <c r="H398" i="2"/>
  <c r="F398" i="2"/>
  <c r="E398" i="2"/>
  <c r="L398" i="2" l="1"/>
  <c r="B398" i="2"/>
  <c r="C398" i="2" s="1"/>
  <c r="E397" i="2"/>
  <c r="G397" i="2"/>
  <c r="F397" i="2"/>
  <c r="H397" i="2"/>
  <c r="L397" i="2" l="1"/>
  <c r="B397" i="2"/>
  <c r="C397" i="2" s="1"/>
  <c r="G396" i="2"/>
  <c r="F396" i="2"/>
  <c r="H396" i="2"/>
  <c r="E396" i="2"/>
  <c r="L396" i="2" l="1"/>
  <c r="F395" i="2"/>
  <c r="H395" i="2"/>
  <c r="E395" i="2"/>
  <c r="G395" i="2"/>
  <c r="L395" i="2" l="1"/>
  <c r="C395" i="2"/>
  <c r="G394" i="2"/>
  <c r="F394" i="2"/>
  <c r="H394" i="2"/>
  <c r="E394" i="2"/>
  <c r="L394" i="2" l="1"/>
  <c r="E393" i="2"/>
  <c r="F393" i="2"/>
  <c r="G393" i="2"/>
  <c r="H393" i="2"/>
  <c r="L393" i="2" l="1"/>
  <c r="B393" i="2"/>
  <c r="C393" i="2" s="1"/>
  <c r="H392" i="2"/>
  <c r="E392" i="2"/>
  <c r="G392" i="2"/>
  <c r="F392" i="2"/>
  <c r="L392" i="2" l="1"/>
  <c r="B392" i="2"/>
  <c r="C392" i="2" s="1"/>
  <c r="G391" i="2"/>
  <c r="H391" i="2"/>
  <c r="E391" i="2"/>
  <c r="F391" i="2"/>
  <c r="L391" i="2" l="1"/>
  <c r="B391" i="2"/>
  <c r="C391" i="2" s="1"/>
  <c r="E390" i="2"/>
  <c r="H390" i="2"/>
  <c r="G390" i="2"/>
  <c r="F390" i="2"/>
  <c r="L390" i="2" l="1"/>
  <c r="F389" i="2"/>
  <c r="E389" i="2"/>
  <c r="G389" i="2"/>
  <c r="H389" i="2"/>
  <c r="L389" i="2" l="1"/>
  <c r="B389" i="2"/>
  <c r="C389" i="2" s="1"/>
  <c r="F388" i="2"/>
  <c r="G388" i="2"/>
  <c r="H388" i="2"/>
  <c r="E388" i="2"/>
  <c r="L388" i="2" l="1"/>
  <c r="B388" i="2"/>
  <c r="C388" i="2" s="1"/>
  <c r="E387" i="2"/>
  <c r="F387" i="2"/>
  <c r="G387" i="2"/>
  <c r="H387" i="2"/>
  <c r="L387" i="2" l="1"/>
  <c r="B387" i="2"/>
  <c r="C387" i="2" s="1"/>
  <c r="F386" i="2"/>
  <c r="E386" i="2"/>
  <c r="H386" i="2"/>
  <c r="G386" i="2"/>
  <c r="L386" i="2" l="1"/>
  <c r="B386" i="2"/>
  <c r="C386" i="2" s="1"/>
  <c r="H385" i="2"/>
  <c r="E385" i="2"/>
  <c r="G385" i="2"/>
  <c r="F385" i="2"/>
  <c r="L385" i="2" l="1"/>
  <c r="H384" i="2"/>
  <c r="G384" i="2"/>
  <c r="F384" i="2"/>
  <c r="E384" i="2"/>
  <c r="L384" i="2" l="1"/>
  <c r="B384" i="2"/>
  <c r="C384" i="2" s="1"/>
  <c r="H383" i="2"/>
  <c r="E383" i="2"/>
  <c r="F383" i="2"/>
  <c r="G383" i="2"/>
  <c r="L383" i="2" l="1"/>
  <c r="B383" i="2"/>
  <c r="C383" i="2" s="1"/>
  <c r="F382" i="2"/>
  <c r="E382" i="2"/>
  <c r="G382" i="2"/>
  <c r="H382" i="2"/>
  <c r="L382" i="2" l="1"/>
  <c r="E381" i="2"/>
  <c r="G381" i="2"/>
  <c r="H381" i="2"/>
  <c r="F381" i="2"/>
  <c r="L381" i="2" l="1"/>
  <c r="G380" i="2"/>
  <c r="F380" i="2"/>
  <c r="H380" i="2"/>
  <c r="E380" i="2"/>
  <c r="L380" i="2" l="1"/>
  <c r="B380" i="2"/>
  <c r="C380" i="2" s="1"/>
  <c r="F379" i="2"/>
  <c r="G379" i="2"/>
  <c r="H379" i="2"/>
  <c r="E379" i="2"/>
  <c r="L379" i="2" l="1"/>
  <c r="B379" i="2"/>
  <c r="C379" i="2" s="1"/>
  <c r="E378" i="2"/>
  <c r="G378" i="2"/>
  <c r="F378" i="2"/>
  <c r="H378" i="2"/>
  <c r="L378" i="2" l="1"/>
  <c r="B378" i="2"/>
  <c r="C378" i="2" s="1"/>
  <c r="E377" i="2"/>
  <c r="H377" i="2"/>
  <c r="G377" i="2"/>
  <c r="F377" i="2"/>
  <c r="L377" i="2" l="1"/>
  <c r="B377" i="2"/>
  <c r="C377" i="2" s="1"/>
  <c r="G376" i="2"/>
  <c r="E376" i="2"/>
  <c r="H376" i="2"/>
  <c r="F376" i="2"/>
  <c r="L376" i="2" l="1"/>
  <c r="B376" i="2"/>
  <c r="C376" i="2" s="1"/>
  <c r="F375" i="2"/>
  <c r="G375" i="2"/>
  <c r="H375" i="2"/>
  <c r="E375" i="2"/>
  <c r="L375" i="2" l="1"/>
  <c r="F374" i="2"/>
  <c r="E374" i="2"/>
  <c r="H374" i="2"/>
  <c r="G374" i="2"/>
  <c r="L374" i="2" l="1"/>
  <c r="B374" i="2"/>
  <c r="C374" i="2" s="1"/>
  <c r="H373" i="2"/>
  <c r="E373" i="2"/>
  <c r="G373" i="2"/>
  <c r="F373" i="2"/>
  <c r="L373" i="2" l="1"/>
  <c r="F372" i="2"/>
  <c r="H372" i="2"/>
  <c r="G372" i="2"/>
  <c r="E372" i="2"/>
  <c r="L372" i="2" l="1"/>
  <c r="B372" i="2"/>
  <c r="C372" i="2" s="1"/>
  <c r="G371" i="2"/>
  <c r="E371" i="2"/>
  <c r="H371" i="2"/>
  <c r="F371" i="2"/>
  <c r="L371" i="2" l="1"/>
  <c r="B371" i="2"/>
  <c r="C371" i="2" s="1"/>
  <c r="F370" i="2"/>
  <c r="H370" i="2"/>
  <c r="E370" i="2"/>
  <c r="G370" i="2"/>
  <c r="L370" i="2" l="1"/>
  <c r="E369" i="2"/>
  <c r="F369" i="2"/>
  <c r="G369" i="2"/>
  <c r="H369" i="2"/>
  <c r="L369" i="2" l="1"/>
  <c r="E368" i="2"/>
  <c r="H368" i="2"/>
  <c r="G368" i="2"/>
  <c r="F368" i="2"/>
  <c r="L368" i="2" l="1"/>
  <c r="E367" i="2"/>
  <c r="H367" i="2"/>
  <c r="F367" i="2"/>
  <c r="G367" i="2"/>
  <c r="L367" i="2" l="1"/>
  <c r="F366" i="2"/>
  <c r="E366" i="2"/>
  <c r="H366" i="2"/>
  <c r="G366" i="2"/>
  <c r="L366" i="2" l="1"/>
  <c r="B366" i="2"/>
  <c r="C366" i="2" s="1"/>
  <c r="E365" i="2"/>
  <c r="F365" i="2"/>
  <c r="G365" i="2"/>
  <c r="H365" i="2"/>
  <c r="L365" i="2" l="1"/>
  <c r="F364" i="2"/>
  <c r="G364" i="2"/>
  <c r="H364" i="2"/>
  <c r="E364" i="2"/>
  <c r="L364" i="2" l="1"/>
  <c r="B364" i="2"/>
  <c r="C364" i="2" s="1"/>
  <c r="E363" i="2"/>
  <c r="G363" i="2"/>
  <c r="H363" i="2"/>
  <c r="F363" i="2"/>
  <c r="L363" i="2" l="1"/>
  <c r="F362" i="2"/>
  <c r="E362" i="2"/>
  <c r="G362" i="2"/>
  <c r="H362" i="2"/>
  <c r="L362" i="2" l="1"/>
  <c r="B362" i="2"/>
  <c r="C362" i="2" s="1"/>
  <c r="F361" i="2"/>
  <c r="E361" i="2"/>
  <c r="H361" i="2"/>
  <c r="G361" i="2"/>
  <c r="L361" i="2" l="1"/>
  <c r="G360" i="2"/>
  <c r="E360" i="2"/>
  <c r="F360" i="2"/>
  <c r="H360" i="2"/>
  <c r="L360" i="2" l="1"/>
  <c r="G359" i="2"/>
  <c r="F359" i="2"/>
  <c r="E359" i="2"/>
  <c r="H359" i="2"/>
  <c r="L359" i="2" l="1"/>
  <c r="F358" i="2"/>
  <c r="H358" i="2"/>
  <c r="G358" i="2"/>
  <c r="E358" i="2"/>
  <c r="L358" i="2" l="1"/>
  <c r="G357" i="2"/>
  <c r="H357" i="2"/>
  <c r="F357" i="2"/>
  <c r="E357" i="2"/>
  <c r="L357" i="2" l="1"/>
  <c r="B357" i="2"/>
  <c r="C357" i="2" s="1"/>
  <c r="F356" i="2"/>
  <c r="H356" i="2"/>
  <c r="E356" i="2"/>
  <c r="G356" i="2"/>
  <c r="L356" i="2" l="1"/>
  <c r="E355" i="2"/>
  <c r="H355" i="2"/>
  <c r="G355" i="2"/>
  <c r="F355" i="2"/>
  <c r="L355" i="2" l="1"/>
  <c r="B355" i="2"/>
  <c r="C355" i="2" s="1"/>
  <c r="F354" i="2"/>
  <c r="E354" i="2"/>
  <c r="G354" i="2"/>
  <c r="H354" i="2"/>
  <c r="L354" i="2" l="1"/>
  <c r="B354" i="2"/>
  <c r="C354" i="2" s="1"/>
  <c r="G353" i="2"/>
  <c r="F353" i="2"/>
  <c r="E353" i="2"/>
  <c r="H353" i="2"/>
  <c r="L353" i="2" l="1"/>
  <c r="E352" i="2"/>
  <c r="G352" i="2"/>
  <c r="H352" i="2"/>
  <c r="F352" i="2"/>
  <c r="L352" i="2" l="1"/>
  <c r="B352" i="2"/>
  <c r="C352" i="2" s="1"/>
  <c r="G351" i="2"/>
  <c r="F351" i="2"/>
  <c r="H351" i="2"/>
  <c r="E351" i="2"/>
  <c r="L351" i="2" l="1"/>
  <c r="E350" i="2"/>
  <c r="H350" i="2"/>
  <c r="F350" i="2"/>
  <c r="G350" i="2"/>
  <c r="L350" i="2" l="1"/>
  <c r="H349" i="2"/>
  <c r="G349" i="2"/>
  <c r="F349" i="2"/>
  <c r="E349" i="2"/>
  <c r="L349" i="2" l="1"/>
  <c r="B349" i="2"/>
  <c r="C349" i="2" s="1"/>
  <c r="E348" i="2"/>
  <c r="F348" i="2"/>
  <c r="H348" i="2"/>
  <c r="G348" i="2"/>
  <c r="L348" i="2" l="1"/>
  <c r="B348" i="2"/>
  <c r="C348" i="2" s="1"/>
  <c r="H347" i="2"/>
  <c r="F347" i="2"/>
  <c r="G347" i="2"/>
  <c r="E347" i="2"/>
  <c r="L347" i="2" l="1"/>
  <c r="B347" i="2"/>
  <c r="C347" i="2" s="1"/>
  <c r="G346" i="2"/>
  <c r="F346" i="2"/>
  <c r="H346" i="2"/>
  <c r="E346" i="2"/>
  <c r="L346" i="2" l="1"/>
  <c r="G345" i="2"/>
  <c r="H345" i="2"/>
  <c r="F345" i="2"/>
  <c r="E345" i="2"/>
  <c r="L345" i="2" l="1"/>
  <c r="B345" i="2"/>
  <c r="C345" i="2" s="1"/>
  <c r="G344" i="2"/>
  <c r="F344" i="2"/>
  <c r="H344" i="2"/>
  <c r="E344" i="2"/>
  <c r="L344" i="2" l="1"/>
  <c r="H343" i="2"/>
  <c r="F343" i="2"/>
  <c r="E343" i="2"/>
  <c r="G343" i="2"/>
  <c r="L343" i="2" l="1"/>
  <c r="H342" i="2"/>
  <c r="E342" i="2"/>
  <c r="F342" i="2"/>
  <c r="G342" i="2"/>
  <c r="L342" i="2" l="1"/>
  <c r="B342" i="2"/>
  <c r="C342" i="2" s="1"/>
  <c r="H341" i="2"/>
  <c r="E341" i="2"/>
  <c r="F341" i="2"/>
  <c r="G341" i="2"/>
  <c r="L341" i="2" l="1"/>
  <c r="F340" i="2"/>
  <c r="G340" i="2"/>
  <c r="H340" i="2"/>
  <c r="E340" i="2"/>
  <c r="L340" i="2" l="1"/>
  <c r="H339" i="2"/>
  <c r="F339" i="2"/>
  <c r="E339" i="2"/>
  <c r="G339" i="2"/>
  <c r="L339" i="2" l="1"/>
  <c r="B339" i="2"/>
  <c r="C339" i="2" s="1"/>
  <c r="H338" i="2"/>
  <c r="G338" i="2"/>
  <c r="F338" i="2"/>
  <c r="E338" i="2"/>
  <c r="L338" i="2" l="1"/>
  <c r="B338" i="2"/>
  <c r="C338" i="2" s="1"/>
  <c r="E337" i="2"/>
  <c r="F337" i="2"/>
  <c r="G337" i="2"/>
  <c r="H337" i="2"/>
  <c r="L337" i="2" l="1"/>
  <c r="B337" i="2"/>
  <c r="C337" i="2" s="1"/>
  <c r="G336" i="2"/>
  <c r="F336" i="2"/>
  <c r="E336" i="2"/>
  <c r="H336" i="2"/>
  <c r="L336" i="2" l="1"/>
  <c r="B336" i="2"/>
  <c r="C336" i="2" s="1"/>
  <c r="E335" i="2"/>
  <c r="H335" i="2"/>
  <c r="F335" i="2"/>
  <c r="G335" i="2"/>
  <c r="L335" i="2" l="1"/>
  <c r="B335" i="2"/>
  <c r="C335" i="2" s="1"/>
  <c r="E334" i="2"/>
  <c r="F334" i="2"/>
  <c r="H334" i="2"/>
  <c r="G334" i="2"/>
  <c r="L334" i="2" l="1"/>
  <c r="G333" i="2"/>
  <c r="H333" i="2"/>
  <c r="E333" i="2"/>
  <c r="F333" i="2"/>
  <c r="L333" i="2" l="1"/>
  <c r="B333" i="2"/>
  <c r="C333" i="2" s="1"/>
  <c r="E332" i="2"/>
  <c r="G332" i="2"/>
  <c r="F332" i="2"/>
  <c r="H332" i="2"/>
  <c r="L332" i="2" l="1"/>
  <c r="F331" i="2"/>
  <c r="G331" i="2"/>
  <c r="H331" i="2"/>
  <c r="E331" i="2"/>
  <c r="L331" i="2" l="1"/>
  <c r="B331" i="2"/>
  <c r="C331" i="2" s="1"/>
  <c r="G330" i="2"/>
  <c r="F330" i="2"/>
  <c r="H330" i="2"/>
  <c r="E330" i="2"/>
  <c r="L330" i="2" l="1"/>
  <c r="B330" i="2"/>
  <c r="C330" i="2" s="1"/>
  <c r="E329" i="2"/>
  <c r="F329" i="2"/>
  <c r="H329" i="2"/>
  <c r="G329" i="2"/>
  <c r="L329" i="2" l="1"/>
  <c r="B329" i="2"/>
  <c r="C329" i="2" s="1"/>
  <c r="F328" i="2"/>
  <c r="E328" i="2"/>
  <c r="G328" i="2"/>
  <c r="H328" i="2"/>
  <c r="L328" i="2" l="1"/>
  <c r="H327" i="2"/>
  <c r="E327" i="2"/>
  <c r="F327" i="2"/>
  <c r="G327" i="2"/>
  <c r="L327" i="2" l="1"/>
  <c r="B327" i="2"/>
  <c r="C327" i="2" s="1"/>
  <c r="E326" i="2"/>
  <c r="G326" i="2"/>
  <c r="H326" i="2"/>
  <c r="F326" i="2"/>
  <c r="L326" i="2" l="1"/>
  <c r="B326" i="2"/>
  <c r="C326" i="2" s="1"/>
  <c r="E325" i="2"/>
  <c r="F325" i="2"/>
  <c r="H325" i="2"/>
  <c r="G325" i="2"/>
  <c r="L325" i="2" l="1"/>
  <c r="E324" i="2"/>
  <c r="G324" i="2"/>
  <c r="H324" i="2"/>
  <c r="F324" i="2"/>
  <c r="L324" i="2" l="1"/>
  <c r="B324" i="2"/>
  <c r="C324" i="2" s="1"/>
  <c r="E323" i="2"/>
  <c r="G323" i="2"/>
  <c r="H323" i="2"/>
  <c r="F323" i="2"/>
  <c r="L323" i="2" l="1"/>
  <c r="E322" i="2"/>
  <c r="F322" i="2"/>
  <c r="G322" i="2"/>
  <c r="H322" i="2"/>
  <c r="L322" i="2" l="1"/>
  <c r="B322" i="2"/>
  <c r="C322" i="2" s="1"/>
  <c r="G321" i="2"/>
  <c r="H321" i="2"/>
  <c r="F321" i="2"/>
  <c r="E321" i="2"/>
  <c r="L321" i="2" l="1"/>
  <c r="E320" i="2"/>
  <c r="H320" i="2"/>
  <c r="F320" i="2"/>
  <c r="G320" i="2"/>
  <c r="L320" i="2" l="1"/>
  <c r="B320" i="2"/>
  <c r="C320" i="2" s="1"/>
  <c r="H319" i="2"/>
  <c r="G319" i="2"/>
  <c r="F319" i="2"/>
  <c r="E319" i="2"/>
  <c r="L319" i="2" l="1"/>
  <c r="H318" i="2"/>
  <c r="E318" i="2"/>
  <c r="F318" i="2"/>
  <c r="G318" i="2"/>
  <c r="L318" i="2" l="1"/>
  <c r="B318" i="2"/>
  <c r="C318" i="2" s="1"/>
  <c r="E317" i="2"/>
  <c r="G317" i="2"/>
  <c r="F317" i="2"/>
  <c r="H317" i="2"/>
  <c r="L317" i="2" l="1"/>
  <c r="B317" i="2"/>
  <c r="C317" i="2" s="1"/>
  <c r="F316" i="2"/>
  <c r="H316" i="2"/>
  <c r="G316" i="2"/>
  <c r="E316" i="2"/>
  <c r="L316" i="2" l="1"/>
  <c r="B316" i="2"/>
  <c r="C316" i="2" s="1"/>
  <c r="H315" i="2"/>
  <c r="G315" i="2"/>
  <c r="F315" i="2"/>
  <c r="E315" i="2"/>
  <c r="L315" i="2" l="1"/>
  <c r="B315" i="2"/>
  <c r="C315" i="2" s="1"/>
  <c r="H314" i="2"/>
  <c r="F314" i="2"/>
  <c r="G314" i="2"/>
  <c r="E314" i="2"/>
  <c r="L314" i="2" l="1"/>
  <c r="B314" i="2"/>
  <c r="C314" i="2" s="1"/>
  <c r="G313" i="2"/>
  <c r="E313" i="2"/>
  <c r="H313" i="2"/>
  <c r="F313" i="2"/>
  <c r="L313" i="2" l="1"/>
  <c r="H312" i="2"/>
  <c r="F312" i="2"/>
  <c r="E312" i="2"/>
  <c r="G312" i="2"/>
  <c r="L312" i="2" l="1"/>
  <c r="B312" i="2"/>
  <c r="C312" i="2" s="1"/>
  <c r="H311" i="2"/>
  <c r="F311" i="2"/>
  <c r="E311" i="2"/>
  <c r="G311" i="2"/>
  <c r="L311" i="2" l="1"/>
  <c r="F310" i="2"/>
  <c r="E310" i="2"/>
  <c r="H310" i="2"/>
  <c r="G310" i="2"/>
  <c r="L310" i="2" l="1"/>
  <c r="B310" i="2"/>
  <c r="C310" i="2" s="1"/>
  <c r="F309" i="2"/>
  <c r="G309" i="2"/>
  <c r="E309" i="2"/>
  <c r="H309" i="2"/>
  <c r="L309" i="2" l="1"/>
  <c r="B309" i="2"/>
  <c r="C309" i="2" s="1"/>
  <c r="F308" i="2"/>
  <c r="E308" i="2"/>
  <c r="G308" i="2"/>
  <c r="H308" i="2"/>
  <c r="L308" i="2" l="1"/>
  <c r="B308" i="2"/>
  <c r="C308" i="2" s="1"/>
  <c r="F307" i="2"/>
  <c r="E307" i="2"/>
  <c r="H307" i="2"/>
  <c r="G307" i="2"/>
  <c r="L307" i="2" l="1"/>
  <c r="F306" i="2"/>
  <c r="E306" i="2"/>
  <c r="H306" i="2"/>
  <c r="G306" i="2"/>
  <c r="L306" i="2" l="1"/>
  <c r="B306" i="2"/>
  <c r="C306" i="2" s="1"/>
  <c r="E305" i="2"/>
  <c r="F305" i="2"/>
  <c r="H305" i="2"/>
  <c r="G305" i="2"/>
  <c r="L305" i="2" l="1"/>
  <c r="B305" i="2"/>
  <c r="C305" i="2" s="1"/>
  <c r="E304" i="2"/>
  <c r="H304" i="2"/>
  <c r="F304" i="2"/>
  <c r="G304" i="2"/>
  <c r="L304" i="2" l="1"/>
  <c r="B304" i="2"/>
  <c r="C304" i="2" s="1"/>
  <c r="E303" i="2"/>
  <c r="H303" i="2"/>
  <c r="G303" i="2"/>
  <c r="F303" i="2"/>
  <c r="L303" i="2" l="1"/>
  <c r="E302" i="2"/>
  <c r="F302" i="2"/>
  <c r="H302" i="2"/>
  <c r="G302" i="2"/>
  <c r="L302" i="2" l="1"/>
  <c r="B302" i="2"/>
  <c r="C302" i="2" s="1"/>
  <c r="E301" i="2"/>
  <c r="F301" i="2"/>
  <c r="H301" i="2"/>
  <c r="G301" i="2"/>
  <c r="L301" i="2" l="1"/>
  <c r="B301" i="2"/>
  <c r="C301" i="2" s="1"/>
  <c r="F300" i="2"/>
  <c r="E300" i="2"/>
  <c r="G300" i="2"/>
  <c r="H300" i="2"/>
  <c r="L300" i="2" l="1"/>
  <c r="F299" i="2"/>
  <c r="H299" i="2"/>
  <c r="G299" i="2"/>
  <c r="E299" i="2"/>
  <c r="L299" i="2" l="1"/>
  <c r="B299" i="2"/>
  <c r="C299" i="2" s="1"/>
  <c r="H298" i="2"/>
  <c r="G298" i="2"/>
  <c r="E298" i="2"/>
  <c r="F298" i="2"/>
  <c r="L298" i="2" l="1"/>
  <c r="F297" i="2"/>
  <c r="G297" i="2"/>
  <c r="E297" i="2"/>
  <c r="H297" i="2"/>
  <c r="L297" i="2" l="1"/>
  <c r="B297" i="2"/>
  <c r="C297" i="2" s="1"/>
  <c r="F296" i="2"/>
  <c r="G296" i="2"/>
  <c r="E296" i="2"/>
  <c r="H296" i="2"/>
  <c r="L296" i="2" l="1"/>
  <c r="H295" i="2"/>
  <c r="F295" i="2"/>
  <c r="E295" i="2"/>
  <c r="G295" i="2"/>
  <c r="L295" i="2" l="1"/>
  <c r="G294" i="2"/>
  <c r="H294" i="2"/>
  <c r="F294" i="2"/>
  <c r="E294" i="2"/>
  <c r="L294" i="2" l="1"/>
  <c r="B294" i="2"/>
  <c r="C294" i="2" s="1"/>
  <c r="E293" i="2"/>
  <c r="G293" i="2"/>
  <c r="F293" i="2"/>
  <c r="H293" i="2"/>
  <c r="L293" i="2" l="1"/>
  <c r="B293" i="2"/>
  <c r="C293" i="2" s="1"/>
  <c r="H292" i="2"/>
  <c r="F292" i="2"/>
  <c r="G292" i="2"/>
  <c r="E292" i="2"/>
  <c r="L292" i="2" l="1"/>
  <c r="B292" i="2"/>
  <c r="C292" i="2" s="1"/>
  <c r="E291" i="2"/>
  <c r="G291" i="2"/>
  <c r="F291" i="2"/>
  <c r="H291" i="2"/>
  <c r="L291" i="2" l="1"/>
  <c r="B291" i="2"/>
  <c r="C291" i="2" s="1"/>
  <c r="G290" i="2"/>
  <c r="E290" i="2"/>
  <c r="H290" i="2"/>
  <c r="F290" i="2"/>
  <c r="L290" i="2" l="1"/>
  <c r="F289" i="2"/>
  <c r="H289" i="2"/>
  <c r="E289" i="2"/>
  <c r="G289" i="2"/>
  <c r="L289" i="2" l="1"/>
  <c r="B289" i="2"/>
  <c r="C289" i="2" s="1"/>
  <c r="G288" i="2"/>
  <c r="F288" i="2"/>
  <c r="E288" i="2"/>
  <c r="H288" i="2"/>
  <c r="L288" i="2" l="1"/>
  <c r="B288" i="2"/>
  <c r="C288" i="2" s="1"/>
  <c r="E287" i="2"/>
  <c r="H287" i="2"/>
  <c r="G287" i="2"/>
  <c r="F287" i="2"/>
  <c r="L287" i="2" l="1"/>
  <c r="B287" i="2"/>
  <c r="C287" i="2" s="1"/>
  <c r="G286" i="2"/>
  <c r="H286" i="2"/>
  <c r="F286" i="2"/>
  <c r="E286" i="2"/>
  <c r="L286" i="2" l="1"/>
  <c r="F285" i="2"/>
  <c r="G285" i="2"/>
  <c r="H285" i="2"/>
  <c r="E285" i="2"/>
  <c r="L285" i="2" l="1"/>
  <c r="F284" i="2"/>
  <c r="H284" i="2"/>
  <c r="E284" i="2"/>
  <c r="G284" i="2"/>
  <c r="L284" i="2" l="1"/>
  <c r="E283" i="2"/>
  <c r="F283" i="2"/>
  <c r="H283" i="2"/>
  <c r="G283" i="2"/>
  <c r="L283" i="2" l="1"/>
  <c r="B283" i="2"/>
  <c r="C283" i="2" s="1"/>
  <c r="E282" i="2"/>
  <c r="G282" i="2"/>
  <c r="F282" i="2"/>
  <c r="H282" i="2"/>
  <c r="L282" i="2" l="1"/>
  <c r="B282" i="2"/>
  <c r="C282" i="2" s="1"/>
  <c r="G281" i="2"/>
  <c r="E281" i="2"/>
  <c r="H281" i="2"/>
  <c r="F281" i="2"/>
  <c r="L281" i="2" l="1"/>
  <c r="B281" i="2"/>
  <c r="C281" i="2" s="1"/>
  <c r="E280" i="2"/>
  <c r="H280" i="2"/>
  <c r="G280" i="2"/>
  <c r="F280" i="2"/>
  <c r="L280" i="2" l="1"/>
  <c r="B280" i="2"/>
  <c r="C280" i="2" s="1"/>
  <c r="H279" i="2"/>
  <c r="F279" i="2"/>
  <c r="E279" i="2"/>
  <c r="G279" i="2"/>
  <c r="L279" i="2" l="1"/>
  <c r="B279" i="2"/>
  <c r="C279" i="2" s="1"/>
  <c r="F278" i="2"/>
  <c r="H278" i="2"/>
  <c r="E278" i="2"/>
  <c r="G278" i="2"/>
  <c r="L278" i="2" l="1"/>
  <c r="B278" i="2"/>
  <c r="C278" i="2" s="1"/>
  <c r="E277" i="2"/>
  <c r="F277" i="2"/>
  <c r="G277" i="2"/>
  <c r="H277" i="2"/>
  <c r="L277" i="2" l="1"/>
  <c r="G276" i="2"/>
  <c r="F276" i="2"/>
  <c r="E276" i="2"/>
  <c r="H276" i="2"/>
  <c r="L276" i="2" l="1"/>
  <c r="B276" i="2"/>
  <c r="C276" i="2" s="1"/>
  <c r="F275" i="2"/>
  <c r="E275" i="2"/>
  <c r="G275" i="2"/>
  <c r="H275" i="2"/>
  <c r="L275" i="2" l="1"/>
  <c r="F274" i="2"/>
  <c r="G274" i="2"/>
  <c r="E274" i="2"/>
  <c r="H274" i="2"/>
  <c r="L274" i="2" l="1"/>
  <c r="B274" i="2"/>
  <c r="C274" i="2" s="1"/>
  <c r="F273" i="2"/>
  <c r="E273" i="2"/>
  <c r="G273" i="2"/>
  <c r="H273" i="2"/>
  <c r="L273" i="2" l="1"/>
  <c r="B273" i="2"/>
  <c r="C273" i="2" s="1"/>
  <c r="H272" i="2"/>
  <c r="F272" i="2"/>
  <c r="E272" i="2"/>
  <c r="G272" i="2"/>
  <c r="L272" i="2" l="1"/>
  <c r="F271" i="2"/>
  <c r="E271" i="2"/>
  <c r="G271" i="2"/>
  <c r="H271" i="2"/>
  <c r="L271" i="2" l="1"/>
  <c r="B271" i="2"/>
  <c r="C271" i="2" s="1"/>
  <c r="E270" i="2"/>
  <c r="H270" i="2"/>
  <c r="G270" i="2"/>
  <c r="F270" i="2"/>
  <c r="L270" i="2" l="1"/>
  <c r="B270" i="2"/>
  <c r="C270" i="2" s="1"/>
  <c r="H269" i="2"/>
  <c r="F269" i="2"/>
  <c r="G269" i="2"/>
  <c r="E269" i="2"/>
  <c r="L269" i="2" l="1"/>
  <c r="B269" i="2"/>
  <c r="C269" i="2" s="1"/>
  <c r="E268" i="2"/>
  <c r="G268" i="2"/>
  <c r="F268" i="2"/>
  <c r="H268" i="2"/>
  <c r="L268" i="2" l="1"/>
  <c r="B268" i="2"/>
  <c r="C268" i="2" s="1"/>
  <c r="F267" i="2"/>
  <c r="H267" i="2"/>
  <c r="G267" i="2"/>
  <c r="E267" i="2"/>
  <c r="L267" i="2" l="1"/>
  <c r="F266" i="2"/>
  <c r="H266" i="2"/>
  <c r="E266" i="2"/>
  <c r="G266" i="2"/>
  <c r="L266" i="2" l="1"/>
  <c r="B266" i="2"/>
  <c r="C266" i="2" s="1"/>
  <c r="G265" i="2"/>
  <c r="F265" i="2"/>
  <c r="E265" i="2"/>
  <c r="H265" i="2"/>
  <c r="L265" i="2" l="1"/>
  <c r="B265" i="2"/>
  <c r="C265" i="2" s="1"/>
  <c r="G264" i="2"/>
  <c r="H264" i="2"/>
  <c r="F264" i="2"/>
  <c r="E264" i="2"/>
  <c r="L264" i="2" l="1"/>
  <c r="B264" i="2"/>
  <c r="C264" i="2" s="1"/>
  <c r="G263" i="2"/>
  <c r="F263" i="2"/>
  <c r="E263" i="2"/>
  <c r="H263" i="2"/>
  <c r="L263" i="2" l="1"/>
  <c r="E262" i="2"/>
  <c r="F262" i="2"/>
  <c r="H262" i="2"/>
  <c r="G262" i="2"/>
  <c r="L262" i="2" l="1"/>
  <c r="E261" i="2"/>
  <c r="F261" i="2"/>
  <c r="H261" i="2"/>
  <c r="G261" i="2"/>
  <c r="L261" i="2" l="1"/>
  <c r="B261" i="2"/>
  <c r="C261" i="2" s="1"/>
  <c r="G260" i="2"/>
  <c r="H260" i="2"/>
  <c r="F260" i="2"/>
  <c r="E260" i="2"/>
  <c r="L260" i="2" l="1"/>
  <c r="B260" i="2"/>
  <c r="C260" i="2" s="1"/>
  <c r="G259" i="2"/>
  <c r="F259" i="2"/>
  <c r="E259" i="2"/>
  <c r="H259" i="2"/>
  <c r="L259" i="2" l="1"/>
  <c r="B259" i="2"/>
  <c r="C259" i="2" s="1"/>
  <c r="H258" i="2"/>
  <c r="G258" i="2"/>
  <c r="F258" i="2"/>
  <c r="E258" i="2"/>
  <c r="L258" i="2" l="1"/>
  <c r="G257" i="2"/>
  <c r="H257" i="2"/>
  <c r="F257" i="2"/>
  <c r="E257" i="2"/>
  <c r="L257" i="2" l="1"/>
  <c r="B257" i="2"/>
  <c r="C257" i="2" s="1"/>
  <c r="F256" i="2"/>
  <c r="H256" i="2"/>
  <c r="E256" i="2"/>
  <c r="G256" i="2"/>
  <c r="L256" i="2" l="1"/>
  <c r="B256" i="2"/>
  <c r="C256" i="2" s="1"/>
  <c r="E255" i="2"/>
  <c r="F255" i="2"/>
  <c r="H255" i="2"/>
  <c r="G255" i="2"/>
  <c r="L255" i="2" l="1"/>
  <c r="B255" i="2"/>
  <c r="C255" i="2" s="1"/>
  <c r="H254" i="2"/>
  <c r="F254" i="2"/>
  <c r="G254" i="2"/>
  <c r="E254" i="2"/>
  <c r="L254" i="2" l="1"/>
  <c r="B254" i="2"/>
  <c r="C254" i="2" s="1"/>
  <c r="G253" i="2"/>
  <c r="F253" i="2"/>
  <c r="E253" i="2"/>
  <c r="H253" i="2"/>
  <c r="L253" i="2" l="1"/>
  <c r="F252" i="2"/>
  <c r="G252" i="2"/>
  <c r="H252" i="2"/>
  <c r="E252" i="2"/>
  <c r="L252" i="2" l="1"/>
  <c r="B252" i="2"/>
  <c r="C252" i="2" s="1"/>
  <c r="E251" i="2"/>
  <c r="H251" i="2"/>
  <c r="F251" i="2"/>
  <c r="G251" i="2"/>
  <c r="L251" i="2" l="1"/>
  <c r="H250" i="2"/>
  <c r="G250" i="2"/>
  <c r="E250" i="2"/>
  <c r="F250" i="2"/>
  <c r="L250" i="2" l="1"/>
  <c r="B250" i="2"/>
  <c r="C250" i="2" s="1"/>
  <c r="F249" i="2"/>
  <c r="H249" i="2"/>
  <c r="E249" i="2"/>
  <c r="G249" i="2"/>
  <c r="L249" i="2" l="1"/>
  <c r="B249" i="2"/>
  <c r="C249" i="2" s="1"/>
  <c r="H248" i="2"/>
  <c r="E248" i="2"/>
  <c r="G248" i="2"/>
  <c r="F248" i="2"/>
  <c r="L248" i="2" l="1"/>
  <c r="H247" i="2"/>
  <c r="G247" i="2"/>
  <c r="E247" i="2"/>
  <c r="F247" i="2"/>
  <c r="L247" i="2" l="1"/>
  <c r="B247" i="2"/>
  <c r="C247" i="2" s="1"/>
  <c r="F246" i="2"/>
  <c r="E246" i="2"/>
  <c r="G246" i="2"/>
  <c r="H246" i="2"/>
  <c r="L246" i="2" l="1"/>
  <c r="B246" i="2"/>
  <c r="C246" i="2" s="1"/>
  <c r="F245" i="2"/>
  <c r="H245" i="2"/>
  <c r="E245" i="2"/>
  <c r="G245" i="2"/>
  <c r="L245" i="2" l="1"/>
  <c r="B245" i="2"/>
  <c r="C245" i="2" s="1"/>
  <c r="E244" i="2"/>
  <c r="F244" i="2"/>
  <c r="H244" i="2"/>
  <c r="G244" i="2"/>
  <c r="L244" i="2" l="1"/>
  <c r="B244" i="2"/>
  <c r="C244" i="2" s="1"/>
  <c r="H243" i="2"/>
  <c r="G243" i="2"/>
  <c r="E243" i="2"/>
  <c r="F243" i="2"/>
  <c r="L243" i="2" l="1"/>
  <c r="B243" i="2"/>
  <c r="C243" i="2" s="1"/>
  <c r="H242" i="2"/>
  <c r="E242" i="2"/>
  <c r="F242" i="2"/>
  <c r="G242" i="2"/>
  <c r="L242" i="2" l="1"/>
  <c r="B242" i="2"/>
  <c r="C242" i="2" s="1"/>
  <c r="H241" i="2"/>
  <c r="F241" i="2"/>
  <c r="E241" i="2"/>
  <c r="G241" i="2"/>
  <c r="L241" i="2" l="1"/>
  <c r="B241" i="2"/>
  <c r="C241" i="2" s="1"/>
  <c r="H240" i="2"/>
  <c r="G240" i="2"/>
  <c r="E240" i="2"/>
  <c r="F240" i="2"/>
  <c r="L240" i="2" l="1"/>
  <c r="F239" i="2"/>
  <c r="G239" i="2"/>
  <c r="E239" i="2"/>
  <c r="H239" i="2"/>
  <c r="L239" i="2" l="1"/>
  <c r="B239" i="2"/>
  <c r="C239" i="2" s="1"/>
  <c r="F238" i="2"/>
  <c r="E238" i="2"/>
  <c r="H238" i="2"/>
  <c r="G238" i="2"/>
  <c r="L238" i="2" l="1"/>
  <c r="B238" i="2"/>
  <c r="C238" i="2" s="1"/>
  <c r="E237" i="2"/>
  <c r="H237" i="2"/>
  <c r="G237" i="2"/>
  <c r="F237" i="2"/>
  <c r="L237" i="2" l="1"/>
  <c r="G236" i="2"/>
  <c r="F236" i="2"/>
  <c r="E236" i="2"/>
  <c r="H236" i="2"/>
  <c r="L236" i="2" l="1"/>
  <c r="H235" i="2"/>
  <c r="G235" i="2"/>
  <c r="F235" i="2"/>
  <c r="E235" i="2"/>
  <c r="L235" i="2" l="1"/>
  <c r="B235" i="2"/>
  <c r="C235" i="2" s="1"/>
  <c r="E234" i="2"/>
  <c r="G234" i="2"/>
  <c r="F234" i="2"/>
  <c r="H234" i="2"/>
  <c r="L234" i="2" l="1"/>
  <c r="B234" i="2"/>
  <c r="C234" i="2" s="1"/>
  <c r="E233" i="2"/>
  <c r="H233" i="2"/>
  <c r="F233" i="2"/>
  <c r="G233" i="2"/>
  <c r="L233" i="2" l="1"/>
  <c r="B233" i="2"/>
  <c r="C233" i="2" s="1"/>
  <c r="F232" i="2"/>
  <c r="E232" i="2"/>
  <c r="H232" i="2"/>
  <c r="G232" i="2"/>
  <c r="L232" i="2" l="1"/>
  <c r="B232" i="2"/>
  <c r="C232" i="2" s="1"/>
  <c r="G231" i="2"/>
  <c r="H231" i="2"/>
  <c r="E231" i="2"/>
  <c r="F231" i="2"/>
  <c r="L231" i="2" l="1"/>
  <c r="B231" i="2"/>
  <c r="C231" i="2" s="1"/>
  <c r="F230" i="2"/>
  <c r="H230" i="2"/>
  <c r="E230" i="2"/>
  <c r="G230" i="2"/>
  <c r="L230" i="2" l="1"/>
  <c r="H229" i="2"/>
  <c r="F229" i="2"/>
  <c r="G229" i="2"/>
  <c r="E229" i="2"/>
  <c r="L229" i="2" l="1"/>
  <c r="B229" i="2"/>
  <c r="G228" i="2"/>
  <c r="F228" i="2"/>
  <c r="H228" i="2"/>
  <c r="E228" i="2"/>
  <c r="L228" i="2" l="1"/>
  <c r="B228" i="2"/>
  <c r="C228" i="2" s="1"/>
  <c r="F227" i="2"/>
  <c r="H227" i="2"/>
  <c r="E227" i="2"/>
  <c r="G227" i="2"/>
  <c r="L227" i="2" l="1"/>
  <c r="G226" i="2"/>
  <c r="E226" i="2"/>
  <c r="H226" i="2"/>
  <c r="F226" i="2"/>
  <c r="L226" i="2" l="1"/>
  <c r="B226" i="2"/>
  <c r="C226" i="2" s="1"/>
  <c r="E225" i="2"/>
  <c r="H225" i="2"/>
  <c r="F225" i="2"/>
  <c r="G225" i="2"/>
  <c r="L225" i="2" l="1"/>
  <c r="B225" i="2"/>
  <c r="C225" i="2" s="1"/>
  <c r="E224" i="2"/>
  <c r="F224" i="2"/>
  <c r="H224" i="2"/>
  <c r="G224" i="2"/>
  <c r="L224" i="2" l="1"/>
  <c r="B224" i="2"/>
  <c r="C224" i="2" s="1"/>
  <c r="G223" i="2"/>
  <c r="H223" i="2"/>
  <c r="F223" i="2"/>
  <c r="E223" i="2"/>
  <c r="L223" i="2" l="1"/>
  <c r="B223" i="2"/>
  <c r="C223" i="2" s="1"/>
  <c r="F222" i="2"/>
  <c r="G222" i="2"/>
  <c r="E222" i="2"/>
  <c r="H222" i="2"/>
  <c r="L222" i="2" l="1"/>
  <c r="B222" i="2"/>
  <c r="C222" i="2" s="1"/>
  <c r="H221" i="2"/>
  <c r="G221" i="2"/>
  <c r="F221" i="2"/>
  <c r="E221" i="2"/>
  <c r="L221" i="2" l="1"/>
  <c r="B221" i="2"/>
  <c r="C221" i="2" s="1"/>
  <c r="F220" i="2"/>
  <c r="E220" i="2"/>
  <c r="H220" i="2"/>
  <c r="G220" i="2"/>
  <c r="L220" i="2" l="1"/>
  <c r="E219" i="2"/>
  <c r="F219" i="2"/>
  <c r="H219" i="2"/>
  <c r="G219" i="2"/>
  <c r="L219" i="2" l="1"/>
  <c r="H218" i="2"/>
  <c r="F218" i="2"/>
  <c r="E218" i="2"/>
  <c r="G218" i="2"/>
  <c r="L218" i="2" l="1"/>
  <c r="B218" i="2"/>
  <c r="C218" i="2" s="1"/>
  <c r="H217" i="2"/>
  <c r="E217" i="2"/>
  <c r="F217" i="2"/>
  <c r="G217" i="2"/>
  <c r="L217" i="2" l="1"/>
  <c r="B217" i="2"/>
  <c r="C217" i="2" s="1"/>
  <c r="E216" i="2"/>
  <c r="F216" i="2"/>
  <c r="G216" i="2"/>
  <c r="H216" i="2"/>
  <c r="L216" i="2" l="1"/>
  <c r="B216" i="2"/>
  <c r="C216" i="2" s="1"/>
  <c r="H215" i="2"/>
  <c r="F215" i="2"/>
  <c r="G215" i="2"/>
  <c r="E215" i="2"/>
  <c r="L215" i="2" l="1"/>
  <c r="B215" i="2"/>
  <c r="C215" i="2" s="1"/>
  <c r="E214" i="2"/>
  <c r="H214" i="2"/>
  <c r="F214" i="2"/>
  <c r="G214" i="2"/>
  <c r="L214" i="2" l="1"/>
  <c r="B214" i="2"/>
  <c r="C214" i="2" s="1"/>
  <c r="G213" i="2"/>
  <c r="H213" i="2"/>
  <c r="F213" i="2"/>
  <c r="E213" i="2"/>
  <c r="L213" i="2" l="1"/>
  <c r="E212" i="2"/>
  <c r="H212" i="2"/>
  <c r="G212" i="2"/>
  <c r="F212" i="2"/>
  <c r="L212" i="2" l="1"/>
  <c r="B212" i="2"/>
  <c r="C212" i="2" s="1"/>
  <c r="G211" i="2"/>
  <c r="H211" i="2"/>
  <c r="F211" i="2"/>
  <c r="E211" i="2"/>
  <c r="L211" i="2" l="1"/>
  <c r="B211" i="2"/>
  <c r="C211" i="2" s="1"/>
  <c r="F210" i="2"/>
  <c r="H210" i="2"/>
  <c r="G210" i="2"/>
  <c r="E210" i="2"/>
  <c r="L210" i="2" l="1"/>
  <c r="B210" i="2"/>
  <c r="C210" i="2" s="1"/>
  <c r="F209" i="2"/>
  <c r="H209" i="2"/>
  <c r="G209" i="2"/>
  <c r="E209" i="2"/>
  <c r="L209" i="2" l="1"/>
  <c r="G208" i="2"/>
  <c r="F208" i="2"/>
  <c r="H208" i="2"/>
  <c r="E208" i="2"/>
  <c r="L208" i="2" l="1"/>
  <c r="B208" i="2"/>
  <c r="C208" i="2" s="1"/>
  <c r="H207" i="2"/>
  <c r="F207" i="2"/>
  <c r="G207" i="2"/>
  <c r="E207" i="2"/>
  <c r="L207" i="2" l="1"/>
  <c r="B207" i="2"/>
  <c r="C207" i="2" s="1"/>
  <c r="E206" i="2"/>
  <c r="G206" i="2"/>
  <c r="F206" i="2"/>
  <c r="H206" i="2"/>
  <c r="L206" i="2" l="1"/>
  <c r="B206" i="2"/>
  <c r="C206" i="2" s="1"/>
  <c r="F205" i="2"/>
  <c r="G205" i="2"/>
  <c r="E205" i="2"/>
  <c r="H205" i="2"/>
  <c r="L205" i="2" l="1"/>
  <c r="B205" i="2"/>
  <c r="C205" i="2" s="1"/>
  <c r="H204" i="2"/>
  <c r="F204" i="2"/>
  <c r="G204" i="2"/>
  <c r="E204" i="2"/>
  <c r="L204" i="2" l="1"/>
  <c r="B204" i="2"/>
  <c r="C204" i="2" s="1"/>
  <c r="G203" i="2"/>
  <c r="F203" i="2"/>
  <c r="H203" i="2"/>
  <c r="E203" i="2"/>
  <c r="L203" i="2" l="1"/>
  <c r="H202" i="2"/>
  <c r="G202" i="2"/>
  <c r="F202" i="2"/>
  <c r="E202" i="2"/>
  <c r="L202" i="2" l="1"/>
  <c r="G201" i="2"/>
  <c r="F201" i="2"/>
  <c r="E201" i="2"/>
  <c r="H201" i="2"/>
  <c r="L201" i="2" l="1"/>
  <c r="B201" i="2"/>
  <c r="C201" i="2" s="1"/>
  <c r="H200" i="2"/>
  <c r="F200" i="2"/>
  <c r="G200" i="2"/>
  <c r="E200" i="2"/>
  <c r="L200" i="2" l="1"/>
  <c r="F199" i="2"/>
  <c r="H199" i="2"/>
  <c r="G199" i="2"/>
  <c r="E199" i="2"/>
  <c r="L199" i="2" l="1"/>
  <c r="B199" i="2"/>
  <c r="C199" i="2" s="1"/>
  <c r="G198" i="2"/>
  <c r="H198" i="2"/>
  <c r="E198" i="2"/>
  <c r="F198" i="2"/>
  <c r="L198" i="2" l="1"/>
  <c r="B198" i="2"/>
  <c r="C198" i="2" s="1"/>
  <c r="G197" i="2"/>
  <c r="E197" i="2"/>
  <c r="H197" i="2"/>
  <c r="F197" i="2"/>
  <c r="L197" i="2" l="1"/>
  <c r="B197" i="2"/>
  <c r="C197" i="2" s="1"/>
  <c r="H196" i="2"/>
  <c r="G196" i="2"/>
  <c r="F196" i="2"/>
  <c r="E196" i="2"/>
  <c r="L196" i="2" l="1"/>
  <c r="B196" i="2"/>
  <c r="C196" i="2" s="1"/>
  <c r="G195" i="2"/>
  <c r="H195" i="2"/>
  <c r="E195" i="2"/>
  <c r="F195" i="2"/>
  <c r="L195" i="2" l="1"/>
  <c r="E194" i="2"/>
  <c r="H194" i="2"/>
  <c r="F194" i="2"/>
  <c r="G194" i="2"/>
  <c r="L194" i="2" l="1"/>
  <c r="F193" i="2"/>
  <c r="G193" i="2"/>
  <c r="H193" i="2"/>
  <c r="E193" i="2"/>
  <c r="L193" i="2" l="1"/>
  <c r="B193" i="2"/>
  <c r="C193" i="2" s="1"/>
  <c r="G192" i="2"/>
  <c r="F192" i="2"/>
  <c r="E192" i="2"/>
  <c r="H192" i="2"/>
  <c r="L192" i="2" l="1"/>
  <c r="B192" i="2"/>
  <c r="C192" i="2" s="1"/>
  <c r="F191" i="2"/>
  <c r="G191" i="2"/>
  <c r="H191" i="2"/>
  <c r="E191" i="2"/>
  <c r="L191" i="2" l="1"/>
  <c r="B191" i="2"/>
  <c r="C191" i="2" s="1"/>
  <c r="E190" i="2"/>
  <c r="F190" i="2"/>
  <c r="H190" i="2"/>
  <c r="G190" i="2"/>
  <c r="L190" i="2" l="1"/>
  <c r="B190" i="2"/>
  <c r="C190" i="2" s="1"/>
  <c r="H189" i="2"/>
  <c r="G189" i="2"/>
  <c r="F189" i="2"/>
  <c r="E189" i="2"/>
  <c r="L189" i="2" l="1"/>
  <c r="B189" i="2"/>
  <c r="C189" i="2" s="1"/>
  <c r="E188" i="2"/>
  <c r="F188" i="2"/>
  <c r="H188" i="2"/>
  <c r="G188" i="2"/>
  <c r="L188" i="2" l="1"/>
  <c r="G187" i="2"/>
  <c r="F187" i="2"/>
  <c r="H187" i="2"/>
  <c r="E187" i="2"/>
  <c r="L187" i="2" l="1"/>
  <c r="B187" i="2"/>
  <c r="C187" i="2" s="1"/>
  <c r="E186" i="2"/>
  <c r="H186" i="2"/>
  <c r="F186" i="2"/>
  <c r="G186" i="2"/>
  <c r="L186" i="2" l="1"/>
  <c r="B186" i="2"/>
  <c r="C186" i="2" s="1"/>
  <c r="H185" i="2"/>
  <c r="F185" i="2"/>
  <c r="E185" i="2"/>
  <c r="G185" i="2"/>
  <c r="L185" i="2" l="1"/>
  <c r="B185" i="2"/>
  <c r="C185" i="2" s="1"/>
  <c r="G184" i="2"/>
  <c r="E184" i="2"/>
  <c r="F184" i="2"/>
  <c r="H184" i="2"/>
  <c r="L184" i="2" l="1"/>
  <c r="H183" i="2"/>
  <c r="F183" i="2"/>
  <c r="E183" i="2"/>
  <c r="G183" i="2"/>
  <c r="L183" i="2" l="1"/>
  <c r="B183" i="2"/>
  <c r="C183" i="2" s="1"/>
  <c r="G182" i="2"/>
  <c r="E182" i="2"/>
  <c r="F182" i="2"/>
  <c r="H182" i="2"/>
  <c r="L182" i="2" l="1"/>
  <c r="G181" i="2"/>
  <c r="E181" i="2"/>
  <c r="H181" i="2"/>
  <c r="F181" i="2"/>
  <c r="L181" i="2" l="1"/>
  <c r="B181" i="2"/>
  <c r="C181" i="2" s="1"/>
  <c r="F180" i="2"/>
  <c r="E180" i="2"/>
  <c r="G180" i="2"/>
  <c r="H180" i="2"/>
  <c r="L180" i="2" l="1"/>
  <c r="B180" i="2"/>
  <c r="C180" i="2" s="1"/>
  <c r="H179" i="2"/>
  <c r="F179" i="2"/>
  <c r="E179" i="2"/>
  <c r="G179" i="2"/>
  <c r="L179" i="2" l="1"/>
  <c r="B179" i="2"/>
  <c r="C179" i="2" s="1"/>
  <c r="G178" i="2"/>
  <c r="E178" i="2"/>
  <c r="F178" i="2"/>
  <c r="H178" i="2"/>
  <c r="L178" i="2" l="1"/>
  <c r="B178" i="2"/>
  <c r="C178" i="2" s="1"/>
  <c r="F177" i="2"/>
  <c r="H177" i="2"/>
  <c r="G177" i="2"/>
  <c r="E177" i="2"/>
  <c r="L177" i="2" l="1"/>
  <c r="B177" i="2"/>
  <c r="C177" i="2" s="1"/>
  <c r="G176" i="2"/>
  <c r="F176" i="2"/>
  <c r="H176" i="2"/>
  <c r="E176" i="2"/>
  <c r="L176" i="2" l="1"/>
  <c r="B176" i="2"/>
  <c r="C176" i="2" s="1"/>
  <c r="H175" i="2"/>
  <c r="E175" i="2"/>
  <c r="G175" i="2"/>
  <c r="F175" i="2"/>
  <c r="L175" i="2" l="1"/>
  <c r="B175" i="2"/>
  <c r="C175" i="2" s="1"/>
  <c r="E174" i="2"/>
  <c r="F174" i="2"/>
  <c r="H174" i="2"/>
  <c r="G174" i="2"/>
  <c r="L174" i="2" l="1"/>
  <c r="B174" i="2"/>
  <c r="C174" i="2" s="1"/>
  <c r="G173" i="2"/>
  <c r="H173" i="2"/>
  <c r="E173" i="2"/>
  <c r="F173" i="2"/>
  <c r="L173" i="2" l="1"/>
  <c r="B173" i="2"/>
  <c r="C173" i="2" s="1"/>
  <c r="G172" i="2"/>
  <c r="F172" i="2"/>
  <c r="E172" i="2"/>
  <c r="H172" i="2"/>
  <c r="L172" i="2" l="1"/>
  <c r="B172" i="2"/>
  <c r="C172" i="2" s="1"/>
  <c r="G171" i="2"/>
  <c r="E171" i="2"/>
  <c r="H171" i="2"/>
  <c r="F171" i="2"/>
  <c r="L171" i="2" l="1"/>
  <c r="B171" i="2"/>
  <c r="C171" i="2" s="1"/>
  <c r="H170" i="2"/>
  <c r="F170" i="2"/>
  <c r="G170" i="2"/>
  <c r="E170" i="2"/>
  <c r="L170" i="2" l="1"/>
  <c r="B170" i="2"/>
  <c r="C170" i="2" s="1"/>
  <c r="F169" i="2"/>
  <c r="G169" i="2"/>
  <c r="E169" i="2"/>
  <c r="H169" i="2"/>
  <c r="L169" i="2" l="1"/>
  <c r="H168" i="2"/>
  <c r="G168" i="2"/>
  <c r="F168" i="2"/>
  <c r="E168" i="2"/>
  <c r="L168" i="2" l="1"/>
  <c r="F167" i="2"/>
  <c r="G167" i="2"/>
  <c r="H167" i="2"/>
  <c r="E167" i="2"/>
  <c r="L167" i="2" l="1"/>
  <c r="B167" i="2"/>
  <c r="C167" i="2" s="1"/>
  <c r="E166" i="2"/>
  <c r="F166" i="2"/>
  <c r="G166" i="2"/>
  <c r="H166" i="2"/>
  <c r="L166" i="2" l="1"/>
  <c r="H165" i="2"/>
  <c r="G165" i="2"/>
  <c r="F165" i="2"/>
  <c r="E165" i="2"/>
  <c r="L165" i="2" l="1"/>
  <c r="B165" i="2"/>
  <c r="C165" i="2" s="1"/>
  <c r="E164" i="2"/>
  <c r="G164" i="2"/>
  <c r="H164" i="2"/>
  <c r="F164" i="2"/>
  <c r="L164" i="2" l="1"/>
  <c r="G163" i="2"/>
  <c r="H163" i="2"/>
  <c r="F163" i="2"/>
  <c r="E163" i="2"/>
  <c r="L163" i="2" l="1"/>
  <c r="B163" i="2"/>
  <c r="C163" i="2" s="1"/>
  <c r="H162" i="2"/>
  <c r="F162" i="2"/>
  <c r="G162" i="2"/>
  <c r="E162" i="2"/>
  <c r="L162" i="2" l="1"/>
  <c r="G161" i="2"/>
  <c r="E161" i="2"/>
  <c r="F161" i="2"/>
  <c r="H161" i="2"/>
  <c r="L161" i="2" l="1"/>
  <c r="B161" i="2"/>
  <c r="C161" i="2" s="1"/>
  <c r="F160" i="2"/>
  <c r="H160" i="2"/>
  <c r="E160" i="2"/>
  <c r="G160" i="2"/>
  <c r="L160" i="2" l="1"/>
  <c r="B160" i="2"/>
  <c r="C160" i="2" s="1"/>
  <c r="E159" i="2"/>
  <c r="H159" i="2"/>
  <c r="G159" i="2"/>
  <c r="F159" i="2"/>
  <c r="L159" i="2" l="1"/>
  <c r="G158" i="2"/>
  <c r="H158" i="2"/>
  <c r="F158" i="2"/>
  <c r="E158" i="2"/>
  <c r="L158" i="2" l="1"/>
  <c r="E157" i="2"/>
  <c r="F157" i="2"/>
  <c r="H157" i="2"/>
  <c r="G157" i="2"/>
  <c r="L157" i="2" l="1"/>
  <c r="B157" i="2"/>
  <c r="C157" i="2" s="1"/>
  <c r="F156" i="2"/>
  <c r="G156" i="2"/>
  <c r="E156" i="2"/>
  <c r="H156" i="2"/>
  <c r="L156" i="2" l="1"/>
  <c r="B156" i="2"/>
  <c r="C156" i="2" s="1"/>
  <c r="F155" i="2"/>
  <c r="E155" i="2"/>
  <c r="G155" i="2"/>
  <c r="H155" i="2"/>
  <c r="L155" i="2" l="1"/>
  <c r="B155" i="2"/>
  <c r="C155" i="2" s="1"/>
  <c r="E154" i="2"/>
  <c r="F154" i="2"/>
  <c r="H154" i="2"/>
  <c r="G154" i="2"/>
  <c r="L154" i="2" l="1"/>
  <c r="B154" i="2"/>
  <c r="C154" i="2" s="1"/>
  <c r="F153" i="2"/>
  <c r="H153" i="2"/>
  <c r="G153" i="2"/>
  <c r="E153" i="2"/>
  <c r="L153" i="2" l="1"/>
  <c r="B153" i="2"/>
  <c r="C153" i="2" s="1"/>
  <c r="E152" i="2"/>
  <c r="F152" i="2"/>
  <c r="H152" i="2"/>
  <c r="G152" i="2"/>
  <c r="L152" i="2" l="1"/>
  <c r="B152" i="2"/>
  <c r="C152" i="2" s="1"/>
  <c r="E151" i="2"/>
  <c r="H151" i="2"/>
  <c r="G151" i="2"/>
  <c r="F151" i="2"/>
  <c r="L151" i="2" l="1"/>
  <c r="B151" i="2"/>
  <c r="C151" i="2" s="1"/>
  <c r="F150" i="2"/>
  <c r="E150" i="2"/>
  <c r="H150" i="2"/>
  <c r="G150" i="2"/>
  <c r="L150" i="2" l="1"/>
  <c r="B150" i="2"/>
  <c r="C150" i="2" s="1"/>
  <c r="H149" i="2"/>
  <c r="F149" i="2"/>
  <c r="E149" i="2"/>
  <c r="G149" i="2"/>
  <c r="L149" i="2" l="1"/>
  <c r="E148" i="2"/>
  <c r="H148" i="2"/>
  <c r="G148" i="2"/>
  <c r="F148" i="2"/>
  <c r="L148" i="2" l="1"/>
  <c r="B148" i="2"/>
  <c r="C148" i="2" s="1"/>
  <c r="H147" i="2"/>
  <c r="G147" i="2"/>
  <c r="F147" i="2"/>
  <c r="E147" i="2"/>
  <c r="L147" i="2" l="1"/>
  <c r="B147" i="2"/>
  <c r="C147" i="2" s="1"/>
  <c r="G146" i="2"/>
  <c r="F146" i="2"/>
  <c r="E146" i="2"/>
  <c r="H146" i="2"/>
  <c r="L146" i="2" l="1"/>
  <c r="C146" i="2"/>
  <c r="G145" i="2"/>
  <c r="E145" i="2"/>
  <c r="F145" i="2"/>
  <c r="H145" i="2"/>
  <c r="L145" i="2" l="1"/>
  <c r="B145" i="2"/>
  <c r="C145" i="2" s="1"/>
  <c r="E144" i="2"/>
  <c r="F144" i="2"/>
  <c r="H144" i="2"/>
  <c r="G144" i="2"/>
  <c r="L144" i="2" l="1"/>
  <c r="F143" i="2"/>
  <c r="H143" i="2"/>
  <c r="E143" i="2"/>
  <c r="G143" i="2"/>
  <c r="L143" i="2" l="1"/>
  <c r="B143" i="2"/>
  <c r="C143" i="2" s="1"/>
  <c r="F142" i="2"/>
  <c r="H142" i="2"/>
  <c r="E142" i="2"/>
  <c r="G142" i="2"/>
  <c r="L142" i="2" l="1"/>
  <c r="B142" i="2"/>
  <c r="C142" i="2" s="1"/>
  <c r="F141" i="2"/>
  <c r="E141" i="2"/>
  <c r="H141" i="2"/>
  <c r="G141" i="2"/>
  <c r="L141" i="2" l="1"/>
  <c r="B141" i="2"/>
  <c r="C141" i="2" s="1"/>
  <c r="H140" i="2"/>
  <c r="E140" i="2"/>
  <c r="F140" i="2"/>
  <c r="G140" i="2"/>
  <c r="L140" i="2" l="1"/>
  <c r="B140" i="2"/>
  <c r="C140" i="2" s="1"/>
  <c r="H139" i="2"/>
  <c r="E139" i="2"/>
  <c r="G139" i="2"/>
  <c r="F139" i="2"/>
  <c r="L139" i="2" l="1"/>
  <c r="G138" i="2"/>
  <c r="F138" i="2"/>
  <c r="E138" i="2"/>
  <c r="H138" i="2"/>
  <c r="L138" i="2" l="1"/>
  <c r="B138" i="2"/>
  <c r="C138" i="2" s="1"/>
  <c r="F137" i="2"/>
  <c r="G137" i="2"/>
  <c r="E137" i="2"/>
  <c r="H137" i="2"/>
  <c r="L137" i="2" l="1"/>
  <c r="F136" i="2"/>
  <c r="G136" i="2"/>
  <c r="H136" i="2"/>
  <c r="E136" i="2"/>
  <c r="L136" i="2" l="1"/>
  <c r="B136" i="2"/>
  <c r="C136" i="2" s="1"/>
  <c r="F135" i="2"/>
  <c r="G135" i="2"/>
  <c r="E135" i="2"/>
  <c r="H135" i="2"/>
  <c r="L135" i="2" l="1"/>
  <c r="B135" i="2"/>
  <c r="C135" i="2" s="1"/>
  <c r="H134" i="2"/>
  <c r="G134" i="2"/>
  <c r="F134" i="2"/>
  <c r="E134" i="2"/>
  <c r="L134" i="2" l="1"/>
  <c r="B134" i="2"/>
  <c r="C134" i="2" s="1"/>
  <c r="G133" i="2"/>
  <c r="H133" i="2"/>
  <c r="F133" i="2"/>
  <c r="E133" i="2"/>
  <c r="L133" i="2" l="1"/>
  <c r="B133" i="2"/>
  <c r="C133" i="2" s="1"/>
  <c r="H132" i="2"/>
  <c r="G132" i="2"/>
  <c r="F132" i="2"/>
  <c r="E132" i="2"/>
  <c r="L132" i="2" l="1"/>
  <c r="B132" i="2"/>
  <c r="C132" i="2" s="1"/>
  <c r="G131" i="2"/>
  <c r="F131" i="2"/>
  <c r="H131" i="2"/>
  <c r="E131" i="2"/>
  <c r="L131" i="2" l="1"/>
  <c r="H130" i="2"/>
  <c r="E130" i="2"/>
  <c r="G130" i="2"/>
  <c r="F130" i="2"/>
  <c r="L130" i="2" l="1"/>
  <c r="B130" i="2"/>
  <c r="C130" i="2" s="1"/>
  <c r="H129" i="2"/>
  <c r="F129" i="2"/>
  <c r="G129" i="2"/>
  <c r="E129" i="2"/>
  <c r="L129" i="2" l="1"/>
  <c r="B129" i="2"/>
  <c r="C129" i="2" s="1"/>
  <c r="E128" i="2"/>
  <c r="F128" i="2"/>
  <c r="H128" i="2"/>
  <c r="G128" i="2"/>
  <c r="L128" i="2" l="1"/>
  <c r="B128" i="2"/>
  <c r="C128" i="2" s="1"/>
  <c r="H127" i="2"/>
  <c r="G127" i="2"/>
  <c r="F127" i="2"/>
  <c r="E127" i="2"/>
  <c r="L127" i="2" l="1"/>
  <c r="B127" i="2"/>
  <c r="C127" i="2" s="1"/>
  <c r="G126" i="2"/>
  <c r="E126" i="2"/>
  <c r="H126" i="2"/>
  <c r="F126" i="2"/>
  <c r="L126" i="2" l="1"/>
  <c r="B126" i="2"/>
  <c r="C126" i="2" s="1"/>
  <c r="E125" i="2"/>
  <c r="G125" i="2"/>
  <c r="H125" i="2"/>
  <c r="F125" i="2"/>
  <c r="L125" i="2" l="1"/>
  <c r="B125" i="2"/>
  <c r="C125" i="2" s="1"/>
  <c r="G124" i="2"/>
  <c r="E124" i="2"/>
  <c r="F124" i="2"/>
  <c r="H124" i="2"/>
  <c r="L124" i="2" l="1"/>
  <c r="B124" i="2"/>
  <c r="C124" i="2" s="1"/>
  <c r="G123" i="2"/>
  <c r="H123" i="2"/>
  <c r="E123" i="2"/>
  <c r="F123" i="2"/>
  <c r="L123" i="2" l="1"/>
  <c r="B123" i="2"/>
  <c r="G122" i="2"/>
  <c r="F122" i="2"/>
  <c r="E122" i="2"/>
  <c r="H122" i="2"/>
  <c r="L122" i="2" l="1"/>
  <c r="B122" i="2"/>
  <c r="H121" i="2"/>
  <c r="F121" i="2"/>
  <c r="G121" i="2"/>
  <c r="E121" i="2"/>
  <c r="L121" i="2" l="1"/>
  <c r="B121" i="2"/>
  <c r="E120" i="2"/>
  <c r="H120" i="2"/>
  <c r="G120" i="2"/>
  <c r="F120" i="2"/>
  <c r="L120" i="2" l="1"/>
  <c r="B120" i="2"/>
  <c r="F119" i="2"/>
  <c r="G119" i="2"/>
  <c r="H119" i="2"/>
  <c r="E119" i="2"/>
  <c r="L119" i="2" l="1"/>
  <c r="B119" i="2"/>
  <c r="C119" i="2" s="1"/>
  <c r="F118" i="2"/>
  <c r="G118" i="2"/>
  <c r="H118" i="2"/>
  <c r="E118" i="2"/>
  <c r="L118" i="2" l="1"/>
  <c r="B118" i="2"/>
  <c r="C118" i="2" s="1"/>
  <c r="H117" i="2"/>
  <c r="G117" i="2"/>
  <c r="F117" i="2"/>
  <c r="E117" i="2"/>
  <c r="L117" i="2" l="1"/>
  <c r="B117" i="2"/>
  <c r="C117" i="2" s="1"/>
  <c r="F116" i="2"/>
  <c r="H116" i="2"/>
  <c r="E116" i="2"/>
  <c r="G116" i="2"/>
  <c r="L116" i="2" l="1"/>
  <c r="B116" i="2"/>
  <c r="C116" i="2" s="1"/>
  <c r="E115" i="2"/>
  <c r="H115" i="2"/>
  <c r="F115" i="2"/>
  <c r="G115" i="2"/>
  <c r="L115" i="2" l="1"/>
  <c r="B115" i="2"/>
  <c r="C115" i="2" s="1"/>
  <c r="F114" i="2"/>
  <c r="G114" i="2"/>
  <c r="E114" i="2"/>
  <c r="H114" i="2"/>
  <c r="L114" i="2" l="1"/>
  <c r="B114" i="2"/>
  <c r="C114" i="2" s="1"/>
  <c r="F113" i="2"/>
  <c r="H113" i="2"/>
  <c r="G113" i="2"/>
  <c r="E113" i="2"/>
  <c r="L113" i="2" l="1"/>
  <c r="B113" i="2"/>
  <c r="C113" i="2" s="1"/>
  <c r="E112" i="2"/>
  <c r="F112" i="2"/>
  <c r="H112" i="2"/>
  <c r="G112" i="2"/>
  <c r="L112" i="2" l="1"/>
  <c r="B112" i="2"/>
  <c r="C112" i="2" s="1"/>
  <c r="G111" i="2"/>
  <c r="E111" i="2"/>
  <c r="F111" i="2"/>
  <c r="H111" i="2"/>
  <c r="L111" i="2" l="1"/>
  <c r="B111" i="2"/>
  <c r="C111" i="2" s="1"/>
  <c r="G110" i="2"/>
  <c r="F110" i="2"/>
  <c r="E110" i="2"/>
  <c r="H110" i="2"/>
  <c r="L110" i="2" l="1"/>
  <c r="C110" i="2"/>
  <c r="F109" i="2"/>
  <c r="E109" i="2"/>
  <c r="G109" i="2"/>
  <c r="H109" i="2"/>
  <c r="L109" i="2" l="1"/>
  <c r="B109" i="2"/>
  <c r="C109" i="2" s="1"/>
  <c r="F108" i="2"/>
  <c r="E108" i="2"/>
  <c r="H108" i="2"/>
  <c r="G108" i="2"/>
  <c r="L108" i="2" l="1"/>
  <c r="B108" i="2"/>
  <c r="C108" i="2" s="1"/>
  <c r="F107" i="2"/>
  <c r="G107" i="2"/>
  <c r="H107" i="2"/>
  <c r="E107" i="2"/>
  <c r="L107" i="2" l="1"/>
  <c r="B107" i="2"/>
  <c r="G106" i="2"/>
  <c r="F106" i="2"/>
  <c r="H106" i="2"/>
  <c r="E106" i="2"/>
  <c r="L106" i="2" l="1"/>
  <c r="F105" i="2"/>
  <c r="E105" i="2"/>
  <c r="G105" i="2"/>
  <c r="H105" i="2"/>
  <c r="L105" i="2" l="1"/>
  <c r="G104" i="2"/>
  <c r="E104" i="2"/>
  <c r="H104" i="2"/>
  <c r="F104" i="2"/>
  <c r="L104" i="2" l="1"/>
  <c r="H103" i="2"/>
  <c r="E103" i="2"/>
  <c r="G103" i="2"/>
  <c r="F103" i="2"/>
  <c r="L103" i="2" l="1"/>
  <c r="H102" i="2"/>
  <c r="G102" i="2"/>
  <c r="F102" i="2"/>
  <c r="E102" i="2"/>
  <c r="L102" i="2" l="1"/>
  <c r="E101" i="2"/>
  <c r="F101" i="2"/>
  <c r="H101" i="2"/>
  <c r="G101" i="2"/>
  <c r="L101" i="2" l="1"/>
  <c r="H100" i="2"/>
  <c r="F100" i="2"/>
  <c r="E100" i="2"/>
  <c r="G100" i="2"/>
  <c r="L100" i="2" l="1"/>
  <c r="F99" i="2"/>
  <c r="E99" i="2"/>
  <c r="H99" i="2"/>
  <c r="G99" i="2"/>
  <c r="L99" i="2" l="1"/>
  <c r="E98" i="2"/>
  <c r="H98" i="2"/>
  <c r="F98" i="2"/>
  <c r="G98" i="2"/>
  <c r="L98" i="2" l="1"/>
  <c r="B98" i="2"/>
  <c r="H97" i="2"/>
  <c r="E97" i="2"/>
  <c r="F97" i="2"/>
  <c r="G97" i="2"/>
  <c r="L97" i="2" l="1"/>
  <c r="B97" i="2"/>
  <c r="G96" i="2"/>
  <c r="H96" i="2"/>
  <c r="E96" i="2"/>
  <c r="F96" i="2"/>
  <c r="L96" i="2" l="1"/>
  <c r="F95" i="2"/>
  <c r="H95" i="2"/>
  <c r="E95" i="2"/>
  <c r="G95" i="2"/>
  <c r="L95" i="2" l="1"/>
  <c r="H94" i="2"/>
  <c r="E94" i="2"/>
  <c r="G94" i="2"/>
  <c r="F94" i="2"/>
  <c r="L94" i="2" l="1"/>
  <c r="G93" i="2"/>
  <c r="H93" i="2"/>
  <c r="E93" i="2"/>
  <c r="F93" i="2"/>
  <c r="L93" i="2" l="1"/>
  <c r="G92" i="2"/>
  <c r="E92" i="2"/>
  <c r="H92" i="2"/>
  <c r="F92" i="2"/>
  <c r="L92" i="2" l="1"/>
  <c r="H91" i="2"/>
  <c r="G91" i="2"/>
  <c r="E91" i="2"/>
  <c r="F91" i="2"/>
  <c r="L91" i="2" l="1"/>
  <c r="L90" i="2"/>
  <c r="L89" i="2"/>
  <c r="L88" i="2"/>
  <c r="L87" i="2"/>
  <c r="L86" i="2"/>
  <c r="L85" i="2"/>
  <c r="B85" i="2"/>
  <c r="C85" i="2" s="1"/>
  <c r="L84" i="2"/>
  <c r="B84" i="2"/>
  <c r="C84" i="2" s="1"/>
  <c r="L83" i="2"/>
  <c r="L82" i="2"/>
  <c r="L81" i="2"/>
  <c r="L80" i="2"/>
  <c r="L79" i="2"/>
  <c r="E78" i="2"/>
  <c r="F89" i="2"/>
  <c r="H88" i="2"/>
  <c r="F90" i="2"/>
  <c r="H86" i="2"/>
  <c r="G88" i="2"/>
  <c r="H89" i="2"/>
  <c r="G79" i="2"/>
  <c r="F79" i="2"/>
  <c r="G85" i="2"/>
  <c r="F80" i="2"/>
  <c r="G82" i="2"/>
  <c r="F85" i="2"/>
  <c r="F83" i="2"/>
  <c r="F88" i="2"/>
  <c r="G83" i="2"/>
  <c r="G81" i="2"/>
  <c r="F82" i="2"/>
  <c r="H85" i="2"/>
  <c r="H80" i="2"/>
  <c r="H90" i="2"/>
  <c r="F81" i="2"/>
  <c r="G84" i="2"/>
  <c r="F86" i="2"/>
  <c r="H78" i="2"/>
  <c r="G86" i="2"/>
  <c r="H81" i="2"/>
  <c r="F78" i="2"/>
  <c r="G78" i="2"/>
  <c r="H79" i="2"/>
  <c r="F87" i="2"/>
  <c r="G80" i="2"/>
  <c r="G89" i="2"/>
  <c r="G87" i="2"/>
  <c r="G90" i="2"/>
  <c r="H84" i="2"/>
  <c r="H82" i="2"/>
  <c r="H87" i="2"/>
  <c r="H83" i="2"/>
  <c r="F84" i="2"/>
  <c r="L78" i="2" l="1"/>
  <c r="H77" i="2"/>
  <c r="G77" i="2"/>
  <c r="E77" i="2"/>
  <c r="F77" i="2"/>
  <c r="L77" i="2" l="1"/>
  <c r="H76" i="2"/>
  <c r="G76" i="2"/>
  <c r="E76" i="2"/>
  <c r="F76" i="2"/>
  <c r="L76" i="2" l="1"/>
  <c r="F75" i="2"/>
  <c r="G75" i="2"/>
  <c r="E75" i="2"/>
  <c r="H75" i="2"/>
  <c r="L75" i="2" l="1"/>
  <c r="E74" i="2"/>
  <c r="F74" i="2"/>
  <c r="H74" i="2"/>
  <c r="G74" i="2"/>
  <c r="L74" i="2" l="1"/>
  <c r="G73" i="2"/>
  <c r="E73" i="2"/>
  <c r="H73" i="2"/>
  <c r="F73" i="2"/>
  <c r="L73" i="2" l="1"/>
  <c r="E72" i="2"/>
  <c r="F72" i="2"/>
  <c r="H72" i="2"/>
  <c r="G72" i="2"/>
  <c r="L72" i="2" l="1"/>
  <c r="E71" i="2"/>
  <c r="G71" i="2"/>
  <c r="H71" i="2"/>
  <c r="F71" i="2"/>
  <c r="L71" i="2" l="1"/>
  <c r="H70" i="2"/>
  <c r="F70" i="2"/>
  <c r="G70" i="2"/>
  <c r="E70" i="2"/>
  <c r="L70" i="2" l="1"/>
  <c r="L69" i="2"/>
  <c r="H68" i="2"/>
  <c r="F68" i="2"/>
  <c r="G68" i="2"/>
  <c r="G69" i="2"/>
  <c r="F69" i="2"/>
  <c r="E68" i="2"/>
  <c r="H69" i="2"/>
  <c r="L68" i="2" l="1"/>
  <c r="G67" i="2"/>
  <c r="F67" i="2"/>
  <c r="E67" i="2"/>
  <c r="H67" i="2"/>
  <c r="L67" i="2" l="1"/>
  <c r="E66" i="2"/>
  <c r="H66" i="2"/>
  <c r="G66" i="2"/>
  <c r="F66" i="2"/>
  <c r="L66" i="2" l="1"/>
  <c r="E65" i="2"/>
  <c r="H65" i="2"/>
  <c r="F65" i="2"/>
  <c r="G65" i="2"/>
  <c r="L65" i="2" l="1"/>
  <c r="H64" i="2"/>
  <c r="E64" i="2"/>
  <c r="F64" i="2"/>
  <c r="G64" i="2"/>
  <c r="L64" i="2" l="1"/>
  <c r="B64" i="2"/>
  <c r="G63" i="2"/>
  <c r="E63" i="2"/>
  <c r="H63" i="2"/>
  <c r="F63" i="2"/>
  <c r="L63" i="2" l="1"/>
  <c r="F62" i="2"/>
  <c r="G62" i="2"/>
  <c r="H62" i="2"/>
  <c r="E62" i="2"/>
  <c r="L62" i="2" l="1"/>
  <c r="G61" i="2"/>
  <c r="F61" i="2"/>
  <c r="E61" i="2"/>
  <c r="H61" i="2"/>
  <c r="L61" i="2" l="1"/>
  <c r="H60" i="2"/>
  <c r="F60" i="2"/>
  <c r="G60" i="2"/>
  <c r="E60" i="2"/>
  <c r="L60" i="2" l="1"/>
  <c r="F59" i="2"/>
  <c r="E59" i="2"/>
  <c r="G59" i="2"/>
  <c r="H59" i="2"/>
  <c r="L59" i="2" l="1"/>
  <c r="G58" i="2"/>
  <c r="E58" i="2"/>
  <c r="F58" i="2"/>
  <c r="H58" i="2"/>
  <c r="L58" i="2" l="1"/>
  <c r="H57" i="2"/>
  <c r="F57" i="2"/>
  <c r="E57" i="2"/>
  <c r="G57" i="2"/>
  <c r="L57" i="2" l="1"/>
  <c r="H56" i="2"/>
  <c r="G56" i="2"/>
  <c r="F56" i="2"/>
  <c r="E56" i="2"/>
  <c r="L56" i="2" l="1"/>
  <c r="F55" i="2"/>
  <c r="E55" i="2"/>
  <c r="H55" i="2"/>
  <c r="G55" i="2"/>
  <c r="L55" i="2" l="1"/>
  <c r="G54" i="2"/>
  <c r="F54" i="2"/>
  <c r="H54" i="2"/>
  <c r="E54" i="2"/>
  <c r="L54" i="2" l="1"/>
  <c r="G53" i="2"/>
  <c r="H53" i="2"/>
  <c r="F53" i="2"/>
  <c r="E53" i="2"/>
  <c r="L53" i="2" l="1"/>
  <c r="H52" i="2"/>
  <c r="F52" i="2"/>
  <c r="G52" i="2"/>
  <c r="E52" i="2"/>
  <c r="L52" i="2" l="1"/>
  <c r="G51" i="2"/>
  <c r="E51" i="2"/>
  <c r="F51" i="2"/>
  <c r="H51" i="2"/>
  <c r="L51" i="2" l="1"/>
  <c r="F50" i="2"/>
  <c r="E50" i="2"/>
  <c r="H50" i="2"/>
  <c r="G50" i="2"/>
  <c r="L50" i="2" l="1"/>
  <c r="H49" i="2"/>
  <c r="G49" i="2"/>
  <c r="F49" i="2"/>
  <c r="E49" i="2"/>
  <c r="L49" i="2" l="1"/>
  <c r="H48" i="2"/>
  <c r="E48" i="2"/>
  <c r="F48" i="2"/>
  <c r="G48" i="2"/>
  <c r="L48" i="2" l="1"/>
  <c r="G47" i="2"/>
  <c r="H47" i="2"/>
  <c r="F47" i="2"/>
  <c r="E47" i="2"/>
  <c r="L47" i="2" l="1"/>
  <c r="H45" i="2"/>
  <c r="E45" i="2"/>
  <c r="F45" i="2"/>
  <c r="G45" i="2"/>
  <c r="L45" i="2" l="1"/>
  <c r="H44" i="2"/>
  <c r="E44" i="2"/>
  <c r="G44" i="2"/>
  <c r="F44" i="2"/>
  <c r="L44" i="2" l="1"/>
  <c r="F43" i="2"/>
  <c r="E43" i="2"/>
  <c r="G43" i="2"/>
  <c r="H43" i="2"/>
  <c r="L43" i="2" l="1"/>
  <c r="F42" i="2"/>
  <c r="G42" i="2"/>
  <c r="H42" i="2"/>
  <c r="E42" i="2"/>
  <c r="L42" i="2" l="1"/>
  <c r="F41" i="2"/>
  <c r="H41" i="2"/>
  <c r="E41" i="2"/>
  <c r="G41" i="2"/>
  <c r="L41" i="2" l="1"/>
  <c r="L40" i="2"/>
  <c r="L39" i="2"/>
  <c r="E38" i="2"/>
  <c r="L38" i="2" s="1"/>
  <c r="E37" i="2"/>
  <c r="L37" i="2" s="1"/>
  <c r="E36" i="2"/>
  <c r="L36" i="2" s="1"/>
  <c r="E35" i="2"/>
  <c r="L35" i="2" s="1"/>
  <c r="E34" i="2"/>
  <c r="L34" i="2" s="1"/>
  <c r="E33" i="2"/>
  <c r="L33" i="2" s="1"/>
  <c r="E32" i="2"/>
  <c r="L32" i="2" s="1"/>
  <c r="E31" i="2"/>
  <c r="L31" i="2" s="1"/>
  <c r="E30" i="2"/>
  <c r="L30" i="2" s="1"/>
  <c r="E29" i="2"/>
  <c r="L29" i="2" s="1"/>
  <c r="E28" i="2"/>
  <c r="L28" i="2" s="1"/>
  <c r="E27" i="2"/>
  <c r="L27" i="2" s="1"/>
  <c r="E26" i="2"/>
  <c r="L26" i="2" s="1"/>
  <c r="L25" i="2"/>
  <c r="E24" i="2"/>
  <c r="L24" i="2" s="1"/>
  <c r="E23" i="2"/>
  <c r="L23" i="2" s="1"/>
  <c r="E22" i="2"/>
  <c r="L22" i="2" s="1"/>
  <c r="E21" i="2"/>
  <c r="L21" i="2" s="1"/>
  <c r="E20" i="2"/>
  <c r="L20" i="2" s="1"/>
  <c r="E19" i="2"/>
  <c r="L19" i="2" s="1"/>
  <c r="L18" i="2"/>
  <c r="E18" i="2"/>
  <c r="E17" i="2"/>
  <c r="L17" i="2" s="1"/>
  <c r="E16" i="2"/>
  <c r="L16" i="2" s="1"/>
  <c r="E15" i="2"/>
  <c r="L15" i="2" s="1"/>
  <c r="E14" i="2"/>
  <c r="L14" i="2" s="1"/>
  <c r="E13" i="2"/>
  <c r="L13" i="2" s="1"/>
  <c r="E12" i="2"/>
  <c r="L12" i="2" s="1"/>
  <c r="E11" i="2"/>
  <c r="L11" i="2" s="1"/>
  <c r="L10" i="2"/>
  <c r="L9" i="2"/>
  <c r="L8" i="2"/>
  <c r="E7" i="2"/>
  <c r="L7" i="2" s="1"/>
  <c r="E6" i="2"/>
  <c r="L6" i="2" s="1"/>
  <c r="L5" i="2"/>
  <c r="E4" i="2"/>
  <c r="L4" i="2" s="1"/>
  <c r="E3" i="2"/>
  <c r="L3" i="2" s="1"/>
  <c r="E2" i="2"/>
  <c r="L2" i="2" s="1"/>
</calcChain>
</file>

<file path=xl/sharedStrings.xml><?xml version="1.0" encoding="utf-8"?>
<sst xmlns="http://schemas.openxmlformats.org/spreadsheetml/2006/main" count="2667" uniqueCount="1279">
  <si>
    <t>TICKER</t>
  </si>
  <si>
    <t>SYMBOL</t>
  </si>
  <si>
    <t>BLOOMBERGID</t>
  </si>
  <si>
    <t>LAST</t>
  </si>
  <si>
    <t>BID</t>
  </si>
  <si>
    <t>ASK</t>
  </si>
  <si>
    <t>YOO.RSTD</t>
  </si>
  <si>
    <t>YOOIF</t>
  </si>
  <si>
    <t>OM.RSTD</t>
  </si>
  <si>
    <t>WJA</t>
  </si>
  <si>
    <t>ACA</t>
  </si>
  <si>
    <t xml:space="preserve">VIV </t>
  </si>
  <si>
    <t>ONEXF</t>
  </si>
  <si>
    <t>GCGMF</t>
  </si>
  <si>
    <t>Px Bid</t>
  </si>
  <si>
    <t>Px Ask</t>
  </si>
  <si>
    <t>STOCK</t>
  </si>
  <si>
    <t>WJA2</t>
  </si>
  <si>
    <t>WJA CN Equity</t>
  </si>
  <si>
    <t>GC</t>
  </si>
  <si>
    <t>GC CN Equity</t>
  </si>
  <si>
    <t>YOO</t>
  </si>
  <si>
    <t>YOO2</t>
  </si>
  <si>
    <t>YOO CN Equity</t>
  </si>
  <si>
    <t>BBD/B</t>
  </si>
  <si>
    <t>BBD/B CN Equity</t>
  </si>
  <si>
    <t>VIV</t>
  </si>
  <si>
    <t>VIV2</t>
  </si>
  <si>
    <t>VIV FP Equity</t>
  </si>
  <si>
    <t>ALGT</t>
  </si>
  <si>
    <t>ALGT Equity</t>
  </si>
  <si>
    <t>INFO2</t>
  </si>
  <si>
    <t>INFO IN Equity</t>
  </si>
  <si>
    <t>GBP</t>
  </si>
  <si>
    <t>GBP Curncy</t>
  </si>
  <si>
    <t>DAL</t>
  </si>
  <si>
    <t>DAL Equity</t>
  </si>
  <si>
    <t>CHF</t>
  </si>
  <si>
    <t>CHF Curncy</t>
  </si>
  <si>
    <t>EUR</t>
  </si>
  <si>
    <t>EUR Curncy</t>
  </si>
  <si>
    <t>INR</t>
  </si>
  <si>
    <t>INR Curncy</t>
  </si>
  <si>
    <t>CAD Curncy</t>
  </si>
  <si>
    <t>NTDOY</t>
  </si>
  <si>
    <t>NTDOY Equity</t>
  </si>
  <si>
    <t>AAP Equity</t>
  </si>
  <si>
    <t>AAPL Equity</t>
  </si>
  <si>
    <t>ABB Equity</t>
  </si>
  <si>
    <t>ABC Equity</t>
  </si>
  <si>
    <t>ABG Equity</t>
  </si>
  <si>
    <t>ACLS Equity</t>
  </si>
  <si>
    <t>ACN Equity</t>
  </si>
  <si>
    <t xml:space="preserve">ADI Equity </t>
  </si>
  <si>
    <t>ADS Equity</t>
  </si>
  <si>
    <t>ADTN Equity</t>
  </si>
  <si>
    <t>AET Equity</t>
  </si>
  <si>
    <t>AIV Equity</t>
  </si>
  <si>
    <t>AKAM Equity</t>
  </si>
  <si>
    <t>ALGN Equity</t>
  </si>
  <si>
    <t>ALK Equity</t>
  </si>
  <si>
    <t>ALLT Equity</t>
  </si>
  <si>
    <t>ALXN Equity</t>
  </si>
  <si>
    <t>AMAT Equity</t>
  </si>
  <si>
    <t>AMD Equity</t>
  </si>
  <si>
    <t>AMKR</t>
  </si>
  <si>
    <t>AMKR Equity</t>
  </si>
  <si>
    <t>AMT Equity</t>
  </si>
  <si>
    <t>AMTD Equity</t>
  </si>
  <si>
    <t>AMZN Equity</t>
  </si>
  <si>
    <t>ANF Equity</t>
  </si>
  <si>
    <t>APD Equity</t>
  </si>
  <si>
    <t>ARRS Equity</t>
  </si>
  <si>
    <t>ARW Equity</t>
  </si>
  <si>
    <t>ASFI Equity</t>
  </si>
  <si>
    <t>ASML Equity</t>
  </si>
  <si>
    <t>ASTE Equity</t>
  </si>
  <si>
    <t>ASYS Equity</t>
  </si>
  <si>
    <t>ATHN Equity</t>
  </si>
  <si>
    <t>ATRC Equity</t>
  </si>
  <si>
    <t>ATVI Equity</t>
  </si>
  <si>
    <t>AVID Equity</t>
  </si>
  <si>
    <t>AVT Equity</t>
  </si>
  <si>
    <t>AWRE Equity</t>
  </si>
  <si>
    <t>AXP Equity</t>
  </si>
  <si>
    <t>BAC Equity</t>
  </si>
  <si>
    <t>BBBY Equity</t>
  </si>
  <si>
    <t>BBT Equity</t>
  </si>
  <si>
    <t>BBW Equity</t>
  </si>
  <si>
    <t>BBY Equity</t>
  </si>
  <si>
    <t>BC Equity</t>
  </si>
  <si>
    <t>BEBE Equity</t>
  </si>
  <si>
    <t>BGCP Equity</t>
  </si>
  <si>
    <t>BGFV Equity</t>
  </si>
  <si>
    <t>BHLB Equity</t>
  </si>
  <si>
    <t>BIDU Equity</t>
  </si>
  <si>
    <t>BKD Equity</t>
  </si>
  <si>
    <t>BKS Equity</t>
  </si>
  <si>
    <t>BTN Equity</t>
  </si>
  <si>
    <t>BYD Equity</t>
  </si>
  <si>
    <t>C Equity</t>
  </si>
  <si>
    <t>CAG Equity</t>
  </si>
  <si>
    <t>CAH Equity</t>
  </si>
  <si>
    <t>CAKE Equity</t>
  </si>
  <si>
    <t>CAR Equity</t>
  </si>
  <si>
    <t>CBL Equity</t>
  </si>
  <si>
    <t>CBRL Equity</t>
  </si>
  <si>
    <t>CBT Equity</t>
  </si>
  <si>
    <t>CCK Equity</t>
  </si>
  <si>
    <t>CCL Equity</t>
  </si>
  <si>
    <t>CCMP Index</t>
  </si>
  <si>
    <t>CCMP.STK</t>
  </si>
  <si>
    <t>CCMP Equity</t>
  </si>
  <si>
    <t>CCOI Equity</t>
  </si>
  <si>
    <t>CCU Equity</t>
  </si>
  <si>
    <t>CDNS Equity</t>
  </si>
  <si>
    <t>CDZI Equity</t>
  </si>
  <si>
    <t>CELG Equity</t>
  </si>
  <si>
    <t>CERN Equity</t>
  </si>
  <si>
    <t>CHDN Equity</t>
  </si>
  <si>
    <t>CHK Equity</t>
  </si>
  <si>
    <t>CHRW Equity</t>
  </si>
  <si>
    <t>CHS Equity</t>
  </si>
  <si>
    <t>CIT Equity</t>
  </si>
  <si>
    <t>CL3 Comdty</t>
  </si>
  <si>
    <t>CLCT Equity</t>
  </si>
  <si>
    <t>CMA Equity</t>
  </si>
  <si>
    <t>CMCSA Equity</t>
  </si>
  <si>
    <t>CME Equity</t>
  </si>
  <si>
    <t>CMLS Equity</t>
  </si>
  <si>
    <t>CNA Equity</t>
  </si>
  <si>
    <t>COF Equity</t>
  </si>
  <si>
    <t>COHU Equity</t>
  </si>
  <si>
    <t>CONN Equity</t>
  </si>
  <si>
    <t>COP Equity</t>
  </si>
  <si>
    <t>CREE Equity</t>
  </si>
  <si>
    <t>CRI Equity</t>
  </si>
  <si>
    <t>CRL Equity</t>
  </si>
  <si>
    <t>CRMT Equity</t>
  </si>
  <si>
    <t>CROX Equity</t>
  </si>
  <si>
    <t>CSCO Equity</t>
  </si>
  <si>
    <t>CSGS Equity</t>
  </si>
  <si>
    <t>CSX Equity</t>
  </si>
  <si>
    <t>CTAS Equity</t>
  </si>
  <si>
    <t>CTRN Equity</t>
  </si>
  <si>
    <t>CTRP Equity</t>
  </si>
  <si>
    <t>CTSH Equity</t>
  </si>
  <si>
    <t>CVA Equity</t>
  </si>
  <si>
    <t>CWST Equity</t>
  </si>
  <si>
    <t>CY Equity</t>
  </si>
  <si>
    <t>CYH Equity</t>
  </si>
  <si>
    <t>DDE Equity</t>
  </si>
  <si>
    <t>DDS Equity</t>
  </si>
  <si>
    <t>DECK Equity</t>
  </si>
  <si>
    <t>DFS Equity</t>
  </si>
  <si>
    <t>DGICA Equity</t>
  </si>
  <si>
    <t>DIS Equity</t>
  </si>
  <si>
    <t>DISCA Equity</t>
  </si>
  <si>
    <t>DISH Equity</t>
  </si>
  <si>
    <t>DKS Equity</t>
  </si>
  <si>
    <t>DOX Equity</t>
  </si>
  <si>
    <t>DRI Equity</t>
  </si>
  <si>
    <t>DVD Equity</t>
  </si>
  <si>
    <t>DVN Equity</t>
  </si>
  <si>
    <t>EBAY Equity</t>
  </si>
  <si>
    <t>ECPG Equity</t>
  </si>
  <si>
    <t>EGHT Equity</t>
  </si>
  <si>
    <t>EGY Equity</t>
  </si>
  <si>
    <t>EIX Equity</t>
  </si>
  <si>
    <t>EMN Equity</t>
  </si>
  <si>
    <t>ENSG Equity</t>
  </si>
  <si>
    <t>EQIX</t>
  </si>
  <si>
    <t>EQIX Equity</t>
  </si>
  <si>
    <t>ETFC Equity</t>
  </si>
  <si>
    <t>EVC Equity</t>
  </si>
  <si>
    <t>EVRC Equity</t>
  </si>
  <si>
    <t>EXP Equity</t>
  </si>
  <si>
    <t>EXPD Equity</t>
  </si>
  <si>
    <t>EXPE Equity</t>
  </si>
  <si>
    <t>EZPW Equity</t>
  </si>
  <si>
    <t>FBC Equity</t>
  </si>
  <si>
    <t>FBR Equity</t>
  </si>
  <si>
    <t>FCBC Equity</t>
  </si>
  <si>
    <t>FCFS Equity</t>
  </si>
  <si>
    <t>FL Equity</t>
  </si>
  <si>
    <t>FLEX Equity</t>
  </si>
  <si>
    <t>FLL Equity</t>
  </si>
  <si>
    <t>FMC Equity</t>
  </si>
  <si>
    <t>FNF Equity</t>
  </si>
  <si>
    <t>FORM Equity</t>
  </si>
  <si>
    <t>FOSL Equity</t>
  </si>
  <si>
    <t>FRO Equity</t>
  </si>
  <si>
    <t>FSLR Equity</t>
  </si>
  <si>
    <t>GASS Equity</t>
  </si>
  <si>
    <t>GE Equity</t>
  </si>
  <si>
    <t>GES Equity</t>
  </si>
  <si>
    <t>GHDX Equity</t>
  </si>
  <si>
    <t>GIGA Equity</t>
  </si>
  <si>
    <t>GIII Equity</t>
  </si>
  <si>
    <t>GME Equity</t>
  </si>
  <si>
    <t>GOOG Equity</t>
  </si>
  <si>
    <t>GPI Equity</t>
  </si>
  <si>
    <t>GPS Equity</t>
  </si>
  <si>
    <t>GS Equity</t>
  </si>
  <si>
    <t>HA Equity</t>
  </si>
  <si>
    <t>HAL Equity</t>
  </si>
  <si>
    <t>HBAN Equity</t>
  </si>
  <si>
    <t>HK Equity</t>
  </si>
  <si>
    <t>HLX Equity</t>
  </si>
  <si>
    <t>HRB Equity</t>
  </si>
  <si>
    <t>HSIC Equity</t>
  </si>
  <si>
    <t>HST Equity</t>
  </si>
  <si>
    <t>HTZ Equity</t>
  </si>
  <si>
    <t>HUBG Equity</t>
  </si>
  <si>
    <t>HURN Equity</t>
  </si>
  <si>
    <t>HXL Equity</t>
  </si>
  <si>
    <t>HZO Equity</t>
  </si>
  <si>
    <t>IDT Equity</t>
  </si>
  <si>
    <t>IFF Equity</t>
  </si>
  <si>
    <t>IGT Equity</t>
  </si>
  <si>
    <t>IMAX Equity</t>
  </si>
  <si>
    <t>INFY Equity</t>
  </si>
  <si>
    <t>INTC Equity</t>
  </si>
  <si>
    <t>INTU Equity</t>
  </si>
  <si>
    <t>ISCA Equity</t>
  </si>
  <si>
    <t>ITG Equity</t>
  </si>
  <si>
    <t>IVC Equity</t>
  </si>
  <si>
    <t>IWO Equity</t>
  </si>
  <si>
    <t>JAKK Equity</t>
  </si>
  <si>
    <t>JBLU Equity</t>
  </si>
  <si>
    <t>JCOM Equity</t>
  </si>
  <si>
    <t>JCP Equity</t>
  </si>
  <si>
    <t>JPM Equity</t>
  </si>
  <si>
    <t>JPY Curncy</t>
  </si>
  <si>
    <t>JWN Equity</t>
  </si>
  <si>
    <t>KBR Equity</t>
  </si>
  <si>
    <t>KFRC Equity</t>
  </si>
  <si>
    <t>KLAC Equity</t>
  </si>
  <si>
    <t>KMX Equity</t>
  </si>
  <si>
    <t>KSS Equity</t>
  </si>
  <si>
    <t>LAD Equity</t>
  </si>
  <si>
    <t>LEN Equity</t>
  </si>
  <si>
    <t>LH Equity</t>
  </si>
  <si>
    <t>LHCG Equity</t>
  </si>
  <si>
    <t>LQDT Equity</t>
  </si>
  <si>
    <t>LSCG Equity</t>
  </si>
  <si>
    <t>LTRX Equity</t>
  </si>
  <si>
    <t>LUV Equity</t>
  </si>
  <si>
    <t>LVS Equity</t>
  </si>
  <si>
    <t>LXU Equity</t>
  </si>
  <si>
    <t>MBI Equity</t>
  </si>
  <si>
    <t>MCHX Equity</t>
  </si>
  <si>
    <t>MCK Equity</t>
  </si>
  <si>
    <t>MDRX Equity</t>
  </si>
  <si>
    <t>MGM Equity</t>
  </si>
  <si>
    <t>MGRC Equity</t>
  </si>
  <si>
    <t>MHO Equity</t>
  </si>
  <si>
    <t>MINI Equity</t>
  </si>
  <si>
    <t>MKTX Equity</t>
  </si>
  <si>
    <t>MMM Equity</t>
  </si>
  <si>
    <t>MOSY</t>
  </si>
  <si>
    <t>MOSY Equity</t>
  </si>
  <si>
    <t>MRTN Equity</t>
  </si>
  <si>
    <t>MRVL Equity</t>
  </si>
  <si>
    <t>MS Equity</t>
  </si>
  <si>
    <t>MSFT Equity</t>
  </si>
  <si>
    <t>MTB Equity</t>
  </si>
  <si>
    <t>MTG Equity</t>
  </si>
  <si>
    <t>MU Equity</t>
  </si>
  <si>
    <t>MXIM Equity</t>
  </si>
  <si>
    <t>MYRG Equity</t>
  </si>
  <si>
    <t>NBR Equity</t>
  </si>
  <si>
    <t>NCI Equity</t>
  </si>
  <si>
    <t>NDAQ Equity</t>
  </si>
  <si>
    <t>NEU Equity</t>
  </si>
  <si>
    <t>NFLX Equity</t>
  </si>
  <si>
    <t>NFX Equity</t>
  </si>
  <si>
    <t>NLS Equity</t>
  </si>
  <si>
    <t>NLY Equity</t>
  </si>
  <si>
    <t>NNI Equity</t>
  </si>
  <si>
    <t>NSC Equity</t>
  </si>
  <si>
    <t>NWL Equity</t>
  </si>
  <si>
    <t>NWS Equity</t>
  </si>
  <si>
    <t>NYNY Equity</t>
  </si>
  <si>
    <t>NYT Equity</t>
  </si>
  <si>
    <t>ODFL Equity</t>
  </si>
  <si>
    <t>OLN Equity</t>
  </si>
  <si>
    <t>OMCL Equity</t>
  </si>
  <si>
    <t>ORCL Equity</t>
  </si>
  <si>
    <t>ORLY Equity</t>
  </si>
  <si>
    <t>PBCT Equity</t>
  </si>
  <si>
    <t>PCYO Equity</t>
  </si>
  <si>
    <t>PEIX Equity</t>
  </si>
  <si>
    <t>PENN Equity</t>
  </si>
  <si>
    <t>PFTI Equity</t>
  </si>
  <si>
    <t>PFTI.UR</t>
  </si>
  <si>
    <t>PIR Equity</t>
  </si>
  <si>
    <t>PJC Equity</t>
  </si>
  <si>
    <t>PLAB Equity</t>
  </si>
  <si>
    <t>PLCE Equity</t>
  </si>
  <si>
    <t>PPG Equity</t>
  </si>
  <si>
    <t>PRAA Equity</t>
  </si>
  <si>
    <t>PRSC Equity</t>
  </si>
  <si>
    <t>PRU Equity</t>
  </si>
  <si>
    <t>PTR Equity</t>
  </si>
  <si>
    <t>PXD Equity</t>
  </si>
  <si>
    <t>QCOM Equity</t>
  </si>
  <si>
    <t>QDEL Equity</t>
  </si>
  <si>
    <t>QGEN Equity</t>
  </si>
  <si>
    <t>RBCN Equity</t>
  </si>
  <si>
    <t>RCL Equity</t>
  </si>
  <si>
    <t>RCMT Equity</t>
  </si>
  <si>
    <t>RECN Equity</t>
  </si>
  <si>
    <t>RHI Equity</t>
  </si>
  <si>
    <t>RIG Equity</t>
  </si>
  <si>
    <t>RJF Equity</t>
  </si>
  <si>
    <t>RPM Equity</t>
  </si>
  <si>
    <t>RTY Index</t>
  </si>
  <si>
    <t>RWT Equity</t>
  </si>
  <si>
    <t>S Equity</t>
  </si>
  <si>
    <t>SAH Equity</t>
  </si>
  <si>
    <t>SATS Equity</t>
  </si>
  <si>
    <t>SBGI Equity</t>
  </si>
  <si>
    <t>SBNY Equity</t>
  </si>
  <si>
    <t>SCHW Equity</t>
  </si>
  <si>
    <t>SCIL Equity</t>
  </si>
  <si>
    <t>SEE Equity</t>
  </si>
  <si>
    <t>SFLY Equity</t>
  </si>
  <si>
    <t>SIRI Equity</t>
  </si>
  <si>
    <t>SKYW Equity</t>
  </si>
  <si>
    <t>SLB Equity</t>
  </si>
  <si>
    <t>SLM Equity</t>
  </si>
  <si>
    <t>SMG Equity</t>
  </si>
  <si>
    <t>SMH Equity</t>
  </si>
  <si>
    <t>SNPS Equity</t>
  </si>
  <si>
    <t>SPX Index</t>
  </si>
  <si>
    <t>STT Equity</t>
  </si>
  <si>
    <t>SYNA Equity</t>
  </si>
  <si>
    <t>SYX Equity</t>
  </si>
  <si>
    <t>T Equity</t>
  </si>
  <si>
    <t>TCBI Equity</t>
  </si>
  <si>
    <t>TCX Equity</t>
  </si>
  <si>
    <t>TDY Equity</t>
  </si>
  <si>
    <t>TER Equity</t>
  </si>
  <si>
    <t>TEX</t>
  </si>
  <si>
    <t>TEX Equity</t>
  </si>
  <si>
    <t>TGT Equity</t>
  </si>
  <si>
    <t>THC Equity</t>
  </si>
  <si>
    <t>TIF Equity</t>
  </si>
  <si>
    <t>TIVO Equity</t>
  </si>
  <si>
    <t>TOO Equity</t>
  </si>
  <si>
    <t>TPX Equity</t>
  </si>
  <si>
    <t>TRK Equity</t>
  </si>
  <si>
    <t>TRN Equity</t>
  </si>
  <si>
    <t>TSCO Equity</t>
  </si>
  <si>
    <t>TTWO Equity</t>
  </si>
  <si>
    <t>TWI Equity</t>
  </si>
  <si>
    <t>TWMC Equity</t>
  </si>
  <si>
    <t>TXN Equity</t>
  </si>
  <si>
    <t>UHS Equity</t>
  </si>
  <si>
    <t>UMC Equity</t>
  </si>
  <si>
    <t>UNG Equity</t>
  </si>
  <si>
    <t>UNH Equity</t>
  </si>
  <si>
    <t>UNP Equity</t>
  </si>
  <si>
    <t>URBN Equity</t>
  </si>
  <si>
    <t>USB Equity</t>
  </si>
  <si>
    <t>USB3MTA Index</t>
  </si>
  <si>
    <t>USGG10YR Index</t>
  </si>
  <si>
    <t>USGG30YR Index</t>
  </si>
  <si>
    <t>UTHR Equity</t>
  </si>
  <si>
    <t>VG Equity</t>
  </si>
  <si>
    <t>VMW Equity</t>
  </si>
  <si>
    <t>VSH Equity</t>
  </si>
  <si>
    <t>WAB Equity</t>
  </si>
  <si>
    <t>WCG Equity</t>
  </si>
  <si>
    <t>WDR Equity</t>
  </si>
  <si>
    <t>WEN Equity</t>
  </si>
  <si>
    <t>WFC Equity</t>
  </si>
  <si>
    <t>WIT Equity</t>
  </si>
  <si>
    <t>WM Equity</t>
  </si>
  <si>
    <t>WMB Equity</t>
  </si>
  <si>
    <t>WMS Equity</t>
  </si>
  <si>
    <t>WSM Equity</t>
  </si>
  <si>
    <t>WYNN Equity</t>
  </si>
  <si>
    <t>ZION Equity</t>
  </si>
  <si>
    <t>ZIXI Equity</t>
  </si>
  <si>
    <t>ZUMZ Equity</t>
  </si>
  <si>
    <t>NAT Equity</t>
  </si>
  <si>
    <t>GWR Equity</t>
  </si>
  <si>
    <t>NOG Equity</t>
  </si>
  <si>
    <t>TXT Equity</t>
  </si>
  <si>
    <t>AMED Equity</t>
  </si>
  <si>
    <t>HUM Equity</t>
  </si>
  <si>
    <t>EGBN Equity</t>
  </si>
  <si>
    <t>WAL Equity</t>
  </si>
  <si>
    <t>ONB Equity</t>
  </si>
  <si>
    <t>KSU Equity</t>
  </si>
  <si>
    <t>UCBI Equity</t>
  </si>
  <si>
    <t>SAIA Equity</t>
  </si>
  <si>
    <t>YRCW Equity</t>
  </si>
  <si>
    <t>DRYS Equity</t>
  </si>
  <si>
    <t>AAWW Equity</t>
  </si>
  <si>
    <t>R Equity</t>
  </si>
  <si>
    <t>KEX Equity</t>
  </si>
  <si>
    <t>SM Equity</t>
  </si>
  <si>
    <t>IHG Equity</t>
  </si>
  <si>
    <t>FWRD Equity</t>
  </si>
  <si>
    <t>OCLR Equity</t>
  </si>
  <si>
    <t>IMMU Equity</t>
  </si>
  <si>
    <t>RRC Equity</t>
  </si>
  <si>
    <t>HUSA Equity</t>
  </si>
  <si>
    <t>LOGI Equity</t>
  </si>
  <si>
    <t>SOPTION</t>
  </si>
  <si>
    <t>DNR Equity</t>
  </si>
  <si>
    <t>AMSC Equity</t>
  </si>
  <si>
    <t>EEFT Equity</t>
  </si>
  <si>
    <t>MAR Equity</t>
  </si>
  <si>
    <t>VPG Equity</t>
  </si>
  <si>
    <t>URI Equity</t>
  </si>
  <si>
    <t>SRDX Equity</t>
  </si>
  <si>
    <t>CP Equity</t>
  </si>
  <si>
    <t>NEO FP Equity</t>
  </si>
  <si>
    <t>NEO</t>
  </si>
  <si>
    <t>NEO1</t>
  </si>
  <si>
    <t>UAL Equity</t>
  </si>
  <si>
    <t>STX Equity</t>
  </si>
  <si>
    <t>LEA Equity</t>
  </si>
  <si>
    <t>SHW Equity</t>
  </si>
  <si>
    <t>ADUS Equity</t>
  </si>
  <si>
    <t>PACB Equity</t>
  </si>
  <si>
    <t>COWN Equity</t>
  </si>
  <si>
    <t>GM Equity</t>
  </si>
  <si>
    <t>SKX Equity</t>
  </si>
  <si>
    <t>DGX Equity</t>
  </si>
  <si>
    <t>LRCX Equity</t>
  </si>
  <si>
    <t>KNX Equity</t>
  </si>
  <si>
    <t>ILMN Equity</t>
  </si>
  <si>
    <t>PCYO</t>
  </si>
  <si>
    <t>LOGM Equity</t>
  </si>
  <si>
    <t>AXAS Equity</t>
  </si>
  <si>
    <t>FDX Equity</t>
  </si>
  <si>
    <t>AXTI Equity</t>
  </si>
  <si>
    <t>TBBK Equity</t>
  </si>
  <si>
    <t>HKD Curncy</t>
  </si>
  <si>
    <t>HKD</t>
  </si>
  <si>
    <t>HKD1</t>
  </si>
  <si>
    <t>716 HK Equity</t>
  </si>
  <si>
    <t>7162</t>
  </si>
  <si>
    <t>DKK Curncy</t>
  </si>
  <si>
    <t>DKK</t>
  </si>
  <si>
    <t>DKK1</t>
  </si>
  <si>
    <t>MAERSKB DC DKK</t>
  </si>
  <si>
    <t xml:space="preserve">MAERSKB DC DKK </t>
  </si>
  <si>
    <t>MAERSKB DC Equity</t>
  </si>
  <si>
    <t>HCA</t>
  </si>
  <si>
    <t>HCA Equity</t>
  </si>
  <si>
    <t>CYD</t>
  </si>
  <si>
    <t>CYD Equity</t>
  </si>
  <si>
    <t>WIFI</t>
  </si>
  <si>
    <t>WIFI Equity</t>
  </si>
  <si>
    <t>CBOE</t>
  </si>
  <si>
    <t>CBOE Equity</t>
  </si>
  <si>
    <t>SAVE Equity</t>
  </si>
  <si>
    <t>SAVE</t>
  </si>
  <si>
    <t>WLL Equity</t>
  </si>
  <si>
    <t>WLL</t>
  </si>
  <si>
    <t>GBX</t>
  </si>
  <si>
    <t>GBX Equity</t>
  </si>
  <si>
    <t>Z Equity</t>
  </si>
  <si>
    <t>RRD Equity</t>
  </si>
  <si>
    <t>GT Equity</t>
  </si>
  <si>
    <t>GPOR Equity</t>
  </si>
  <si>
    <t>HO1 Comdty</t>
  </si>
  <si>
    <t>HO1</t>
  </si>
  <si>
    <t>HO12</t>
  </si>
  <si>
    <t>SANM Equity</t>
  </si>
  <si>
    <t>JBHT Equity</t>
  </si>
  <si>
    <t>ESRX Equity</t>
  </si>
  <si>
    <t>VZ Equity</t>
  </si>
  <si>
    <t>RNWK Equity</t>
  </si>
  <si>
    <t>CAT Equity</t>
  </si>
  <si>
    <t>CMI Equity</t>
  </si>
  <si>
    <t>DSX Equity</t>
  </si>
  <si>
    <t>UFS Equity</t>
  </si>
  <si>
    <t>TROX Equity</t>
  </si>
  <si>
    <t>KRO Equity</t>
  </si>
  <si>
    <t>GENS SP Equity</t>
  </si>
  <si>
    <t>SGD Curncy</t>
  </si>
  <si>
    <t>BLIAQ Equity</t>
  </si>
  <si>
    <t>MTW Equity</t>
  </si>
  <si>
    <t>H Equity</t>
  </si>
  <si>
    <t>VAC Equity</t>
  </si>
  <si>
    <t>ACHC Equity</t>
  </si>
  <si>
    <t>TRIP Equity</t>
  </si>
  <si>
    <t>CRM Equity</t>
  </si>
  <si>
    <t>AA Equity</t>
  </si>
  <si>
    <t>WPX Equity</t>
  </si>
  <si>
    <t>EQT Equity</t>
  </si>
  <si>
    <t>ARII Equity</t>
  </si>
  <si>
    <t>GENS.SP</t>
  </si>
  <si>
    <t>NUAN Equity</t>
  </si>
  <si>
    <t>ACB</t>
  </si>
  <si>
    <t>SSW Equity</t>
  </si>
  <si>
    <t>USG Equity</t>
  </si>
  <si>
    <t>TREX Equity</t>
  </si>
  <si>
    <t>GENS.SPA</t>
  </si>
  <si>
    <t>STERV.FH</t>
  </si>
  <si>
    <t>STERV FH</t>
  </si>
  <si>
    <t>STERV FH Equity</t>
  </si>
  <si>
    <t>SPLK Equity</t>
  </si>
  <si>
    <t>MOH Equity</t>
  </si>
  <si>
    <t>ORN Equity</t>
  </si>
  <si>
    <t>MATX</t>
  </si>
  <si>
    <t>MATX Equity</t>
  </si>
  <si>
    <t>CRUS Equity</t>
  </si>
  <si>
    <t>OC Equity</t>
  </si>
  <si>
    <t>9201 JP Equity</t>
  </si>
  <si>
    <t>JPY</t>
  </si>
  <si>
    <t>9201.JP</t>
  </si>
  <si>
    <t>ZNGA Equity</t>
  </si>
  <si>
    <t>UPM1V FH</t>
  </si>
  <si>
    <t>UPM.FH</t>
  </si>
  <si>
    <t>GNMK Equity</t>
  </si>
  <si>
    <t>HMSY Equity</t>
  </si>
  <si>
    <t>JPYCASH</t>
  </si>
  <si>
    <t>FCX Equity</t>
  </si>
  <si>
    <t>TKOI Equity</t>
  </si>
  <si>
    <t>PRTA Equity</t>
  </si>
  <si>
    <t>FMG AU Equity</t>
  </si>
  <si>
    <t>FMG</t>
  </si>
  <si>
    <t>EPR Equity</t>
  </si>
  <si>
    <t>AYI Equity</t>
  </si>
  <si>
    <t>PBF Equity</t>
  </si>
  <si>
    <t>MLI Equity</t>
  </si>
  <si>
    <t>1128.HK</t>
  </si>
  <si>
    <t>1128 HK Equity</t>
  </si>
  <si>
    <t>1128A</t>
  </si>
  <si>
    <t>1128 HK</t>
  </si>
  <si>
    <t>ENT</t>
  </si>
  <si>
    <t>ENT Equity</t>
  </si>
  <si>
    <t>ent Equity</t>
  </si>
  <si>
    <t>ENT.RSTD</t>
  </si>
  <si>
    <t>CNQ Equity</t>
  </si>
  <si>
    <t>ANGI Equity</t>
  </si>
  <si>
    <t>MPO Equity</t>
  </si>
  <si>
    <t>MRC Equity</t>
  </si>
  <si>
    <t>CZR Equity</t>
  </si>
  <si>
    <t>TARO Equity</t>
  </si>
  <si>
    <t>888 LN Equity</t>
  </si>
  <si>
    <t>888 LN</t>
  </si>
  <si>
    <t>888.LN</t>
  </si>
  <si>
    <t>MGLN Equity</t>
  </si>
  <si>
    <t>AXDX Equity</t>
  </si>
  <si>
    <t>AF.FP</t>
  </si>
  <si>
    <t>NOK</t>
  </si>
  <si>
    <t>NOK Curncy</t>
  </si>
  <si>
    <t>AF.FP1</t>
  </si>
  <si>
    <t>AF FP Equity</t>
  </si>
  <si>
    <t>APA Equity</t>
  </si>
  <si>
    <t>OPT_DELTA</t>
  </si>
  <si>
    <t>BIOS</t>
  </si>
  <si>
    <t>BIOS Equity</t>
  </si>
  <si>
    <t>JAL140110C5250</t>
  </si>
  <si>
    <t>RHP</t>
  </si>
  <si>
    <t>RHP Equity</t>
  </si>
  <si>
    <t>EXE.CT</t>
  </si>
  <si>
    <t>EXE.CT1</t>
  </si>
  <si>
    <t>EXE CT Equity</t>
  </si>
  <si>
    <t>MAS</t>
  </si>
  <si>
    <t>MAS Equity</t>
  </si>
  <si>
    <t>WERN Equity</t>
  </si>
  <si>
    <t>FB Equity</t>
  </si>
  <si>
    <t>SDF.GR</t>
  </si>
  <si>
    <t>SDF.GR1</t>
  </si>
  <si>
    <t>SDF GR Equity</t>
  </si>
  <si>
    <t>TKOI</t>
  </si>
  <si>
    <t>GOGO</t>
  </si>
  <si>
    <t>GOGO Equity</t>
  </si>
  <si>
    <t>MYGN</t>
  </si>
  <si>
    <t>MYGN Equity</t>
  </si>
  <si>
    <t>FFIV</t>
  </si>
  <si>
    <t>FFIV Equity</t>
  </si>
  <si>
    <t>SSYS</t>
  </si>
  <si>
    <t>SSYS Equity</t>
  </si>
  <si>
    <t>DE</t>
  </si>
  <si>
    <t>DE Equity</t>
  </si>
  <si>
    <t>SLAB</t>
  </si>
  <si>
    <t>SLAB Equity</t>
  </si>
  <si>
    <t>HFC</t>
  </si>
  <si>
    <t>HFC Equity</t>
  </si>
  <si>
    <t>CHRW</t>
  </si>
  <si>
    <t>LSTR</t>
  </si>
  <si>
    <t>LSTR Equity</t>
  </si>
  <si>
    <t>IBM</t>
  </si>
  <si>
    <t>IBM Equity</t>
  </si>
  <si>
    <t>GLPI</t>
  </si>
  <si>
    <t>GLPI Equity</t>
  </si>
  <si>
    <t>VCYT</t>
  </si>
  <si>
    <t>VCYT Equity</t>
  </si>
  <si>
    <t>ac</t>
  </si>
  <si>
    <t>AAL</t>
  </si>
  <si>
    <t>AAL Equity</t>
  </si>
  <si>
    <t>JPY9201JP</t>
  </si>
  <si>
    <t>PGTI</t>
  </si>
  <si>
    <t>PGTI Equity</t>
  </si>
  <si>
    <t>ICE</t>
  </si>
  <si>
    <t>ICE Equity</t>
  </si>
  <si>
    <t>IVZ</t>
  </si>
  <si>
    <t>IVZ Equity</t>
  </si>
  <si>
    <t>VECO</t>
  </si>
  <si>
    <t>VECO  Equity</t>
  </si>
  <si>
    <t>GRPN</t>
  </si>
  <si>
    <t>GRPN Equity</t>
  </si>
  <si>
    <t>UNG</t>
  </si>
  <si>
    <t xml:space="preserve">UNG </t>
  </si>
  <si>
    <t>APC</t>
  </si>
  <si>
    <t>APC Equity</t>
  </si>
  <si>
    <t>T</t>
  </si>
  <si>
    <t>TRN</t>
  </si>
  <si>
    <t xml:space="preserve">TRN </t>
  </si>
  <si>
    <t>FCX</t>
  </si>
  <si>
    <t>APAM</t>
  </si>
  <si>
    <t>APAM Equity</t>
  </si>
  <si>
    <t>CHGG</t>
  </si>
  <si>
    <t>CHGG Equity</t>
  </si>
  <si>
    <t>VLRS</t>
  </si>
  <si>
    <t>VLRS Equity</t>
  </si>
  <si>
    <t>VMI</t>
  </si>
  <si>
    <t>VMI Equity</t>
  </si>
  <si>
    <t>MXNVLRS</t>
  </si>
  <si>
    <t>MXN</t>
  </si>
  <si>
    <t>MXN Curncy</t>
  </si>
  <si>
    <t>PRSC</t>
  </si>
  <si>
    <t>VRTS</t>
  </si>
  <si>
    <t>VRTS Equity</t>
  </si>
  <si>
    <t>CP</t>
  </si>
  <si>
    <t>UFS</t>
  </si>
  <si>
    <t>NEO Equity</t>
  </si>
  <si>
    <t>SGMS</t>
  </si>
  <si>
    <t>SGMS Equity</t>
  </si>
  <si>
    <t>IGT</t>
  </si>
  <si>
    <t>AMED</t>
  </si>
  <si>
    <t>DOOR</t>
  </si>
  <si>
    <t>DOOR Equity</t>
  </si>
  <si>
    <t>HOA33</t>
  </si>
  <si>
    <t>HOA</t>
  </si>
  <si>
    <t>HOA Comdty</t>
  </si>
  <si>
    <t>AGCO</t>
  </si>
  <si>
    <t>AGCO Equity</t>
  </si>
  <si>
    <t>MMYT</t>
  </si>
  <si>
    <t>MMYT Equity</t>
  </si>
  <si>
    <t>RAD</t>
  </si>
  <si>
    <t>RAD Equity</t>
  </si>
  <si>
    <t>CPA</t>
  </si>
  <si>
    <t>CPA Equity</t>
  </si>
  <si>
    <t>LVS</t>
  </si>
  <si>
    <t>FRC</t>
  </si>
  <si>
    <t>FRC Equity</t>
  </si>
  <si>
    <t>CSGP</t>
  </si>
  <si>
    <t>CSGP Equity</t>
  </si>
  <si>
    <t>V</t>
  </si>
  <si>
    <t>V Equity</t>
  </si>
  <si>
    <t>LTRPA</t>
  </si>
  <si>
    <t>LTRPA Equity</t>
  </si>
  <si>
    <t>ERI Equity</t>
  </si>
  <si>
    <t>ERI</t>
  </si>
  <si>
    <t xml:space="preserve">HTZ </t>
  </si>
  <si>
    <t>HTZ</t>
  </si>
  <si>
    <t>PFSI</t>
  </si>
  <si>
    <t>PFSI Equity</t>
  </si>
  <si>
    <t>EXAS</t>
  </si>
  <si>
    <t>EXAS Equity</t>
  </si>
  <si>
    <t>CIVI</t>
  </si>
  <si>
    <t>CIVI Equity</t>
  </si>
  <si>
    <t>AC.CN</t>
  </si>
  <si>
    <t>AC CN Equity</t>
  </si>
  <si>
    <t>PPC</t>
  </si>
  <si>
    <t>PPC Equity</t>
  </si>
  <si>
    <t>SF Equity</t>
  </si>
  <si>
    <t>SF</t>
  </si>
  <si>
    <t>GRUB</t>
  </si>
  <si>
    <t>GRUB Equity</t>
  </si>
  <si>
    <t>TRUE</t>
  </si>
  <si>
    <t>TRUE Equity</t>
  </si>
  <si>
    <t>WEX</t>
  </si>
  <si>
    <t>WEX Equity</t>
  </si>
  <si>
    <t>WMS</t>
  </si>
  <si>
    <t>TROW</t>
  </si>
  <si>
    <t>TROW Equity</t>
  </si>
  <si>
    <t>BCEI</t>
  </si>
  <si>
    <t>BCEI Equity</t>
  </si>
  <si>
    <t>2282</t>
  </si>
  <si>
    <t>2282A</t>
  </si>
  <si>
    <t>2282 HK Equity</t>
  </si>
  <si>
    <t>DNOW</t>
  </si>
  <si>
    <t>DNOW Equity</t>
  </si>
  <si>
    <t>XOM</t>
  </si>
  <si>
    <t>XOM Equity</t>
  </si>
  <si>
    <t>DOV</t>
  </si>
  <si>
    <t>DOV Equity</t>
  </si>
  <si>
    <t xml:space="preserve">CYH </t>
  </si>
  <si>
    <t>CYH</t>
  </si>
  <si>
    <t>LIF CN</t>
  </si>
  <si>
    <t>LIF</t>
  </si>
  <si>
    <t>LIF CN Equity</t>
  </si>
  <si>
    <t>JBLUE</t>
  </si>
  <si>
    <t>JBLU</t>
  </si>
  <si>
    <t>WJA.CN</t>
  </si>
  <si>
    <t>WJA CN</t>
  </si>
  <si>
    <t>ENSG</t>
  </si>
  <si>
    <t>EURWIZZ.LN</t>
  </si>
  <si>
    <t>WIZZ LN</t>
  </si>
  <si>
    <t>WIZZ LN Equity</t>
  </si>
  <si>
    <t>QTWO</t>
  </si>
  <si>
    <t>QTWO Equity</t>
  </si>
  <si>
    <t>DHIL</t>
  </si>
  <si>
    <t>DHIL Equity</t>
  </si>
  <si>
    <t>ALM LN Equity</t>
  </si>
  <si>
    <t>ALM2 LN</t>
  </si>
  <si>
    <t>SEIC</t>
  </si>
  <si>
    <t>SEIC Equity</t>
  </si>
  <si>
    <t>RMGN.PFD</t>
  </si>
  <si>
    <t>SABR</t>
  </si>
  <si>
    <t>SABR Equity</t>
  </si>
  <si>
    <t>CVRS</t>
  </si>
  <si>
    <t>CVRS Equity</t>
  </si>
  <si>
    <t>WBA</t>
  </si>
  <si>
    <t>WBA Equity</t>
  </si>
  <si>
    <t>LIF.CN2</t>
  </si>
  <si>
    <t>YELP</t>
  </si>
  <si>
    <t>YELP Equity</t>
  </si>
  <si>
    <t>GPN</t>
  </si>
  <si>
    <t>GPN Equity</t>
  </si>
  <si>
    <t>CLH</t>
  </si>
  <si>
    <t>CLH Equity</t>
  </si>
  <si>
    <t>WU</t>
  </si>
  <si>
    <t>WU Equity</t>
  </si>
  <si>
    <t>CTRP</t>
  </si>
  <si>
    <t>SERV</t>
  </si>
  <si>
    <t>SERV Equity</t>
  </si>
  <si>
    <t>PTEC LN</t>
  </si>
  <si>
    <t>PTEC LN Equity</t>
  </si>
  <si>
    <t>PTEC.LN</t>
  </si>
  <si>
    <t>ABEO Equity</t>
  </si>
  <si>
    <t>MC</t>
  </si>
  <si>
    <t>MC Equity</t>
  </si>
  <si>
    <t>X</t>
  </si>
  <si>
    <t>X Equity</t>
  </si>
  <si>
    <t>ITG</t>
  </si>
  <si>
    <t>XON</t>
  </si>
  <si>
    <t>XON Equity</t>
  </si>
  <si>
    <t>GDEN Equity</t>
  </si>
  <si>
    <t>SUM</t>
  </si>
  <si>
    <t>SUM Equity</t>
  </si>
  <si>
    <t>AAC</t>
  </si>
  <si>
    <t>AAC Equity</t>
  </si>
  <si>
    <t>CSBR</t>
  </si>
  <si>
    <t>CSBR Equity</t>
  </si>
  <si>
    <t>CMA</t>
  </si>
  <si>
    <t>CADWJA.CN</t>
  </si>
  <si>
    <t>HO013116S</t>
  </si>
  <si>
    <t>HO013117S</t>
  </si>
  <si>
    <t>HO053116S</t>
  </si>
  <si>
    <t>HO093016S</t>
  </si>
  <si>
    <t>HOG6 Comdty</t>
  </si>
  <si>
    <t>HOM6 Comdty</t>
  </si>
  <si>
    <t>HOV6 Comdty</t>
  </si>
  <si>
    <t>HOG7 Comdty</t>
  </si>
  <si>
    <t>CI</t>
  </si>
  <si>
    <t xml:space="preserve">CI Equity </t>
  </si>
  <si>
    <t>CNC</t>
  </si>
  <si>
    <t>CNC Equity</t>
  </si>
  <si>
    <t>WETF</t>
  </si>
  <si>
    <t>WETF Equity</t>
  </si>
  <si>
    <t>SCHW</t>
  </si>
  <si>
    <t>SAFM</t>
  </si>
  <si>
    <t xml:space="preserve">HCA </t>
  </si>
  <si>
    <t>MYL</t>
  </si>
  <si>
    <t>MYL Equity</t>
  </si>
  <si>
    <t>DPLO</t>
  </si>
  <si>
    <t>YRCW</t>
  </si>
  <si>
    <t>DPLO Equity</t>
  </si>
  <si>
    <t>SAFM Equity</t>
  </si>
  <si>
    <t>MOS</t>
  </si>
  <si>
    <t>MOS Equity</t>
  </si>
  <si>
    <t>PAGP</t>
  </si>
  <si>
    <t>PAGP Equity</t>
  </si>
  <si>
    <t>OPK</t>
  </si>
  <si>
    <t>OPK Equity</t>
  </si>
  <si>
    <t>HD</t>
  </si>
  <si>
    <t xml:space="preserve">HD </t>
  </si>
  <si>
    <t>HD Equity</t>
  </si>
  <si>
    <t>LOW</t>
  </si>
  <si>
    <t>LOW Equity</t>
  </si>
  <si>
    <t>PCAR</t>
  </si>
  <si>
    <t>PCAR Equity</t>
  </si>
  <si>
    <t>NSC</t>
  </si>
  <si>
    <t>FITB</t>
  </si>
  <si>
    <t>FITB Equity</t>
  </si>
  <si>
    <t>FLS</t>
  </si>
  <si>
    <t>FLS Equity</t>
  </si>
  <si>
    <t>SAND SS</t>
  </si>
  <si>
    <t>SAND SS Equity</t>
  </si>
  <si>
    <t>OSK</t>
  </si>
  <si>
    <t>OSK Equity</t>
  </si>
  <si>
    <t>ZG</t>
  </si>
  <si>
    <t>ZG Equity</t>
  </si>
  <si>
    <t>BLK</t>
  </si>
  <si>
    <t>BLK Equity</t>
  </si>
  <si>
    <t>WBS</t>
  </si>
  <si>
    <t>WBS Equity</t>
  </si>
  <si>
    <t>3863 JP</t>
  </si>
  <si>
    <t>3863 JP Equity</t>
  </si>
  <si>
    <t>TUES</t>
  </si>
  <si>
    <t>TUES Equity</t>
  </si>
  <si>
    <t>CME</t>
  </si>
  <si>
    <t xml:space="preserve">CME </t>
  </si>
  <si>
    <t>DVA</t>
  </si>
  <si>
    <t>DVA Equity</t>
  </si>
  <si>
    <t>GOOGL</t>
  </si>
  <si>
    <t>GOOGL Equity</t>
  </si>
  <si>
    <t>WSM</t>
  </si>
  <si>
    <t>OLLI</t>
  </si>
  <si>
    <t>OLLI Equity</t>
  </si>
  <si>
    <t>LZB</t>
  </si>
  <si>
    <t>LZB Equity</t>
  </si>
  <si>
    <t>LAD</t>
  </si>
  <si>
    <t>SIG</t>
  </si>
  <si>
    <t>SIG Equity</t>
  </si>
  <si>
    <t>OAS</t>
  </si>
  <si>
    <t>OAS Equity</t>
  </si>
  <si>
    <t>PIR</t>
  </si>
  <si>
    <t>PRTY</t>
  </si>
  <si>
    <t>PRTY Equity</t>
  </si>
  <si>
    <t>RH</t>
  </si>
  <si>
    <t xml:space="preserve">RH Equity </t>
  </si>
  <si>
    <t>XHR</t>
  </si>
  <si>
    <t>XHR Equity</t>
  </si>
  <si>
    <t>WMB</t>
  </si>
  <si>
    <t>RRR</t>
  </si>
  <si>
    <t>RRR Equity</t>
  </si>
  <si>
    <t>RCII</t>
  </si>
  <si>
    <t>RCII Equity</t>
  </si>
  <si>
    <t>TPX</t>
  </si>
  <si>
    <t>SPWH</t>
  </si>
  <si>
    <t>SPWH Equity</t>
  </si>
  <si>
    <t>VALE</t>
  </si>
  <si>
    <t>VALE Equity</t>
  </si>
  <si>
    <t>CLF</t>
  </si>
  <si>
    <t>CLF Equity</t>
  </si>
  <si>
    <t>RIO</t>
  </si>
  <si>
    <t>RIO Equity</t>
  </si>
  <si>
    <t>RRTS</t>
  </si>
  <si>
    <t>RRTS Equity</t>
  </si>
  <si>
    <t>FMG.AU</t>
  </si>
  <si>
    <t>AUD</t>
  </si>
  <si>
    <t>AUD Curncy</t>
  </si>
  <si>
    <t>LL</t>
  </si>
  <si>
    <t>LL Equity</t>
  </si>
  <si>
    <t>BMCH</t>
  </si>
  <si>
    <t>BMCH Equity</t>
  </si>
  <si>
    <t>SEMG</t>
  </si>
  <si>
    <t>SEMG Equity</t>
  </si>
  <si>
    <t>FDX</t>
  </si>
  <si>
    <t>XPO</t>
  </si>
  <si>
    <t>XPO Equity</t>
  </si>
  <si>
    <t>DKS</t>
  </si>
  <si>
    <t>HRI</t>
  </si>
  <si>
    <t>HRI Equity</t>
  </si>
  <si>
    <t>PYPL</t>
  </si>
  <si>
    <t>PYPL Equity</t>
  </si>
  <si>
    <t>ABG</t>
  </si>
  <si>
    <t>BEN</t>
  </si>
  <si>
    <t>BEN Equity</t>
  </si>
  <si>
    <t>W</t>
  </si>
  <si>
    <t>W Equity</t>
  </si>
  <si>
    <t>BBY</t>
  </si>
  <si>
    <t>DY</t>
  </si>
  <si>
    <t>DY Equity</t>
  </si>
  <si>
    <t>ETFC</t>
  </si>
  <si>
    <t>H</t>
  </si>
  <si>
    <t>FII</t>
  </si>
  <si>
    <t>FII Equity</t>
  </si>
  <si>
    <t>PAG</t>
  </si>
  <si>
    <t>PAG Equity</t>
  </si>
  <si>
    <t>OTB.LN</t>
  </si>
  <si>
    <t>OTB LN Equity</t>
  </si>
  <si>
    <t>OTB LN</t>
  </si>
  <si>
    <t>AAP</t>
  </si>
  <si>
    <t>AZO</t>
  </si>
  <si>
    <t>AZO Equity</t>
  </si>
  <si>
    <t>TREE</t>
  </si>
  <si>
    <t>TREE Equity</t>
  </si>
  <si>
    <t>CAT</t>
  </si>
  <si>
    <t>ARCH</t>
  </si>
  <si>
    <t>ARCH Equity</t>
  </si>
  <si>
    <t>IAC</t>
  </si>
  <si>
    <t>IAC Equity</t>
  </si>
  <si>
    <t>USB</t>
  </si>
  <si>
    <t xml:space="preserve">USB Equity </t>
  </si>
  <si>
    <t>ZNGA</t>
  </si>
  <si>
    <t>RLH</t>
  </si>
  <si>
    <t>RLH Equity</t>
  </si>
  <si>
    <t>TRVG</t>
  </si>
  <si>
    <t>TRVG Equity</t>
  </si>
  <si>
    <t>SEM</t>
  </si>
  <si>
    <t>SEM Equity</t>
  </si>
  <si>
    <t>RHI</t>
  </si>
  <si>
    <t>ASGN</t>
  </si>
  <si>
    <t>ASGN Equity</t>
  </si>
  <si>
    <t>CFG</t>
  </si>
  <si>
    <t>CFG Equity</t>
  </si>
  <si>
    <t>KNEBV FH</t>
  </si>
  <si>
    <t>KNEBV FH Equity</t>
  </si>
  <si>
    <t>KNEBV.FH</t>
  </si>
  <si>
    <t>MB</t>
  </si>
  <si>
    <t>MB Equity</t>
  </si>
  <si>
    <t>FCN</t>
  </si>
  <si>
    <t>FCN Equity</t>
  </si>
  <si>
    <t>SEK AU</t>
  </si>
  <si>
    <t>SEK AU Equity</t>
  </si>
  <si>
    <t>GDDY</t>
  </si>
  <si>
    <t>GDDY Equity</t>
  </si>
  <si>
    <t>WIX</t>
  </si>
  <si>
    <t>WIX Equity</t>
  </si>
  <si>
    <t>SHOP</t>
  </si>
  <si>
    <t>SHOP Equity</t>
  </si>
  <si>
    <t>HUBS</t>
  </si>
  <si>
    <t>HUBS Equity</t>
  </si>
  <si>
    <t>BV</t>
  </si>
  <si>
    <t>BV Equity</t>
  </si>
  <si>
    <t>ICFI</t>
  </si>
  <si>
    <t>ICFI Equity</t>
  </si>
  <si>
    <t>SCI</t>
  </si>
  <si>
    <t>SCI Equity</t>
  </si>
  <si>
    <t>UPM FH Equity</t>
  </si>
  <si>
    <t>NYNY</t>
  </si>
  <si>
    <t>AQB</t>
  </si>
  <si>
    <t>AQB Equity</t>
  </si>
  <si>
    <t>ZEN</t>
  </si>
  <si>
    <t>ZEN Equity</t>
  </si>
  <si>
    <t>SAIC</t>
  </si>
  <si>
    <t>SAIC Equity</t>
  </si>
  <si>
    <t>ULTI</t>
  </si>
  <si>
    <t>ULTI Equity</t>
  </si>
  <si>
    <t>PAYX</t>
  </si>
  <si>
    <t>PAYX Equity</t>
  </si>
  <si>
    <t>EHTH</t>
  </si>
  <si>
    <t>EHTH Equity</t>
  </si>
  <si>
    <t>EGOV</t>
  </si>
  <si>
    <t>EGOV Equity</t>
  </si>
  <si>
    <t>EBAY</t>
  </si>
  <si>
    <t>ETSY</t>
  </si>
  <si>
    <t>ETSY Equity</t>
  </si>
  <si>
    <t>GE</t>
  </si>
  <si>
    <t>STMP</t>
  </si>
  <si>
    <t>STMP Equity</t>
  </si>
  <si>
    <t>SAH</t>
  </si>
  <si>
    <t>GPI</t>
  </si>
  <si>
    <t>NCI</t>
  </si>
  <si>
    <t>CCRN</t>
  </si>
  <si>
    <t xml:space="preserve">CCRN </t>
  </si>
  <si>
    <t>CCRN Equity</t>
  </si>
  <si>
    <t>FND</t>
  </si>
  <si>
    <t>FND Equity</t>
  </si>
  <si>
    <t>TVTY</t>
  </si>
  <si>
    <t>TVTY Equity</t>
  </si>
  <si>
    <t>SYF</t>
  </si>
  <si>
    <t>SYF Equity</t>
  </si>
  <si>
    <t>PK</t>
  </si>
  <si>
    <t>PK Equity</t>
  </si>
  <si>
    <t>TWLO</t>
  </si>
  <si>
    <t>TWLO Equity</t>
  </si>
  <si>
    <t>GIB</t>
  </si>
  <si>
    <t>GIB Equity</t>
  </si>
  <si>
    <t>CVNA</t>
  </si>
  <si>
    <t>CVNA Equity</t>
  </si>
  <si>
    <t>LCL.LN</t>
  </si>
  <si>
    <t>AXP</t>
  </si>
  <si>
    <t>ARA</t>
  </si>
  <si>
    <t>ARA EQUITY</t>
  </si>
  <si>
    <t>AN</t>
  </si>
  <si>
    <t>AN Equity</t>
  </si>
  <si>
    <t>AMN</t>
  </si>
  <si>
    <t>AMN Equity</t>
  </si>
  <si>
    <t>ALLY</t>
  </si>
  <si>
    <t>ALLY Equity</t>
  </si>
  <si>
    <t>BAH</t>
  </si>
  <si>
    <t>BAH Equity</t>
  </si>
  <si>
    <t>YTRA</t>
  </si>
  <si>
    <t>YTRA Equity</t>
  </si>
  <si>
    <t>GVC LN</t>
  </si>
  <si>
    <t>GVC LN Equity</t>
  </si>
  <si>
    <t>GVC.LN</t>
  </si>
  <si>
    <t>EIGI Equity</t>
  </si>
  <si>
    <t>OSTK</t>
  </si>
  <si>
    <t>OSTK Equity</t>
  </si>
  <si>
    <t>ACQ.CN</t>
  </si>
  <si>
    <t>ACQ.CN Equity</t>
  </si>
  <si>
    <t>LC</t>
  </si>
  <si>
    <t>LC Equity</t>
  </si>
  <si>
    <t>HCKT</t>
  </si>
  <si>
    <t>HCKT Equity</t>
  </si>
  <si>
    <t>BAC</t>
  </si>
  <si>
    <t>DESP</t>
  </si>
  <si>
    <t>DESP Equity</t>
  </si>
  <si>
    <t>SWN</t>
  </si>
  <si>
    <t>SWN Equity</t>
  </si>
  <si>
    <t>CARG</t>
  </si>
  <si>
    <t>CARG Equity</t>
  </si>
  <si>
    <t>CZR</t>
  </si>
  <si>
    <t>TSG</t>
  </si>
  <si>
    <t>LUV180105C00050000OTC</t>
  </si>
  <si>
    <t>TSG Equity</t>
  </si>
  <si>
    <t>HOME</t>
  </si>
  <si>
    <t xml:space="preserve">HOME </t>
  </si>
  <si>
    <t>HOME Equity</t>
  </si>
  <si>
    <t>MA</t>
  </si>
  <si>
    <t>MA Equity</t>
  </si>
  <si>
    <t>DORM</t>
  </si>
  <si>
    <t>DORM Equity</t>
  </si>
  <si>
    <t>Adjusted</t>
  </si>
  <si>
    <t>7752 JP</t>
  </si>
  <si>
    <t>7752 JP Equity</t>
  </si>
  <si>
    <t>ADT</t>
  </si>
  <si>
    <t>ADT Equity</t>
  </si>
  <si>
    <t>WMH.LN</t>
  </si>
  <si>
    <t>WMH LN Equity</t>
  </si>
  <si>
    <t>WMH LN</t>
  </si>
  <si>
    <t>Px Last</t>
  </si>
  <si>
    <t>MO</t>
  </si>
  <si>
    <t>MO Equity</t>
  </si>
  <si>
    <t>CAE</t>
  </si>
  <si>
    <t>CAE Equity</t>
  </si>
  <si>
    <t>CLD</t>
  </si>
  <si>
    <t>CLD Equity</t>
  </si>
  <si>
    <t>ESRX</t>
  </si>
  <si>
    <t>CVS</t>
  </si>
  <si>
    <t xml:space="preserve">CVS </t>
  </si>
  <si>
    <t>CVS Equity</t>
  </si>
  <si>
    <t>27 HK Equity</t>
  </si>
  <si>
    <t>27HK.TRS.P67.18037</t>
  </si>
  <si>
    <t>27HK.TRS.P67.10787</t>
  </si>
  <si>
    <t>MLCO</t>
  </si>
  <si>
    <t xml:space="preserve">MLCO </t>
  </si>
  <si>
    <t>MLCO Equity</t>
  </si>
  <si>
    <t>BKNG Equity</t>
  </si>
  <si>
    <t>SGRY</t>
  </si>
  <si>
    <t>SGRY Equity</t>
  </si>
  <si>
    <t>TSLA</t>
  </si>
  <si>
    <t>TSLA Equity</t>
  </si>
  <si>
    <t>7752.JP</t>
  </si>
  <si>
    <t>QNST</t>
  </si>
  <si>
    <t>QNST Equity</t>
  </si>
  <si>
    <t>CMI</t>
  </si>
  <si>
    <t>CAH</t>
  </si>
  <si>
    <t>USCR</t>
  </si>
  <si>
    <t>USCR Equity</t>
  </si>
  <si>
    <t>DDE</t>
  </si>
  <si>
    <t>STAY</t>
  </si>
  <si>
    <t>STAY Equity</t>
  </si>
  <si>
    <t>EDR.SM</t>
  </si>
  <si>
    <t>EDR.SM1</t>
  </si>
  <si>
    <t>EDR SM Equity</t>
  </si>
  <si>
    <t>TRVG.R</t>
  </si>
  <si>
    <t>ANTM</t>
  </si>
  <si>
    <t>ANTM Equity</t>
  </si>
  <si>
    <t>RMBL</t>
  </si>
  <si>
    <t>RMBL Equity</t>
  </si>
  <si>
    <t>SITE</t>
  </si>
  <si>
    <t>SITE Equity</t>
  </si>
  <si>
    <t>SPY</t>
  </si>
  <si>
    <t>SPY Equity</t>
  </si>
  <si>
    <t>EPAY</t>
  </si>
  <si>
    <t>EPAY Equity</t>
  </si>
  <si>
    <t>LII</t>
  </si>
  <si>
    <t>LII Equity</t>
  </si>
  <si>
    <t>UMI.BB</t>
  </si>
  <si>
    <t>UMI BB Equity</t>
  </si>
  <si>
    <t>EVER</t>
  </si>
  <si>
    <t>EVER Equity</t>
  </si>
  <si>
    <t>IWM</t>
  </si>
  <si>
    <t>IWM Equity</t>
  </si>
  <si>
    <t>IVV</t>
  </si>
  <si>
    <t>IVV Equity</t>
  </si>
  <si>
    <t>SKYW</t>
  </si>
  <si>
    <t>GSKY</t>
  </si>
  <si>
    <t>GSKY Equity</t>
  </si>
  <si>
    <t>TRWH Equity</t>
  </si>
  <si>
    <t>TRWH</t>
  </si>
  <si>
    <t>LYFT</t>
  </si>
  <si>
    <t>LYFT Equity</t>
  </si>
  <si>
    <t>ISK</t>
  </si>
  <si>
    <t>ISK Curncy</t>
  </si>
  <si>
    <t>ICEAIR.IR</t>
  </si>
  <si>
    <t>ICEAIR</t>
  </si>
  <si>
    <t>ICEAIR IR Equity</t>
  </si>
  <si>
    <t>RLGY Equity</t>
  </si>
  <si>
    <t>EB</t>
  </si>
  <si>
    <t>EB Equity</t>
  </si>
  <si>
    <t>SCPL</t>
  </si>
  <si>
    <t>SCPL Equity</t>
  </si>
  <si>
    <t>TPGH</t>
  </si>
  <si>
    <t>TPGH Equity</t>
  </si>
  <si>
    <t>WEX 200221C00220000 Equity</t>
  </si>
  <si>
    <t>WEX200221C00220000</t>
  </si>
  <si>
    <t>V 200117C00185000 Equity</t>
  </si>
  <si>
    <t xml:space="preserve">V200117C00185000 </t>
  </si>
  <si>
    <t>HTZ 210115C00017000 Equity</t>
  </si>
  <si>
    <t xml:space="preserve">HTZ210115C00017000 </t>
  </si>
  <si>
    <t>HTZ 210115C00025000 Equity</t>
  </si>
  <si>
    <t xml:space="preserve">HTZ210115C00025000 </t>
  </si>
  <si>
    <t>LOPTION</t>
  </si>
  <si>
    <t>QNST 200320C00017500 Equity</t>
  </si>
  <si>
    <t xml:space="preserve">QNST200320C00017500 </t>
  </si>
  <si>
    <t>QNST 200320C00020000 Equity</t>
  </si>
  <si>
    <t xml:space="preserve">QNST200320C00020000 </t>
  </si>
  <si>
    <t>WEX 200221C00200000 Equity</t>
  </si>
  <si>
    <t xml:space="preserve">WEX200221C00200000 </t>
  </si>
  <si>
    <t>CVNA 210115C00075000 Equity</t>
  </si>
  <si>
    <t xml:space="preserve">CVNA210115C00075000 </t>
  </si>
  <si>
    <t>CVNA 210115C00100000 Equity</t>
  </si>
  <si>
    <t xml:space="preserve">CVNA210115C00100000 </t>
  </si>
  <si>
    <t>WEX 200221C00210000 Equity</t>
  </si>
  <si>
    <t xml:space="preserve">WEX 200221C00210000 </t>
  </si>
  <si>
    <t>ALGT.TRS</t>
  </si>
  <si>
    <t>SPY.TRS</t>
  </si>
  <si>
    <t>GRPN.TRS</t>
  </si>
  <si>
    <t>IVV.TRS</t>
  </si>
  <si>
    <t>TRUE.TRS</t>
  </si>
  <si>
    <t>TRVG.TRS</t>
  </si>
  <si>
    <t>PFSI 200221C00030000 Equity</t>
  </si>
  <si>
    <t xml:space="preserve">PFSI200221C00030000 </t>
  </si>
  <si>
    <t>SKYW 200417C00060000 Equity</t>
  </si>
  <si>
    <t>ALGT 200417C00150000 Equity</t>
  </si>
  <si>
    <t>SKYW200417C0006000</t>
  </si>
  <si>
    <t xml:space="preserve">ALGT200417C00150000 </t>
  </si>
  <si>
    <t>RDFN</t>
  </si>
  <si>
    <t>RDFN Equity</t>
  </si>
  <si>
    <t>PFSI 200221C00025000 Equity</t>
  </si>
  <si>
    <t xml:space="preserve">PFSI200221C00025000 </t>
  </si>
  <si>
    <t>ALK 200417C00070000 Equity</t>
  </si>
  <si>
    <t xml:space="preserve">ALK200417C00070000 </t>
  </si>
  <si>
    <t>UAL 200619C00097500 Equity</t>
  </si>
  <si>
    <t xml:space="preserve">UAL200619C00097500 </t>
  </si>
  <si>
    <t>AM</t>
  </si>
  <si>
    <t>AM Equity</t>
  </si>
  <si>
    <t>HTZ 200417P00016000 Equity</t>
  </si>
  <si>
    <t>IWM 200320P00145000 Equity</t>
  </si>
  <si>
    <t>IWM 200320P00155000 Equity</t>
  </si>
  <si>
    <t xml:space="preserve">HTZ200417P00016000 </t>
  </si>
  <si>
    <t xml:space="preserve">IWM200320P00145000 </t>
  </si>
  <si>
    <t xml:space="preserve">IWM200320P00155000 </t>
  </si>
  <si>
    <t>QNST 200320C00015000 Equity</t>
  </si>
  <si>
    <t xml:space="preserve">QNST200320C00015000 </t>
  </si>
  <si>
    <t>UBER</t>
  </si>
  <si>
    <t>UBER Equity</t>
  </si>
  <si>
    <t>UAL 200619C00090000 Equity</t>
  </si>
  <si>
    <t xml:space="preserve">UAL200619C00090000 </t>
  </si>
  <si>
    <t>SAVE 200320P00037500 Equity</t>
  </si>
  <si>
    <t>SAVE200320P00037500</t>
  </si>
  <si>
    <t>PFSI 200515C00035000 Equity</t>
  </si>
  <si>
    <t>PFSI200515C00035000</t>
  </si>
  <si>
    <t>IGT 200320C00014000 Equity</t>
  </si>
  <si>
    <t>IGT200320C00014000</t>
  </si>
  <si>
    <t>HTZ 200417P00018000 Equity</t>
  </si>
  <si>
    <t xml:space="preserve">HTZ200417P00018000 </t>
  </si>
  <si>
    <t>HTZ 200717P00019000 Equity</t>
  </si>
  <si>
    <t xml:space="preserve">HTZ200717P00019000 </t>
  </si>
  <si>
    <t>IWM.TRS</t>
  </si>
  <si>
    <t>SKYW 200417C00065000 Equity</t>
  </si>
  <si>
    <t xml:space="preserve">SKYW200417C00065000 </t>
  </si>
  <si>
    <t>LYFT 200221P00042500 Equity</t>
  </si>
  <si>
    <t xml:space="preserve">LYFT200221P00042500 </t>
  </si>
  <si>
    <t>SEK</t>
  </si>
  <si>
    <t>SEK Curncy</t>
  </si>
  <si>
    <t>KAMBI.SS</t>
  </si>
  <si>
    <t>KAMBI</t>
  </si>
  <si>
    <t>KAMBI1</t>
  </si>
  <si>
    <t>KAMBI SS Equity</t>
  </si>
  <si>
    <t>EXPE 200221C00110000 Equity</t>
  </si>
  <si>
    <t>LYFT 200717P00052500 Equity</t>
  </si>
  <si>
    <t xml:space="preserve">EXPE200221C00110000 </t>
  </si>
  <si>
    <t xml:space="preserve">LYFT200717P00052500 </t>
  </si>
  <si>
    <t>VOO.TRS</t>
  </si>
  <si>
    <t>VOO Equity</t>
  </si>
  <si>
    <t>EXPE 200221C00105000 Equity</t>
  </si>
  <si>
    <t xml:space="preserve">EXPE200221C00105000 </t>
  </si>
  <si>
    <t>XLF.TRS</t>
  </si>
  <si>
    <t>XLF Equity</t>
  </si>
  <si>
    <t>BCEI 200221C00025000 Equity</t>
  </si>
  <si>
    <t xml:space="preserve">BCEI200221C00025000 </t>
  </si>
  <si>
    <t>HTZ 200717P00020000 Equity</t>
  </si>
  <si>
    <t xml:space="preserve">HTZ200717P00020000 </t>
  </si>
  <si>
    <t>LYFT 210115P00052500 Equity</t>
  </si>
  <si>
    <t xml:space="preserve">LYFT210115P00052500 </t>
  </si>
  <si>
    <t>LYFT 210115P00055000 Equity</t>
  </si>
  <si>
    <t xml:space="preserve">LYFT210115P00055000 </t>
  </si>
  <si>
    <t>HTZ 210115P00020000 Equity</t>
  </si>
  <si>
    <t xml:space="preserve">HTZ210115P00020000 </t>
  </si>
  <si>
    <t>TRIP 200320C00031500 Equity</t>
  </si>
  <si>
    <t xml:space="preserve">TRIP200320C00031500 </t>
  </si>
  <si>
    <t>SAVE 200320C00045000 Equity</t>
  </si>
  <si>
    <t xml:space="preserve">SAVE200320C00045000 </t>
  </si>
  <si>
    <t>TCOM</t>
  </si>
  <si>
    <t>TCOM Equity</t>
  </si>
  <si>
    <t>HTZ 200320P00019000 Equity</t>
  </si>
  <si>
    <t xml:space="preserve">HTZ200320P00019000 </t>
  </si>
  <si>
    <t>WEX 200821C00230000 Equity</t>
  </si>
  <si>
    <t xml:space="preserve">WEX200821C00230000 </t>
  </si>
  <si>
    <t>EXPE 200320C00110000 Equity</t>
  </si>
  <si>
    <t>EXPE200320C00110000</t>
  </si>
  <si>
    <t>SKYW 200417C00055000 Equity</t>
  </si>
  <si>
    <t>SKYW200417C00055000</t>
  </si>
  <si>
    <t>SAVE 200320C00042500 Equity</t>
  </si>
  <si>
    <t>SAVE200320C00042500</t>
  </si>
  <si>
    <t>LYFT 200717P00065000 Equity</t>
  </si>
  <si>
    <t>SAVE 200619C00045000 Equity</t>
  </si>
  <si>
    <t xml:space="preserve">LYFT200717P00065000 </t>
  </si>
  <si>
    <t xml:space="preserve">SAVE200619C00045000 </t>
  </si>
  <si>
    <t>PFSI 200821C00035000 Equity</t>
  </si>
  <si>
    <t>PFSI200821C00035000</t>
  </si>
  <si>
    <t>PFSI 200821C00040000 Equity</t>
  </si>
  <si>
    <t xml:space="preserve">PFSI200821C00040000 </t>
  </si>
  <si>
    <t>LYFT 210115P00075000 Equity</t>
  </si>
  <si>
    <t>HTZ 200717P00021000 Equity</t>
  </si>
  <si>
    <t xml:space="preserve">LYFT210115P00075000 </t>
  </si>
  <si>
    <t xml:space="preserve">HTZ200717P00021000 </t>
  </si>
  <si>
    <t>HTZ 200320P00017000 Equity</t>
  </si>
  <si>
    <t>HTZ 200320C00021000 Equity</t>
  </si>
  <si>
    <t xml:space="preserve">HTZ200320P00017000 </t>
  </si>
  <si>
    <t xml:space="preserve">HTZ200320C00021000 </t>
  </si>
  <si>
    <t>HTZ 200717C00020000 Equity</t>
  </si>
  <si>
    <t>BKNG 200320C02000000 Equity</t>
  </si>
  <si>
    <t xml:space="preserve">BKNG200320C02000000 </t>
  </si>
  <si>
    <t xml:space="preserve">HTZ200717C00020000 </t>
  </si>
  <si>
    <t>EXPE 200717C00120000 Equity</t>
  </si>
  <si>
    <t>HTZ 210115C00013000 Equity</t>
  </si>
  <si>
    <t>Z 200221P00054000 Equity</t>
  </si>
  <si>
    <t xml:space="preserve">EXPE200717C00120000 </t>
  </si>
  <si>
    <t xml:space="preserve">HTZ210115C00013000 </t>
  </si>
  <si>
    <t xml:space="preserve">Z200221P00054000 </t>
  </si>
  <si>
    <t>LVS 200417C00062500 Equity</t>
  </si>
  <si>
    <t>LVS 200417P00057500 Equity</t>
  </si>
  <si>
    <t>PENN 200417C00035000 Equity</t>
  </si>
  <si>
    <t xml:space="preserve">PENN200417C00035000 </t>
  </si>
  <si>
    <t xml:space="preserve">LVS200417C00062500 </t>
  </si>
  <si>
    <t xml:space="preserve">LVS200417P00057500 </t>
  </si>
  <si>
    <t>UAL 200515P00072500 Equity</t>
  </si>
  <si>
    <t xml:space="preserve">UAL200515P00072500 </t>
  </si>
  <si>
    <t>XLI Equity</t>
  </si>
  <si>
    <t>UAL 200417C00050000 Equity</t>
  </si>
  <si>
    <t xml:space="preserve">UAL200417C00050000 </t>
  </si>
  <si>
    <t>XLI</t>
  </si>
  <si>
    <t>HLT 200417C00075000 Equity</t>
  </si>
  <si>
    <t xml:space="preserve">HLT200417C00075000 </t>
  </si>
  <si>
    <t>HLT</t>
  </si>
  <si>
    <t>HLT Equity</t>
  </si>
  <si>
    <t>LYFT 210115C00030000 Equity</t>
  </si>
  <si>
    <t>LYFT 210115C00045000 Equity</t>
  </si>
  <si>
    <t>UAL 200417P00035000 Equity</t>
  </si>
  <si>
    <t>UAL 200417P00045000 Equity</t>
  </si>
  <si>
    <t>CVNA 210115C00060000 Equity</t>
  </si>
  <si>
    <t>CVNA 210115C00080000 Equity</t>
  </si>
  <si>
    <t xml:space="preserve">LYFT210115C00030000 </t>
  </si>
  <si>
    <t xml:space="preserve">LYFT210115C00045000 </t>
  </si>
  <si>
    <t xml:space="preserve">UAL200417P00035000 </t>
  </si>
  <si>
    <t xml:space="preserve">UAL200417P00045000 </t>
  </si>
  <si>
    <t xml:space="preserve">CVNA210115C00060000 </t>
  </si>
  <si>
    <t>CVNA210115C00080000</t>
  </si>
  <si>
    <t>BA Equity</t>
  </si>
  <si>
    <t>CVNA 200821C00055000 Equity</t>
  </si>
  <si>
    <t>CVNA 200821C00075000 Equity</t>
  </si>
  <si>
    <t>UAL 200417P00020000 Equity</t>
  </si>
  <si>
    <t>UAL 200417C00045000 Equity</t>
  </si>
  <si>
    <t xml:space="preserve">CVNA200821C00055000 </t>
  </si>
  <si>
    <t xml:space="preserve">CVNA200821C00075000 </t>
  </si>
  <si>
    <t xml:space="preserve">UAL200417P00020000 </t>
  </si>
  <si>
    <t xml:space="preserve">UAL200417C00045000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</si>
</sst>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.00000_);_(* \(#,##0.00000\);_(* &quot;-&quot;??_);_(@_)"/>
    <numFmt numFmtId="165" formatCode="#,##0.0000_);[Red]\(#,##0.0000\)"/>
    <numFmt numFmtId="166" formatCode="0.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1"/>
      <color rgb="FF000000"/>
      <name val="Calibri"/>
      <family val="2"/>
    </font>
    <font>
      <b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</borders>
  <cellStyleXfs count="216">
    <xf numFmtId="0" fontId="0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3" fontId="4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" fillId="6" borderId="0" applyNumberFormat="0" applyBorder="0" applyAlignment="0" applyProtection="0"/>
    <xf numFmtId="0" fontId="3" fillId="2" borderId="0" applyNumberFormat="0" applyBorder="0" applyAlignment="0" applyProtection="0"/>
    <xf numFmtId="0" fontId="13" fillId="0" borderId="5" applyNumberFormat="0" applyFill="0" applyAlignment="0" applyProtection="0"/>
    <xf numFmtId="0" fontId="3" fillId="3" borderId="0" applyNumberFormat="0" applyBorder="0" applyAlignment="0" applyProtection="0"/>
    <xf numFmtId="0" fontId="12" fillId="0" borderId="4" applyNumberFormat="0" applyFill="0" applyAlignment="0" applyProtection="0"/>
    <xf numFmtId="0" fontId="3" fillId="4" borderId="0" applyNumberFormat="0" applyBorder="0" applyAlignment="0" applyProtection="0"/>
    <xf numFmtId="0" fontId="11" fillId="0" borderId="3" applyNumberFormat="0" applyFill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0" fillId="4" borderId="0" applyNumberFormat="0" applyBorder="0" applyAlignment="0" applyProtection="0"/>
    <xf numFmtId="0" fontId="3" fillId="7" borderId="0" applyNumberFormat="0" applyBorder="0" applyAlignment="0" applyProtection="0"/>
    <xf numFmtId="0" fontId="9" fillId="0" borderId="0" applyNumberFormat="0" applyFill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8" fillId="21" borderId="2" applyNumberFormat="0" applyAlignment="0" applyProtection="0"/>
    <xf numFmtId="0" fontId="3" fillId="10" borderId="0" applyNumberFormat="0" applyBorder="0" applyAlignment="0" applyProtection="0"/>
    <xf numFmtId="0" fontId="7" fillId="20" borderId="1" applyNumberFormat="0" applyAlignment="0" applyProtection="0"/>
    <xf numFmtId="0" fontId="3" fillId="5" borderId="0" applyNumberFormat="0" applyBorder="0" applyAlignment="0" applyProtection="0"/>
    <xf numFmtId="0" fontId="6" fillId="3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5" fillId="19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0" borderId="0" applyNumberFormat="0" applyBorder="0" applyAlignment="0" applyProtection="0"/>
    <xf numFmtId="0" fontId="6" fillId="3" borderId="0" applyNumberFormat="0" applyBorder="0" applyAlignment="0" applyProtection="0"/>
    <xf numFmtId="0" fontId="5" fillId="9" borderId="0" applyNumberFormat="0" applyBorder="0" applyAlignment="0" applyProtection="0"/>
    <xf numFmtId="0" fontId="7" fillId="20" borderId="1" applyNumberFormat="0" applyAlignment="0" applyProtection="0"/>
    <xf numFmtId="0" fontId="5" fillId="12" borderId="0" applyNumberFormat="0" applyBorder="0" applyAlignment="0" applyProtection="0"/>
    <xf numFmtId="0" fontId="8" fillId="21" borderId="2" applyNumberFormat="0" applyAlignment="0" applyProtection="0"/>
    <xf numFmtId="0" fontId="3" fillId="11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3" fillId="8" borderId="0" applyNumberFormat="0" applyBorder="0" applyAlignment="0" applyProtection="0"/>
    <xf numFmtId="0" fontId="11" fillId="0" borderId="3" applyNumberFormat="0" applyFill="0" applyAlignment="0" applyProtection="0"/>
    <xf numFmtId="0" fontId="3" fillId="5" borderId="0" applyNumberFormat="0" applyBorder="0" applyAlignment="0" applyProtection="0"/>
    <xf numFmtId="0" fontId="12" fillId="0" borderId="4" applyNumberFormat="0" applyFill="0" applyAlignment="0" applyProtection="0"/>
    <xf numFmtId="0" fontId="3" fillId="10" borderId="0" applyNumberFormat="0" applyBorder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3" fillId="9" borderId="0" applyNumberFormat="0" applyBorder="0" applyAlignment="0" applyProtection="0"/>
    <xf numFmtId="0" fontId="14" fillId="7" borderId="1" applyNumberFormat="0" applyAlignment="0" applyProtection="0"/>
    <xf numFmtId="0" fontId="3" fillId="8" borderId="0" applyNumberFormat="0" applyBorder="0" applyAlignment="0" applyProtection="0"/>
    <xf numFmtId="0" fontId="15" fillId="0" borderId="6" applyNumberFormat="0" applyFill="0" applyAlignment="0" applyProtection="0"/>
    <xf numFmtId="0" fontId="3" fillId="7" borderId="0" applyNumberFormat="0" applyBorder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3" fillId="5" borderId="0" applyNumberFormat="0" applyBorder="0" applyAlignment="0" applyProtection="0"/>
    <xf numFmtId="0" fontId="17" fillId="20" borderId="8" applyNumberFormat="0" applyAlignment="0" applyProtection="0"/>
    <xf numFmtId="0" fontId="3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40" fontId="21" fillId="0" borderId="0" applyFont="0" applyFill="0" applyProtection="0"/>
    <xf numFmtId="0" fontId="1" fillId="0" borderId="0"/>
    <xf numFmtId="0" fontId="22" fillId="0" borderId="0"/>
    <xf numFmtId="0" fontId="23" fillId="0" borderId="0"/>
  </cellStyleXfs>
  <cellXfs count="27">
    <xf numFmtId="0" fontId="0" fillId="0" borderId="0" xfId="0"/>
    <xf numFmtId="165" fontId="0" fillId="0" borderId="0" xfId="0" applyNumberFormat="1"/>
    <xf numFmtId="0" fontId="0" fillId="24" borderId="0" xfId="0" applyFill="1"/>
    <xf numFmtId="0" fontId="0" fillId="0" borderId="10" xfId="0" applyBorder="1"/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quotePrefix="1" applyAlignment="1" applyProtection="1">
      <alignment horizontal="left"/>
    </xf>
    <xf numFmtId="0" fontId="0" fillId="0" borderId="0" xfId="0" quotePrefix="1" applyAlignment="1">
      <alignment horizontal="left"/>
    </xf>
    <xf numFmtId="164" fontId="4" fillId="0" borderId="0" xfId="82" applyNumberFormat="1" applyFont="1" applyAlignment="1">
      <alignment horizontal="left"/>
    </xf>
    <xf numFmtId="0" fontId="0" fillId="0" borderId="0" xfId="0"/>
    <xf numFmtId="16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0" fillId="25" borderId="0" xfId="0" applyFill="1" applyBorder="1"/>
    <xf numFmtId="0" fontId="0" fillId="25" borderId="0" xfId="0" applyFill="1"/>
    <xf numFmtId="49" fontId="0" fillId="26" borderId="0" xfId="0" applyNumberFormat="1" applyFill="1"/>
    <xf numFmtId="49" fontId="4" fillId="26" borderId="0" xfId="0" applyNumberFormat="1" applyFont="1" applyFill="1"/>
    <xf numFmtId="0" fontId="0" fillId="26" borderId="0" xfId="0" applyFill="1"/>
    <xf numFmtId="49" fontId="0" fillId="26" borderId="0" xfId="0" applyNumberFormat="1" applyFill="1" applyBorder="1"/>
    <xf numFmtId="0" fontId="0" fillId="26" borderId="10" xfId="0" applyFill="1" applyBorder="1"/>
    <xf numFmtId="0" fontId="0" fillId="0" borderId="0" xfId="0" applyFill="1"/>
    <xf numFmtId="0" fontId="4" fillId="0" borderId="0" xfId="0" applyFont="1"/>
    <xf numFmtId="0" fontId="4" fillId="0" borderId="0" xfId="0" applyFont="1" applyAlignment="1">
      <alignment horizontal="left"/>
    </xf>
    <xf numFmtId="0" fontId="24" fillId="0" borderId="0" xfId="0" applyFont="1"/>
    <xf numFmtId="0" fontId="4" fillId="26" borderId="0" xfId="0" applyFont="1" applyFill="1"/>
    <xf numFmtId="0" fontId="25" fillId="0" borderId="0" xfId="0" applyFont="1"/>
  </cellXfs>
  <cellStyles count="216">
    <cellStyle name="20% - Accent1 2" xfId="1"/>
    <cellStyle name="20% - Accent1 3" xfId="2"/>
    <cellStyle name="20% - Accent1 4" xfId="3"/>
    <cellStyle name="20% - Accent1 5" xfId="126"/>
    <cellStyle name="20% - Accent1 6" xfId="197"/>
    <cellStyle name="20% - Accent2 2" xfId="4"/>
    <cellStyle name="20% - Accent2 3" xfId="5"/>
    <cellStyle name="20% - Accent2 4" xfId="6"/>
    <cellStyle name="20% - Accent2 5" xfId="128"/>
    <cellStyle name="20% - Accent2 6" xfId="195"/>
    <cellStyle name="20% - Accent3 2" xfId="7"/>
    <cellStyle name="20% - Accent3 3" xfId="8"/>
    <cellStyle name="20% - Accent3 4" xfId="9"/>
    <cellStyle name="20% - Accent3 5" xfId="130"/>
    <cellStyle name="20% - Accent3 6" xfId="192"/>
    <cellStyle name="20% - Accent4 2" xfId="10"/>
    <cellStyle name="20% - Accent4 3" xfId="11"/>
    <cellStyle name="20% - Accent4 4" xfId="12"/>
    <cellStyle name="20% - Accent4 5" xfId="132"/>
    <cellStyle name="20% - Accent4 6" xfId="190"/>
    <cellStyle name="20% - Accent5 2" xfId="13"/>
    <cellStyle name="20% - Accent5 3" xfId="14"/>
    <cellStyle name="20% - Accent5 4" xfId="15"/>
    <cellStyle name="20% - Accent5 5" xfId="133"/>
    <cellStyle name="20% - Accent5 6" xfId="125"/>
    <cellStyle name="20% - Accent6 2" xfId="16"/>
    <cellStyle name="20% - Accent6 3" xfId="17"/>
    <cellStyle name="20% - Accent6 4" xfId="18"/>
    <cellStyle name="20% - Accent6 5" xfId="135"/>
    <cellStyle name="20% - Accent6 6" xfId="187"/>
    <cellStyle name="40% - Accent1 2" xfId="19"/>
    <cellStyle name="40% - Accent1 3" xfId="20"/>
    <cellStyle name="40% - Accent1 4" xfId="21"/>
    <cellStyle name="40% - Accent1 5" xfId="137"/>
    <cellStyle name="40% - Accent1 6" xfId="185"/>
    <cellStyle name="40% - Accent2 2" xfId="22"/>
    <cellStyle name="40% - Accent2 3" xfId="23"/>
    <cellStyle name="40% - Accent2 4" xfId="24"/>
    <cellStyle name="40% - Accent2 5" xfId="138"/>
    <cellStyle name="40% - Accent2 6" xfId="183"/>
    <cellStyle name="40% - Accent3 2" xfId="25"/>
    <cellStyle name="40% - Accent3 3" xfId="26"/>
    <cellStyle name="40% - Accent3 4" xfId="27"/>
    <cellStyle name="40% - Accent3 5" xfId="140"/>
    <cellStyle name="40% - Accent3 6" xfId="180"/>
    <cellStyle name="40% - Accent4 2" xfId="28"/>
    <cellStyle name="40% - Accent4 3" xfId="29"/>
    <cellStyle name="40% - Accent4 4" xfId="30"/>
    <cellStyle name="40% - Accent4 5" xfId="142"/>
    <cellStyle name="40% - Accent4 6" xfId="178"/>
    <cellStyle name="40% - Accent5 2" xfId="31"/>
    <cellStyle name="40% - Accent5 3" xfId="32"/>
    <cellStyle name="40% - Accent5 4" xfId="33"/>
    <cellStyle name="40% - Accent5 5" xfId="144"/>
    <cellStyle name="40% - Accent5 6" xfId="176"/>
    <cellStyle name="40% - Accent6 2" xfId="34"/>
    <cellStyle name="40% - Accent6 3" xfId="35"/>
    <cellStyle name="40% - Accent6 4" xfId="36"/>
    <cellStyle name="40% - Accent6 5" xfId="145"/>
    <cellStyle name="40% - Accent6 6" xfId="173"/>
    <cellStyle name="60% - Accent1 2" xfId="37"/>
    <cellStyle name="60% - Accent1 3" xfId="38"/>
    <cellStyle name="60% - Accent1 4" xfId="39"/>
    <cellStyle name="60% - Accent1 5" xfId="147"/>
    <cellStyle name="60% - Accent1 6" xfId="171"/>
    <cellStyle name="60% - Accent2 2" xfId="40"/>
    <cellStyle name="60% - Accent2 3" xfId="41"/>
    <cellStyle name="60% - Accent2 4" xfId="42"/>
    <cellStyle name="60% - Accent2 5" xfId="149"/>
    <cellStyle name="60% - Accent2 6" xfId="169"/>
    <cellStyle name="60% - Accent3 2" xfId="43"/>
    <cellStyle name="60% - Accent3 3" xfId="44"/>
    <cellStyle name="60% - Accent3 4" xfId="45"/>
    <cellStyle name="60% - Accent3 5" xfId="151"/>
    <cellStyle name="60% - Accent3 6" xfId="167"/>
    <cellStyle name="60% - Accent4 2" xfId="46"/>
    <cellStyle name="60% - Accent4 3" xfId="47"/>
    <cellStyle name="60% - Accent4 4" xfId="48"/>
    <cellStyle name="60% - Accent4 5" xfId="152"/>
    <cellStyle name="60% - Accent4 6" xfId="164"/>
    <cellStyle name="60% - Accent5 2" xfId="49"/>
    <cellStyle name="60% - Accent5 3" xfId="50"/>
    <cellStyle name="60% - Accent5 4" xfId="51"/>
    <cellStyle name="60% - Accent5 5" xfId="154"/>
    <cellStyle name="60% - Accent5 6" xfId="162"/>
    <cellStyle name="60% - Accent6 2" xfId="52"/>
    <cellStyle name="60% - Accent6 3" xfId="53"/>
    <cellStyle name="60% - Accent6 4" xfId="54"/>
    <cellStyle name="60% - Accent6 5" xfId="156"/>
    <cellStyle name="60% - Accent6 6" xfId="160"/>
    <cellStyle name="Accent1 2" xfId="55"/>
    <cellStyle name="Accent1 3" xfId="56"/>
    <cellStyle name="Accent1 4" xfId="57"/>
    <cellStyle name="Accent1 5" xfId="158"/>
    <cellStyle name="Accent1 6" xfId="157"/>
    <cellStyle name="Accent2 2" xfId="58"/>
    <cellStyle name="Accent2 3" xfId="59"/>
    <cellStyle name="Accent2 4" xfId="60"/>
    <cellStyle name="Accent2 5" xfId="159"/>
    <cellStyle name="Accent2 6" xfId="155"/>
    <cellStyle name="Accent3 2" xfId="61"/>
    <cellStyle name="Accent3 3" xfId="62"/>
    <cellStyle name="Accent3 4" xfId="63"/>
    <cellStyle name="Accent3 5" xfId="161"/>
    <cellStyle name="Accent3 6" xfId="153"/>
    <cellStyle name="Accent4 2" xfId="64"/>
    <cellStyle name="Accent4 3" xfId="65"/>
    <cellStyle name="Accent4 4" xfId="66"/>
    <cellStyle name="Accent4 5" xfId="163"/>
    <cellStyle name="Accent4 6" xfId="150"/>
    <cellStyle name="Accent5 2" xfId="67"/>
    <cellStyle name="Accent5 3" xfId="68"/>
    <cellStyle name="Accent5 4" xfId="69"/>
    <cellStyle name="Accent5 5" xfId="165"/>
    <cellStyle name="Accent5 6" xfId="148"/>
    <cellStyle name="Accent6 2" xfId="70"/>
    <cellStyle name="Accent6 3" xfId="71"/>
    <cellStyle name="Accent6 4" xfId="72"/>
    <cellStyle name="Accent6 5" xfId="166"/>
    <cellStyle name="Accent6 6" xfId="146"/>
    <cellStyle name="Bad 2" xfId="73"/>
    <cellStyle name="Bad 3" xfId="74"/>
    <cellStyle name="Bad 4" xfId="75"/>
    <cellStyle name="Bad 5" xfId="168"/>
    <cellStyle name="Bad 6" xfId="143"/>
    <cellStyle name="Calculation 2" xfId="76"/>
    <cellStyle name="Calculation 3" xfId="77"/>
    <cellStyle name="Calculation 4" xfId="78"/>
    <cellStyle name="Calculation 5" xfId="170"/>
    <cellStyle name="Calculation 6" xfId="141"/>
    <cellStyle name="Check Cell 2" xfId="79"/>
    <cellStyle name="Check Cell 3" xfId="80"/>
    <cellStyle name="Check Cell 4" xfId="81"/>
    <cellStyle name="Check Cell 5" xfId="172"/>
    <cellStyle name="Check Cell 6" xfId="139"/>
    <cellStyle name="Comma" xfId="82" builtinId="3"/>
    <cellStyle name="Comma 2" xfId="212"/>
    <cellStyle name="Explanatory Text 2" xfId="83"/>
    <cellStyle name="Explanatory Text 3" xfId="84"/>
    <cellStyle name="Explanatory Text 4" xfId="85"/>
    <cellStyle name="Explanatory Text 5" xfId="174"/>
    <cellStyle name="Explanatory Text 6" xfId="136"/>
    <cellStyle name="Good 2" xfId="86"/>
    <cellStyle name="Good 3" xfId="87"/>
    <cellStyle name="Good 4" xfId="88"/>
    <cellStyle name="Good 5" xfId="175"/>
    <cellStyle name="Good 6" xfId="134"/>
    <cellStyle name="Heading 1 2" xfId="89"/>
    <cellStyle name="Heading 1 3" xfId="90"/>
    <cellStyle name="Heading 1 4" xfId="91"/>
    <cellStyle name="Heading 1 5" xfId="177"/>
    <cellStyle name="Heading 1 6" xfId="131"/>
    <cellStyle name="Heading 2 2" xfId="92"/>
    <cellStyle name="Heading 2 3" xfId="93"/>
    <cellStyle name="Heading 2 4" xfId="94"/>
    <cellStyle name="Heading 2 5" xfId="179"/>
    <cellStyle name="Heading 2 6" xfId="129"/>
    <cellStyle name="Heading 3 2" xfId="95"/>
    <cellStyle name="Heading 3 3" xfId="96"/>
    <cellStyle name="Heading 3 4" xfId="97"/>
    <cellStyle name="Heading 3 5" xfId="181"/>
    <cellStyle name="Heading 3 6" xfId="127"/>
    <cellStyle name="Heading 4 2" xfId="98"/>
    <cellStyle name="Heading 4 3" xfId="99"/>
    <cellStyle name="Heading 4 4" xfId="100"/>
    <cellStyle name="Heading 4 5" xfId="182"/>
    <cellStyle name="Heading 4 6" xfId="198"/>
    <cellStyle name="Input 2" xfId="101"/>
    <cellStyle name="Input 3" xfId="102"/>
    <cellStyle name="Input 4" xfId="103"/>
    <cellStyle name="Input 5" xfId="184"/>
    <cellStyle name="Input 6" xfId="199"/>
    <cellStyle name="Linked Cell 2" xfId="104"/>
    <cellStyle name="Linked Cell 3" xfId="105"/>
    <cellStyle name="Linked Cell 4" xfId="106"/>
    <cellStyle name="Linked Cell 5" xfId="186"/>
    <cellStyle name="Linked Cell 6" xfId="200"/>
    <cellStyle name="Neutral 2" xfId="107"/>
    <cellStyle name="Neutral 3" xfId="108"/>
    <cellStyle name="Neutral 4" xfId="109"/>
    <cellStyle name="Neutral 5" xfId="188"/>
    <cellStyle name="Neutral 6" xfId="201"/>
    <cellStyle name="Normal" xfId="0" builtinId="0"/>
    <cellStyle name="Normal 2" xfId="211"/>
    <cellStyle name="Normal 2 2" xfId="207"/>
    <cellStyle name="Normal 2 3" xfId="210"/>
    <cellStyle name="Normal 3" xfId="208"/>
    <cellStyle name="Normal 4" xfId="209"/>
    <cellStyle name="Normal 5" xfId="213"/>
    <cellStyle name="Normal 6" xfId="214"/>
    <cellStyle name="Normal 7" xfId="215"/>
    <cellStyle name="Note 2" xfId="110"/>
    <cellStyle name="Note 3" xfId="111"/>
    <cellStyle name="Note 4" xfId="112"/>
    <cellStyle name="Note 5" xfId="189"/>
    <cellStyle name="Note 6" xfId="202"/>
    <cellStyle name="Output 2" xfId="113"/>
    <cellStyle name="Output 3" xfId="114"/>
    <cellStyle name="Output 4" xfId="115"/>
    <cellStyle name="Output 5" xfId="191"/>
    <cellStyle name="Output 6" xfId="203"/>
    <cellStyle name="Title 2" xfId="116"/>
    <cellStyle name="Title 3" xfId="117"/>
    <cellStyle name="Title 4" xfId="118"/>
    <cellStyle name="Title 5" xfId="193"/>
    <cellStyle name="Title 6" xfId="204"/>
    <cellStyle name="Total 2" xfId="119"/>
    <cellStyle name="Total 3" xfId="120"/>
    <cellStyle name="Total 4" xfId="121"/>
    <cellStyle name="Total 5" xfId="194"/>
    <cellStyle name="Total 6" xfId="205"/>
    <cellStyle name="Warning Text 2" xfId="122"/>
    <cellStyle name="Warning Text 3" xfId="123"/>
    <cellStyle name="Warning Text 4" xfId="124"/>
    <cellStyle name="Warning Text 5" xfId="196"/>
    <cellStyle name="Warning Text 6" xfId="2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130.91</v>
        <stp/>
        <stp>##V3_BDPV12</stp>
        <stp>MMM Equity</stp>
        <stp>Px Last</stp>
        <stp>[Pricing File.xlsm]TotalReturnPricing!R768C5</stp>
        <tr r="E768" s="2"/>
      </tp>
      <tp>
        <v>31.45</v>
        <stp/>
        <stp>##V3_BDPV12</stp>
        <stp>CMA Equity</stp>
        <stp>Px Last</stp>
        <stp>[Pricing File.xlsm]TotalReturnPricing!R626C5</stp>
        <tr r="E626" s="2"/>
      </tp>
      <tp>
        <v>55.45</v>
        <stp/>
        <stp>##V3_BDPV12</stp>
        <stp>COF Equity</stp>
        <stp>Px Last</stp>
        <stp>[Pricing File.xlsm]TotalReturnPricing!R666C5</stp>
        <tr r="E666" s="2"/>
      </tp>
      <tp>
        <v>9.8000000000000007</v>
        <stp/>
        <stp>##V3_BDPV12</stp>
        <stp>ANF Equity</stp>
        <stp>Px Last</stp>
        <stp>[Pricing File.xlsm]TotalReturnPricing!R224C5</stp>
        <tr r="E224" s="2"/>
      </tp>
      <tp>
        <v>7.3599999999999999E-2</v>
        <stp/>
        <stp>##V3_BDPV12</stp>
        <stp>ENT Equity</stp>
        <stp>Px Last</stp>
        <stp>[Pricing File.xlsm]TotalReturnPricing!R110C5</stp>
        <tr r="E110" s="2"/>
      </tp>
      <tp>
        <v>199</v>
        <stp/>
        <stp>##V3_BDPV12</stp>
        <stp>LII Equity</stp>
        <stp>Px Last</stp>
        <stp>[Pricing File.xlsm]TotalReturnPricing!R829C5</stp>
        <tr r="E829" s="2"/>
      </tp>
      <tp>
        <v>46.15</v>
        <stp/>
        <stp>##V3_BDPV12</stp>
        <stp>EIX Equity</stp>
        <stp>Px Last</stp>
        <stp>[Pricing File.xlsm]TotalReturnPricing!R650C5</stp>
        <tr r="E650" s="2"/>
      </tp>
      <tp>
        <v>90.49</v>
        <stp/>
        <stp>##V3_BDPV12</stp>
        <stp>FDX Equity</stp>
        <stp>Px Last</stp>
        <stp>[Pricing File.xlsm]TotalReturnPricing!R773C5</stp>
        <tr r="E773" s="2"/>
      </tp>
      <tp>
        <v>10.25</v>
        <stp/>
        <stp>##V3_BDPV12</stp>
        <stp>MGM Equity</stp>
        <stp>Px Last</stp>
        <stp>[Pricing File.xlsm]TotalReturnPricing!R428C5</stp>
        <tr r="E428" s="2"/>
      </tp>
      <tp t="s">
        <v>#N/A N/A</v>
        <stp/>
        <stp>##V3_BDPV12</stp>
        <stp>AAC Equity</stp>
        <stp>Px Last</stp>
        <stp>[Pricing File.xlsm]TotalReturnPricing!R184C5</stp>
        <tr r="E184" s="2"/>
      </tp>
      <tp>
        <v>86.42</v>
        <stp/>
        <stp>##V3_BDPV12</stp>
        <stp>MAR Equity</stp>
        <stp>Px Last</stp>
        <stp>[Pricing File.xlsm]TotalReturnPricing!R698C5</stp>
        <tr r="E698" s="2"/>
      </tp>
      <tp>
        <v>95.25</v>
        <stp/>
        <stp>##V3_BDPV12</stp>
        <stp>AAP Equity</stp>
        <stp>Px Last</stp>
        <stp>[Pricing File.xlsm]TotalReturnPricing!R704C5</stp>
        <tr r="E704" s="2"/>
      </tp>
      <tp>
        <v>46.39</v>
        <stp/>
        <stp>##V3_BDPV12</stp>
        <stp>ABG Equity</stp>
        <stp>Px Last</stp>
        <stp>[Pricing File.xlsm]TotalReturnPricing!R114C5</stp>
        <tr r="E114" s="2"/>
      </tp>
      <tp>
        <v>22.8277</v>
        <stp/>
        <stp>##V3_BDPV12</stp>
        <stp>MXN Curncy</stp>
        <stp>Px Bid</stp>
        <stp>[Pricing File.xlsm]TotalReturnPricing!R87C6</stp>
        <tr r="F87" s="2"/>
      </tp>
      <tp>
        <v>218.87</v>
        <stp/>
        <stp>##V3_BDPV12</stp>
        <stp>VOO Equity</stp>
        <stp>Px Ask</stp>
        <stp>[Pricing File.xlsm]TotalReturnPricing!R52C7</stp>
        <tr r="G52" s="2"/>
      </tp>
      <tp>
        <v>53.12</v>
        <stp/>
        <stp>##V3_BDPV12</stp>
        <stp>EXP Equity</stp>
        <stp>Px Last</stp>
        <stp>[Pricing File.xlsm]TotalReturnPricing!R680C5</stp>
        <tr r="E680" s="2"/>
      </tp>
      <tp>
        <v>1.35</v>
        <stp/>
        <stp>##V3_BDPV12</stp>
        <stp>DVD Equity</stp>
        <stp>Px Last</stp>
        <stp>[Pricing File.xlsm]TotalReturnPricing!R141C5</stp>
        <tr r="E141" s="2"/>
      </tp>
      <tp>
        <v>52.3</v>
        <stp/>
        <stp>##V3_BDPV12</stp>
        <stp>CVS Equity</stp>
        <stp>Px Last</stp>
        <stp>[Pricing File.xlsm]TotalReturnPricing!R816C5</stp>
        <tr r="E816" s="2"/>
      </tp>
      <tp>
        <v>1.74</v>
        <stp/>
        <stp>##V3_BDPV12</stp>
        <stp>AQB Equity</stp>
        <stp>Px Last</stp>
        <stp>[Pricing File.xlsm]TotalReturnPricing!R194C5</stp>
        <tr r="E194" s="2"/>
      </tp>
      <tp t="s">
        <v>#N/A N/A</v>
        <stp/>
        <stp>##V3_BDPV12</stp>
        <stp>APC Equity</stp>
        <stp>Px Last</stp>
        <stp>[Pricing File.xlsm]TotalReturnPricing!R524C5</stp>
        <tr r="E524" s="2"/>
      </tp>
      <tp>
        <v>31.81</v>
        <stp/>
        <stp>##V3_BDPV12</stp>
        <stp>T Equity</stp>
        <stp>Px Ask</stp>
        <stp>[Pricing File.xlsm]TotalReturnPricing!R477C7</stp>
        <tr r="G477" s="2"/>
      </tp>
      <tp>
        <v>6.51</v>
        <stp/>
        <stp>##V3_BDPV12</stp>
        <stp>RRTS Equity</stp>
        <stp>Px Last</stp>
        <stp>[Pricing File.xlsm]TotalReturnPricing!R195C5</stp>
        <tr r="E195" s="2"/>
      </tp>
      <tp t="s">
        <v>#N/A Field Not Applicable</v>
        <stp/>
        <stp>##V3_BDPV12</stp>
        <stp>EQIX Equity</stp>
        <stp>OPT_DELTA</stp>
        <stp>[Pricing File.xlsm]TotalReturnPricing!R785C8</stp>
        <tr r="H785" s="2"/>
      </tp>
      <tp t="s">
        <v>#N/A Field Not Applicable</v>
        <stp/>
        <stp>##V3_BDPV12</stp>
        <stp>ESRX Equity</stp>
        <stp>OPT_DELTA</stp>
        <stp>[Pricing File.xlsm]TotalReturnPricing!R815C8</stp>
        <tr r="H815" s="2"/>
      </tp>
      <tp>
        <v>12.47</v>
        <stp/>
        <stp>##V3_BDPV12</stp>
        <stp>TRWH Equity</stp>
        <stp>Px Last</stp>
        <stp>[Pricing File.xlsm]TotalReturnPricing!R835C5</stp>
        <tr r="E835" s="2"/>
      </tp>
      <tp>
        <v>12.94</v>
        <stp/>
        <stp>##V3_BDPV12</stp>
        <stp>NEO FP Equity</stp>
        <stp>Px Ask</stp>
        <stp>[Pricing File.xlsm]TotalReturnPricing!R74C7</stp>
        <tr r="G74" s="2"/>
      </tp>
      <tp t="s">
        <v>#N/A Field Not Applicable</v>
        <stp/>
        <stp>##V3_BDPV12</stp>
        <stp>GDDY Equity</stp>
        <stp>OPT_DELTA</stp>
        <stp>[Pricing File.xlsm]TotalReturnPricing!R494C8</stp>
        <tr r="H494" s="2"/>
      </tp>
      <tp t="s">
        <v>#N/A Field Not Applicable</v>
        <stp/>
        <stp>##V3_BDPV12</stp>
        <stp>GSKY Equity</stp>
        <stp>OPT_DELTA</stp>
        <stp>[Pricing File.xlsm]TotalReturnPricing!R834C8</stp>
        <tr r="H834" s="2"/>
      </tp>
      <tp t="s">
        <v>#N/A Field Not Applicable</v>
        <stp/>
        <stp>##V3_BDPV12</stp>
        <stp>HCKT Equity</stp>
        <stp>OPT_DELTA</stp>
        <stp>[Pricing File.xlsm]TotalReturnPricing!R789C8</stp>
        <tr r="H789" s="2"/>
      </tp>
      <tp t="s">
        <v>#N/A Field Not Applicable</v>
        <stp/>
        <stp>##V3_BDPV12</stp>
        <stp>IMAX Equity</stp>
        <stp>OPT_DELTA</stp>
        <stp>[Pricing File.xlsm]TotalReturnPricing!R335C8</stp>
        <tr r="H335" s="2"/>
      </tp>
      <tp t="s">
        <v>#N/A Field Not Applicable</v>
        <stp/>
        <stp>##V3_BDPV12</stp>
        <stp>MATX Equity</stp>
        <stp>OPT_DELTA</stp>
        <stp>[Pricing File.xlsm]TotalReturnPricing!R395C8</stp>
        <tr r="H395" s="2"/>
      </tp>
      <tp>
        <v>6.7</v>
        <stp/>
        <stp>##V3_BDPV12</stp>
        <stp>STAY Equity</stp>
        <stp>Px Last</stp>
        <stp>[Pricing File.xlsm]TotalReturnPricing!R823C5</stp>
        <tr r="E823" s="2"/>
      </tp>
      <tp>
        <v>15</v>
        <stp/>
        <stp>##V3_BDPV12</stp>
        <stp>NUAN Equity</stp>
        <stp>Px Last</stp>
        <stp>[Pricing File.xlsm]TotalReturnPricing!R292C5</stp>
        <tr r="E292" s="2"/>
      </tp>
      <tp>
        <v>11.51</v>
        <stp/>
        <stp>##V3_BDPV12</stp>
        <stp>USCR Equity</stp>
        <stp>Px Last</stp>
        <stp>[Pricing File.xlsm]TotalReturnPricing!R824C5</stp>
        <tr r="E824" s="2"/>
      </tp>
      <tp t="s">
        <v>#N/A N/A</v>
        <stp/>
        <stp>##V3_BDPV12</stp>
        <stp>ISCA Equity</stp>
        <stp>Px Last</stp>
        <stp>[Pricing File.xlsm]TotalReturnPricing!R444C5</stp>
        <tr r="E444" s="2"/>
      </tp>
      <tp>
        <v>33.71</v>
        <stp/>
        <stp>##V3_BDPV12</stp>
        <stp>CSCO Equity</stp>
        <stp>Px Last</stp>
        <stp>[Pricing File.xlsm]TotalReturnPricing!R414C5</stp>
        <tr r="E414" s="2"/>
      </tp>
      <tp>
        <v>13.39</v>
        <stp/>
        <stp>##V3_BDPV12</stp>
        <stp>URBN Equity</stp>
        <stp>Px Last</stp>
        <stp>[Pricing File.xlsm]TotalReturnPricing!R315C5</stp>
        <tr r="E315" s="2"/>
      </tp>
      <tp>
        <v>253.87</v>
        <stp/>
        <stp>##V3_BDPV12</stp>
        <stp>TREE Equity</stp>
        <stp>Px Last</stp>
        <stp>[Pricing File.xlsm]TotalReturnPricing!R775C5</stp>
        <tr r="E775" s="2"/>
      </tp>
      <tp t="s">
        <v>#N/A Field Not Applicable</v>
        <stp/>
        <stp>##V3_BDPV12</stp>
        <stp>WBA Equity</stp>
        <stp>OPT_DELTA</stp>
        <stp>[Pricing File.xlsm]TotalReturnPricing!R647C8</stp>
        <tr r="H647" s="2"/>
      </tp>
      <tp t="s">
        <v>#N/A Field Not Applicable</v>
        <stp/>
        <stp>##V3_BDPV12</stp>
        <stp>RJF Equity</stp>
        <stp>OPT_DELTA</stp>
        <stp>[Pricing File.xlsm]TotalReturnPricing!R660C8</stp>
        <tr r="H660" s="2"/>
      </tp>
      <tp t="s">
        <v>#N/A Field Not Applicable</v>
        <stp/>
        <stp>##V3_BDPV12</stp>
        <stp>TRN Equity</stp>
        <stp>OPT_DELTA</stp>
        <stp>[Pricing File.xlsm]TotalReturnPricing!R388C8</stp>
        <tr r="H388" s="2"/>
      </tp>
      <tp t="s">
        <v>#N/A Field Not Applicable</v>
        <stp/>
        <stp>##V3_BDPV12</stp>
        <stp>FRC Equity</stp>
        <stp>OPT_DELTA</stp>
        <stp>[Pricing File.xlsm]TotalReturnPricing!R695C8</stp>
        <tr r="H695" s="2"/>
      </tp>
      <tp t="s">
        <v>#N/A Field Not Applicable</v>
        <stp/>
        <stp>##V3_BDPV12</stp>
        <stp>AQB Equity</stp>
        <stp>OPT_DELTA</stp>
        <stp>[Pricing File.xlsm]TotalReturnPricing!R194C8</stp>
        <tr r="H194" s="2"/>
      </tp>
      <tp t="s">
        <v>#N/A Field Not Applicable</v>
        <stp/>
        <stp>##V3_BDPV12</stp>
        <stp>FND Equity</stp>
        <stp>OPT_DELTA</stp>
        <stp>[Pricing File.xlsm]TotalReturnPricing!R462C8</stp>
        <tr r="H462" s="2"/>
      </tp>
      <tp t="s">
        <v>#N/A Field Not Applicable</v>
        <stp/>
        <stp>##V3_BDPV12</stp>
        <stp>KRO Equity</stp>
        <stp>OPT_DELTA</stp>
        <stp>[Pricing File.xlsm]TotalReturnPricing!R329C8</stp>
        <tr r="H329" s="2"/>
      </tp>
      <tp t="s">
        <v>#N/A Field Not Applicable</v>
        <stp/>
        <stp>##V3_BDPV12</stp>
        <stp>HZO Equity</stp>
        <stp>OPT_DELTA</stp>
        <stp>[Pricing File.xlsm]TotalReturnPricing!R269C8</stp>
        <tr r="H269" s="2"/>
      </tp>
      <tp t="s">
        <v>#N/A Field Not Applicable</v>
        <stp/>
        <stp>##V3_BDPV12</stp>
        <stp>NEO Equity</stp>
        <stp>OPT_DELTA</stp>
        <stp>[Pricing File.xlsm]TotalReturnPricing!R219C8</stp>
        <tr r="H219" s="2"/>
      </tp>
      <tp t="s">
        <v>#N/A Field Not Applicable</v>
        <stp/>
        <stp>##V3_BDPV12</stp>
        <stp>IWO Equity</stp>
        <stp>OPT_DELTA</stp>
        <stp>[Pricing File.xlsm]TotalReturnPricing!R759C8</stp>
        <tr r="H759" s="2"/>
      </tp>
      <tp t="s">
        <v>#N/A Field Not Applicable</v>
        <stp/>
        <stp>##V3_BDPV12</stp>
        <stp>IFF Equity</stp>
        <stp>OPT_DELTA</stp>
        <stp>[Pricing File.xlsm]TotalReturnPricing!R730C8</stp>
        <tr r="H730" s="2"/>
      </tp>
      <tp>
        <v>51.65</v>
        <stp/>
        <stp>##V3_BDPV12</stp>
        <stp>HSIC Equity</stp>
        <stp>Px Last</stp>
        <stp>[Pricing File.xlsm]TotalReturnPricing!R764C5</stp>
        <tr r="E764" s="2"/>
      </tp>
      <tp>
        <v>79.430000000000007</v>
        <stp/>
        <stp>##V3_BDPV12</stp>
        <stp>UTHR Equity</stp>
        <stp>Px Last</stp>
        <stp>[Pricing File.xlsm]TotalReturnPricing!R723C5</stp>
        <tr r="E723" s="2"/>
      </tp>
      <tp>
        <v>5.09</v>
        <stp/>
        <stp>##V3_BDPV12</stp>
        <stp>GSKY Equity</stp>
        <stp>Px Last</stp>
        <stp>[Pricing File.xlsm]TotalReturnPricing!R834C5</stp>
        <tr r="E834" s="2"/>
      </tp>
      <tp>
        <v>229.36</v>
        <stp/>
        <stp>##V3_BDPV12</stp>
        <stp>ASML Equity</stp>
        <stp>Px Last</stp>
        <stp>[Pricing File.xlsm]TotalReturnPricing!R744C5</stp>
        <tr r="E744" s="2"/>
      </tp>
      <tp>
        <v>31.54</v>
        <stp/>
        <stp>##V3_BDPV12</stp>
        <stp>FSLR Equity</stp>
        <stp>Px Last</stp>
        <stp>[Pricing File.xlsm]TotalReturnPricing!R504C5</stp>
        <tr r="E504" s="2"/>
      </tp>
      <tp>
        <v>4</v>
        <stp/>
        <stp>##V3_BDPV12</stp>
        <stp>DPLO Equity</stp>
        <stp>Px Last</stp>
        <stp>[Pricing File.xlsm]TotalReturnPricing!R277C5</stp>
        <tr r="E277" s="2"/>
      </tp>
      <tp>
        <v>2.8</v>
        <stp/>
        <stp>##V3_BDPV12</stp>
        <stp>CVNA 200821C00075000 Equity</stp>
        <stp>Px Last</stp>
        <stp>[Pricing File.xlsm]TotalReturnPricing!R921C5</stp>
        <tr r="E921" s="2"/>
      </tp>
      <tp>
        <v>131.44999999999999</v>
        <stp/>
        <stp>##V3_BDPV12</stp>
        <stp>CMI Equity</stp>
        <stp>Px Last</stp>
        <stp>[Pricing File.xlsm]TotalReturnPricing!R757C5</stp>
        <tr r="E757" s="2"/>
      </tp>
      <tp>
        <v>71.010000000000005</v>
        <stp/>
        <stp>##V3_BDPV12</stp>
        <stp>FMC Equity</stp>
        <stp>Px Last</stp>
        <stp>[Pricing File.xlsm]TotalReturnPricing!R642C5</stp>
        <tr r="E642" s="2"/>
      </tp>
      <tp>
        <v>121.69</v>
        <stp/>
        <stp>##V3_BDPV12</stp>
        <stp>MOH Equity</stp>
        <stp>Px Last</stp>
        <stp>[Pricing File.xlsm]TotalReturnPricing!R619C5</stp>
        <tr r="E619" s="2"/>
      </tp>
      <tp>
        <v>29.84</v>
        <stp/>
        <stp>##V3_BDPV12</stp>
        <stp>FND Equity</stp>
        <stp>Px Last</stp>
        <stp>[Pricing File.xlsm]TotalReturnPricing!R462C5</stp>
        <tr r="E462" s="2"/>
      </tp>
      <tp>
        <v>54.03</v>
        <stp/>
        <stp>##V3_BDPV12</stp>
        <stp>CNC Equity</stp>
        <stp>Px Last</stp>
        <stp>[Pricing File.xlsm]TotalReturnPricing!R657C5</stp>
        <tr r="E657" s="2"/>
      </tp>
      <tp t="s">
        <v>#N/A Field Not Applicable</v>
        <stp/>
        <stp>##V3_BDPV12</stp>
        <stp>UPM FH Equity</stp>
        <stp>OPT_DELTA</stp>
        <stp>[Pricing File.xlsm]TotalReturnPricing!R103C8</stp>
        <tr r="H103" s="2"/>
      </tp>
      <tp>
        <v>19.34</v>
        <stp/>
        <stp>##V3_BDPV12</stp>
        <stp>CIT Equity</stp>
        <stp>Px Last</stp>
        <stp>[Pricing File.xlsm]TotalReturnPricing!R527C5</stp>
        <tr r="E527" s="2"/>
      </tp>
      <tp>
        <v>0.13</v>
        <stp/>
        <stp>##V3_BDPV12</stp>
        <stp>ALK 200417C00070000 Equity</stp>
        <stp>Px Last</stp>
        <stp>[Pricing File.xlsm]TotalReturnPricing!R866C5</stp>
        <tr r="E866" s="2"/>
      </tp>
      <tp>
        <v>87.99</v>
        <stp/>
        <stp>##V3_BDPV12</stp>
        <stp>ALGT Equity</stp>
        <stp>Px Ask</stp>
        <stp>[Pricing File.xlsm]TotalReturnPricing!R63C7</stp>
        <tr r="G63" s="2"/>
      </tp>
      <tp t="s">
        <v>#N/A N/A</v>
        <stp/>
        <stp>##V3_BDPV12</stp>
        <stp>AET Equity</stp>
        <stp>Px Last</stp>
        <stp>[Pricing File.xlsm]TotalReturnPricing!R745C5</stp>
        <tr r="E745" s="2"/>
      </tp>
      <tp>
        <v>55.7</v>
        <stp/>
        <stp>##V3_BDPV12</stp>
        <stp>XLI Equity</stp>
        <stp>Px Bid</stp>
        <stp>[Pricing File.xlsm]TotalReturnPricing!R46C6</stp>
        <tr r="F46" s="2"/>
      </tp>
      <tp>
        <v>9.7765000000000004</v>
        <stp/>
        <stp>##V3_BDPV12</stp>
        <stp>SEK Curncy</stp>
        <stp>Px Bid</stp>
        <stp>[Pricing File.xlsm]TotalReturnPricing!R83C6</stp>
        <tr r="F83" s="2"/>
      </tp>
      <tp>
        <v>103.3</v>
        <stp/>
        <stp>##V3_BDPV12</stp>
        <stp>IWM Equity</stp>
        <stp>Px Ask</stp>
        <stp>[Pricing File.xlsm]TotalReturnPricing!R51C7</stp>
        <tr r="G51" s="2"/>
      </tp>
      <tp>
        <v>10.2994</v>
        <stp/>
        <stp>##V3_BDPV12</stp>
        <stp>NOK Curncy</stp>
        <stp>Px Ask</stp>
        <stp>[Pricing File.xlsm]TotalReturnPricing!R90C7</stp>
        <tr r="G90" s="2"/>
      </tp>
      <tp>
        <v>1.35</v>
        <stp/>
        <stp>##V3_BDPV12</stp>
        <stp>DVD Equity</stp>
        <stp>Px Last</stp>
        <stp>[Pricing File.xlsm]TotalReturnPricing!R140C5</stp>
        <tr r="E140" s="2"/>
      </tp>
      <tp>
        <v>1.59</v>
        <stp/>
        <stp>##V3_BDPV12</stp>
        <stp>DSX Equity</stp>
        <stp>Px Last</stp>
        <stp>[Pricing File.xlsm]TotalReturnPricing!R160C5</stp>
        <tr r="E160" s="2"/>
      </tp>
      <tp>
        <v>31.81</v>
        <stp/>
        <stp>##V3_BDPV12</stp>
        <stp>T Equity</stp>
        <stp>Px Ask</stp>
        <stp>[Pricing File.xlsm]TotalReturnPricing!R476C7</stp>
        <tr r="G476" s="2"/>
      </tp>
      <tp t="s">
        <v>#N/A Field Not Applicable</v>
        <stp/>
        <stp>##V3_BDPV12</stp>
        <stp>AXDX Equity</stp>
        <stp>OPT_DELTA</stp>
        <stp>[Pricing File.xlsm]TotalReturnPricing!R384C8</stp>
        <tr r="H384" s="2"/>
      </tp>
      <tp>
        <v>41.65</v>
        <stp/>
        <stp>##V3_BDPV12</stp>
        <stp>ETSY Equity</stp>
        <stp>Px Last</stp>
        <stp>[Pricing File.xlsm]TotalReturnPricing!R272C5</stp>
        <tr r="E272" s="2"/>
      </tp>
      <tp t="s">
        <v>#N/A Field Not Applicable</v>
        <stp/>
        <stp>##V3_BDPV12</stp>
        <stp>BIDU Equity</stp>
        <stp>OPT_DELTA</stp>
        <stp>[Pricing File.xlsm]TotalReturnPricing!R769C8</stp>
        <tr r="H769" s="2"/>
      </tp>
      <tp t="s">
        <v>#N/A N/A</v>
        <stp/>
        <stp>##V3_BDPV12</stp>
        <stp>ESRX Equity</stp>
        <stp>Px Last</stp>
        <stp>[Pricing File.xlsm]TotalReturnPricing!R815C5</stp>
        <tr r="E815" s="2"/>
      </tp>
      <tp>
        <v>1.77</v>
        <stp/>
        <stp>##V3_BDPV12</stp>
        <stp>LTRX Equity</stp>
        <stp>Px Last</stp>
        <stp>[Pricing File.xlsm]TotalReturnPricing!R142C5</stp>
        <tr r="E142" s="2"/>
      </tp>
      <tp>
        <v>25.34</v>
        <stp/>
        <stp>##V3_BDPV12</stp>
        <stp>ATRC Equity</stp>
        <stp>Px Last</stp>
        <stp>[Pricing File.xlsm]TotalReturnPricing!R352C5</stp>
        <tr r="E352" s="2"/>
      </tp>
      <tp>
        <v>50.63</v>
        <stp/>
        <stp>##V3_BDPV12</stp>
        <stp>QTWO Equity</stp>
        <stp>Px Last</stp>
        <stp>[Pricing File.xlsm]TotalReturnPricing!R472C5</stp>
        <tr r="E472" s="2"/>
      </tp>
      <tp>
        <v>108.01</v>
        <stp/>
        <stp>##V3_BDPV12</stp>
        <stp>TTWO Equity</stp>
        <stp>Px Last</stp>
        <stp>[Pricing File.xlsm]TotalReturnPricing!R652C5</stp>
        <tr r="E652" s="2"/>
      </tp>
      <tp t="s">
        <v>#N/A Field Not Applicable</v>
        <stp/>
        <stp>##V3_BDPV12</stp>
        <stp>JBLU Equity</stp>
        <stp>OPT_DELTA</stp>
        <stp>[Pricing File.xlsm]TotalReturnPricing!R339C8</stp>
        <tr r="H339" s="2"/>
      </tp>
      <tp t="s">
        <v>#N/A Field Not Applicable</v>
        <stp/>
        <stp>##V3_BDPV12</stp>
        <stp>NYNY Equity</stp>
        <stp>OPT_DELTA</stp>
        <stp>[Pricing File.xlsm]TotalReturnPricing!R355C8</stp>
        <tr r="H355" s="2"/>
      </tp>
      <tp t="s">
        <v>#N/A N/A</v>
        <stp/>
        <stp>##V3_BDPV12</stp>
        <stp>ISCA Equity</stp>
        <stp>Px Last</stp>
        <stp>[Pricing File.xlsm]TotalReturnPricing!R445C5</stp>
        <tr r="E445" s="2"/>
      </tp>
      <tp t="s">
        <v>#N/A Field Not Applicable</v>
        <stp/>
        <stp>##V3_BDPV12</stp>
        <stp>RLGY Equity</stp>
        <stp>OPT_DELTA</stp>
        <stp>[Pricing File.xlsm]TotalReturnPricing!R135C8</stp>
        <tr r="H135" s="2"/>
      </tp>
      <tp t="s">
        <v>#N/A Field Not Applicable</v>
        <stp/>
        <stp>##V3_BDPV12</stp>
        <stp>SFLY Equity</stp>
        <stp>OPT_DELTA</stp>
        <stp>[Pricing File.xlsm]TotalReturnPricing!R535C8</stp>
        <tr r="H535" s="2"/>
      </tp>
      <tp>
        <v>29.66</v>
        <stp/>
        <stp>##V3_BDPV12</stp>
        <stp>EVER Equity</stp>
        <stp>Px Last</stp>
        <stp>[Pricing File.xlsm]TotalReturnPricing!R830C5</stp>
        <tr r="E830" s="2"/>
      </tp>
      <tp t="s">
        <v>#N/A Field Not Applicable</v>
        <stp/>
        <stp>##V3_BDPV12</stp>
        <stp>PAG Equity</stp>
        <stp>OPT_DELTA</stp>
        <stp>[Pricing File.xlsm]TotalReturnPricing!R500C8</stp>
        <tr r="H500" s="2"/>
      </tp>
      <tp t="s">
        <v>#N/A Field Not Applicable</v>
        <stp/>
        <stp>##V3_BDPV12</stp>
        <stp>TOO Equity</stp>
        <stp>OPT_DELTA</stp>
        <stp>[Pricing File.xlsm]TotalReturnPricing!R148C8</stp>
        <tr r="H148" s="2"/>
      </tp>
      <tp t="s">
        <v>#N/A Field Not Applicable</v>
        <stp/>
        <stp>##V3_BDPV12</stp>
        <stp>SLB Equity</stp>
        <stp>OPT_DELTA</stp>
        <stp>[Pricing File.xlsm]TotalReturnPricing!R615C8</stp>
        <tr r="H615" s="2"/>
      </tp>
      <tp t="s">
        <v>#N/A Field Not Applicable</v>
        <stp/>
        <stp>##V3_BDPV12</stp>
        <stp>PPG Equity</stp>
        <stp>OPT_DELTA</stp>
        <stp>[Pricing File.xlsm]TotalReturnPricing!R700C8</stp>
        <tr r="H700" s="2"/>
      </tp>
      <tp t="s">
        <v>#N/A Field Not Applicable</v>
        <stp/>
        <stp>##V3_BDPV12</stp>
        <stp>TRN Equity</stp>
        <stp>OPT_DELTA</stp>
        <stp>[Pricing File.xlsm]TotalReturnPricing!R389C8</stp>
        <tr r="H389" s="2"/>
      </tp>
      <tp t="s">
        <v>#N/A Field Not Applicable</v>
        <stp/>
        <stp>##V3_BDPV12</stp>
        <stp>THC Equity</stp>
        <stp>OPT_DELTA</stp>
        <stp>[Pricing File.xlsm]TotalReturnPricing!R304C8</stp>
        <tr r="H304" s="2"/>
      </tp>
      <tp t="s">
        <v>#N/A Field Not Applicable</v>
        <stp/>
        <stp>##V3_BDPV12</stp>
        <stp>SEE Equity</stp>
        <stp>OPT_DELTA</stp>
        <stp>[Pricing File.xlsm]TotalReturnPricing!R502C8</stp>
        <tr r="H502" s="2"/>
      </tp>
      <tp t="s">
        <v>#N/A Field Not Applicable</v>
        <stp/>
        <stp>##V3_BDPV12</stp>
        <stp>TVTY Equity</stp>
        <stp>OPT_DELTA</stp>
        <stp>[Pricing File.xlsm]TotalReturnPricing!R475C8</stp>
        <tr r="H475" s="2"/>
      </tp>
      <tp t="s">
        <v>#N/A Field Not Applicable</v>
        <stp/>
        <stp>##V3_BDPV12</stp>
        <stp>DVN Equity</stp>
        <stp>OPT_DELTA</stp>
        <stp>[Pricing File.xlsm]TotalReturnPricing!R429C8</stp>
        <tr r="H429" s="2"/>
      </tp>
      <tp t="s">
        <v>#N/A Field Not Applicable</v>
        <stp/>
        <stp>##V3_BDPV12</stp>
        <stp>AAC Equity</stp>
        <stp>OPT_DELTA</stp>
        <stp>[Pricing File.xlsm]TotalReturnPricing!R184C8</stp>
        <tr r="H184" s="2"/>
      </tp>
      <tp t="s">
        <v>#N/A Field Not Applicable</v>
        <stp/>
        <stp>##V3_BDPV12</stp>
        <stp>CMA Equity</stp>
        <stp>OPT_DELTA</stp>
        <stp>[Pricing File.xlsm]TotalReturnPricing!R626C8</stp>
        <tr r="H626" s="2"/>
      </tp>
      <tp t="s">
        <v>#N/A Field Not Applicable</v>
        <stp/>
        <stp>##V3_BDPV12</stp>
        <stp>APC Equity</stp>
        <stp>OPT_DELTA</stp>
        <stp>[Pricing File.xlsm]TotalReturnPricing!R524C8</stp>
        <tr r="H524" s="2"/>
      </tp>
      <tp t="s">
        <v>#N/A Field Not Applicable</v>
        <stp/>
        <stp>##V3_BDPV12</stp>
        <stp>CME Equity</stp>
        <stp>OPT_DELTA</stp>
        <stp>[Pricing File.xlsm]TotalReturnPricing!R722C8</stp>
        <tr r="H722" s="2"/>
      </tp>
      <tp t="s">
        <v>#N/A Field Not Applicable</v>
        <stp/>
        <stp>##V3_BDPV12</stp>
        <stp>CAE Equity</stp>
        <stp>OPT_DELTA</stp>
        <stp>[Pricing File.xlsm]TotalReturnPricing!R812C8</stp>
        <tr r="H812" s="2"/>
      </tp>
      <tp t="s">
        <v>#N/A Field Not Applicable</v>
        <stp/>
        <stp>##V3_BDPV12</stp>
        <stp>CLD Equity</stp>
        <stp>OPT_DELTA</stp>
        <stp>[Pricing File.xlsm]TotalReturnPricing!R813C8</stp>
        <tr r="H813" s="2"/>
      </tp>
      <tp t="s">
        <v>#N/A Field Not Applicable</v>
        <stp/>
        <stp>##V3_BDPV12</stp>
        <stp>OLN Equity</stp>
        <stp>OPT_DELTA</stp>
        <stp>[Pricing File.xlsm]TotalReturnPricing!R409C8</stp>
        <tr r="H409" s="2"/>
      </tp>
      <tp t="s">
        <v>#N/A Field Not Applicable</v>
        <stp/>
        <stp>##V3_BDPV12</stp>
        <stp>LAD Equity</stp>
        <stp>OPT_DELTA</stp>
        <stp>[Pricing File.xlsm]TotalReturnPricing!R693C8</stp>
        <tr r="H693" s="2"/>
      </tp>
      <tp>
        <v>29.5</v>
        <stp/>
        <stp>##V3_BDPV12</stp>
        <stp>ETFC Equity</stp>
        <stp>Px Last</stp>
        <stp>[Pricing File.xlsm]TotalReturnPricing!R482C5</stp>
        <tr r="E482" s="2"/>
      </tp>
      <tp t="s">
        <v>#N/A Field Not Applicable</v>
        <stp/>
        <stp>##V3_BDPV12</stp>
        <stp>ZUMZ Equity</stp>
        <stp>OPT_DELTA</stp>
        <stp>[Pricing File.xlsm]TotalReturnPricing!R246C8</stp>
        <tr r="H246" s="2"/>
      </tp>
      <tp>
        <v>65.52</v>
        <stp/>
        <stp>##V3_BDPV12</stp>
        <stp>CRMT Equity</stp>
        <stp>Px Last</stp>
        <stp>[Pricing File.xlsm]TotalReturnPricing!R474C5</stp>
        <tr r="E474" s="2"/>
      </tp>
      <tp>
        <v>105.16</v>
        <stp/>
        <stp>##V3_BDPV12</stp>
        <stp>STMP Equity</stp>
        <stp>Px Last</stp>
        <stp>[Pricing File.xlsm]TotalReturnPricing!R742C5</stp>
        <tr r="E742" s="2"/>
      </tp>
      <tp t="s">
        <v>#N/A N/A</v>
        <stp/>
        <stp>##V3_BDPV12</stp>
        <stp>WJA CN Equity</stp>
        <stp>Px Bid</stp>
        <stp>[Pricing File.xlsm]TotalReturnPricing!R361C6</stp>
        <tr r="F361" s="2"/>
      </tp>
      <tp>
        <v>7.5</v>
        <stp/>
        <stp>##V3_BDPV12</stp>
        <stp>CVNA 200821C00055000 Equity</stp>
        <stp>Px Last</stp>
        <stp>[Pricing File.xlsm]TotalReturnPricing!R920C5</stp>
        <tr r="E920" s="2"/>
      </tp>
      <tp>
        <v>1.46</v>
        <stp/>
        <stp>##V3_BDPV12</stp>
        <stp>NLS Equity</stp>
        <stp>Px Last</stp>
        <stp>[Pricing File.xlsm]TotalReturnPricing!R309C5</stp>
        <tr r="E309" s="2"/>
      </tp>
      <tp>
        <v>50.8</v>
        <stp/>
        <stp>##V3_BDPV12</stp>
        <stp>DOX Equity</stp>
        <stp>Px Last</stp>
        <stp>[Pricing File.xlsm]TotalReturnPricing!R613C5</stp>
        <tr r="E613" s="2"/>
      </tp>
      <tp>
        <v>43.6</v>
        <stp/>
        <stp>##V3_BDPV12</stp>
        <stp>NNI Equity</stp>
        <stp>Px Last</stp>
        <stp>[Pricing File.xlsm]TotalReturnPricing!R529C5</stp>
        <tr r="E529" s="2"/>
      </tp>
      <tp>
        <v>14.04</v>
        <stp/>
        <stp>##V3_BDPV12</stp>
        <stp>ONB Equity</stp>
        <stp>Px Last</stp>
        <stp>[Pricing File.xlsm]TotalReturnPricing!R288C5</stp>
        <tr r="E288" s="2"/>
      </tp>
      <tp>
        <v>0.2949</v>
        <stp/>
        <stp>##V3_BDPV12</stp>
        <stp>DNR Equity</stp>
        <stp>Px Last</stp>
        <stp>[Pricing File.xlsm]TotalReturnPricing!R133C5</stp>
        <tr r="E133" s="2"/>
      </tp>
      <tp>
        <v>95.01</v>
        <stp/>
        <stp>##V3_BDPV12</stp>
        <stp>DIS Equity</stp>
        <stp>Px Last</stp>
        <stp>[Pricing File.xlsm]TotalReturnPricing!R703C5</stp>
        <tr r="E703" s="2"/>
      </tp>
      <tp>
        <v>2.2599999999999998</v>
        <stp/>
        <stp>##V3_BDPV12</stp>
        <stp>BKD Equity</stp>
        <stp>Px Last</stp>
        <stp>[Pricing File.xlsm]TotalReturnPricing!R265C5</stp>
        <tr r="E265" s="2"/>
      </tp>
      <tp>
        <v>20.5</v>
        <stp/>
        <stp>##V3_BDPV12</stp>
        <stp>NEO Equity</stp>
        <stp>Px Last</stp>
        <stp>[Pricing File.xlsm]TotalReturnPricing!R219C5</stp>
        <tr r="E219" s="2"/>
      </tp>
      <tp>
        <v>103.3</v>
        <stp/>
        <stp>##V3_BDPV12</stp>
        <stp>IWM Equity</stp>
        <stp>Px Bid</stp>
        <stp>[Pricing File.xlsm]TotalReturnPricing!R51C6</stp>
        <tr r="F51" s="2"/>
      </tp>
      <tp>
        <v>93.41</v>
        <stp/>
        <stp>##V3_BDPV12</stp>
        <stp>CAT Equity</stp>
        <stp>Px Last</stp>
        <stp>[Pricing File.xlsm]TotalReturnPricing!R714C5</stp>
        <tr r="E714" s="2"/>
      </tp>
      <tp>
        <v>2.5</v>
        <stp/>
        <stp>##V3_BDPV12</stp>
        <stp>NAT Equity</stp>
        <stp>Px Last</stp>
        <stp>[Pricing File.xlsm]TotalReturnPricing!R179C5</stp>
        <tr r="E179" s="2"/>
      </tp>
      <tp>
        <v>24.55</v>
        <stp/>
        <stp>##V3_BDPV12</stp>
        <stp>FBC Equity</stp>
        <stp>Px Last</stp>
        <stp>[Pricing File.xlsm]TotalReturnPricing!R421C5</stp>
        <tr r="E421" s="2"/>
      </tp>
      <tp>
        <v>10.2797</v>
        <stp/>
        <stp>##V3_BDPV12</stp>
        <stp>NOK Curncy</stp>
        <stp>Px Bid</stp>
        <stp>[Pricing File.xlsm]TotalReturnPricing!R90C6</stp>
        <tr r="F90" s="2"/>
      </tp>
      <tp>
        <v>55.77</v>
        <stp/>
        <stp>##V3_BDPV12</stp>
        <stp>XLI Equity</stp>
        <stp>Px Ask</stp>
        <stp>[Pricing File.xlsm]TotalReturnPricing!R46C7</stp>
        <tr r="G46" s="2"/>
      </tp>
      <tp>
        <v>9.1</v>
        <stp/>
        <stp>##V3_BDPV12</stp>
        <stp>CYD Equity</stp>
        <stp>Px Last</stp>
        <stp>[Pricing File.xlsm]TotalReturnPricing!R344C5</stp>
        <tr r="E344" s="2"/>
      </tp>
      <tp>
        <v>9.7974999999999994</v>
        <stp/>
        <stp>##V3_BDPV12</stp>
        <stp>SEK Curncy</stp>
        <stp>Px Ask</stp>
        <stp>[Pricing File.xlsm]TotalReturnPricing!R83C7</stp>
        <tr r="G83" s="2"/>
      </tp>
      <tp>
        <v>8.69</v>
        <stp/>
        <stp>##V3_BDPV12</stp>
        <stp>EQT Equity</stp>
        <stp>Px Last</stp>
        <stp>[Pricing File.xlsm]TotalReturnPricing!R612C5</stp>
        <tr r="E612" s="2"/>
      </tp>
      <tp>
        <v>47.98</v>
        <stp/>
        <stp>##V3_BDPV12</stp>
        <stp>CPA Equity</stp>
        <stp>Px Last</stp>
        <stp>[Pricing File.xlsm]TotalReturnPricing!R724C5</stp>
        <tr r="E724" s="2"/>
      </tp>
      <tp>
        <v>87.68</v>
        <stp/>
        <stp>##V3_BDPV12</stp>
        <stp>ALGT Equity</stp>
        <stp>Px Bid</stp>
        <stp>[Pricing File.xlsm]TotalReturnPricing!R63C6</stp>
        <tr r="F63" s="2"/>
      </tp>
      <tp>
        <v>28.67</v>
        <stp/>
        <stp>##V3_BDPV12</stp>
        <stp>Z Equity</stp>
        <stp>Px Ask</stp>
        <stp>[Pricing File.xlsm]TotalReturnPricing!R505C7</stp>
        <tr r="G505" s="2"/>
      </tp>
      <tp>
        <v>46.57</v>
        <stp/>
        <stp>##V3_BDPV12</stp>
        <stp>PRSC Equity</stp>
        <stp>Px Last</stp>
        <stp>[Pricing File.xlsm]TotalReturnPricing!R547C5</stp>
        <tr r="E547" s="2"/>
      </tp>
      <tp t="s">
        <v>#N/A N/A</v>
        <stp/>
        <stp>##V3_BDPV12</stp>
        <stp>ESRX Equity</stp>
        <stp>Px Last</stp>
        <stp>[Pricing File.xlsm]TotalReturnPricing!R596C5</stp>
        <tr r="E596" s="2"/>
      </tp>
      <tp t="s">
        <v>#N/A Field Not Applicable</v>
        <stp/>
        <stp>##V3_BDPV12</stp>
        <stp>CHRW Equity</stp>
        <stp>OPT_DELTA</stp>
        <stp>[Pricing File.xlsm]TotalReturnPricing!R608C8</stp>
        <tr r="H608" s="2"/>
      </tp>
      <tp t="s">
        <v>#N/A Field Not Applicable</v>
        <stp/>
        <stp>##V3_BDPV12</stp>
        <stp>CROX Equity</stp>
        <stp>OPT_DELTA</stp>
        <stp>[Pricing File.xlsm]TotalReturnPricing!R207C8</stp>
        <tr r="H207" s="2"/>
      </tp>
      <tp t="s">
        <v>#N/A Field Not Applicable</v>
        <stp/>
        <stp>##V3_BDPV12</stp>
        <stp>EZPW Equity</stp>
        <stp>OPT_DELTA</stp>
        <stp>[Pricing File.xlsm]TotalReturnPricing!R208C8</stp>
        <tr r="H208" s="2"/>
      </tp>
      <tp t="s">
        <v>#N/A Field Not Applicable</v>
        <stp/>
        <stp>##V3_BDPV12</stp>
        <stp>FFIV Equity</stp>
        <stp>OPT_DELTA</stp>
        <stp>[Pricing File.xlsm]TotalReturnPricing!R719C8</stp>
        <tr r="H719" s="2"/>
      </tp>
      <tp>
        <v>3.6</v>
        <stp/>
        <stp>##V3_BDPV12</stp>
        <stp>ASYS Equity</stp>
        <stp>Px Last</stp>
        <stp>[Pricing File.xlsm]TotalReturnPricing!R216C5</stp>
        <tr r="E216" s="2"/>
      </tp>
      <tp t="s">
        <v>#N/A Field Not Applicable</v>
        <stp/>
        <stp>##V3_BDPV12</stp>
        <stp>NYNY Equity</stp>
        <stp>OPT_DELTA</stp>
        <stp>[Pricing File.xlsm]TotalReturnPricing!R356C8</stp>
        <tr r="H356" s="2"/>
      </tp>
      <tp>
        <v>1.5</v>
        <stp/>
        <stp>##V3_BDPV12</stp>
        <stp>YRCW Equity</stp>
        <stp>Px Last</stp>
        <stp>[Pricing File.xlsm]TotalReturnPricing!R247C5</stp>
        <tr r="E247" s="2"/>
      </tp>
      <tp>
        <v>4.9000000000000004</v>
        <stp/>
        <stp>##V3_BDPV12</stp>
        <stp>CSBR Equity</stp>
        <stp>Px Last</stp>
        <stp>[Pricing File.xlsm]TotalReturnPricing!R146C5</stp>
        <tr r="E146" s="2"/>
      </tp>
      <tp>
        <v>37.25</v>
        <stp/>
        <stp>##V3_BDPV12</stp>
        <stp>HUBG Equity</stp>
        <stp>Px Last</stp>
        <stp>[Pricing File.xlsm]TotalReturnPricing!R430C5</stp>
        <tr r="E430" s="2"/>
      </tp>
      <tp t="s">
        <v>#N/A Field Not Applicable</v>
        <stp/>
        <stp>##V3_BDPV12</stp>
        <stp>SBNY Equity</stp>
        <stp>OPT_DELTA</stp>
        <stp>[Pricing File.xlsm]TotalReturnPricing!R736C8</stp>
        <tr r="H736" s="2"/>
      </tp>
      <tp>
        <v>63.96</v>
        <stp/>
        <stp>##V3_BDPV12</stp>
        <stp>TREX Equity</stp>
        <stp>Px Last</stp>
        <stp>[Pricing File.xlsm]TotalReturnPricing!R637C5</stp>
        <tr r="E637" s="2"/>
      </tp>
      <tp>
        <v>29.75</v>
        <stp/>
        <stp>##V3_BDPV12</stp>
        <stp>CREE Equity</stp>
        <stp>Px Last</stp>
        <stp>[Pricing File.xlsm]TotalReturnPricing!R377C5</stp>
        <tr r="E377" s="2"/>
      </tp>
      <tp t="s">
        <v>#N/A Field Not Applicable</v>
        <stp/>
        <stp>##V3_BDPV12</stp>
        <stp>WAB Equity</stp>
        <stp>OPT_DELTA</stp>
        <stp>[Pricing File.xlsm]TotalReturnPricing!R636C8</stp>
        <tr r="H636" s="2"/>
      </tp>
      <tp t="s">
        <v>#N/A Field Not Applicable</v>
        <stp/>
        <stp>##V3_BDPV12</stp>
        <stp>VAC Equity</stp>
        <stp>OPT_DELTA</stp>
        <stp>[Pricing File.xlsm]TotalReturnPricing!R717C8</stp>
        <tr r="H717" s="2"/>
      </tp>
      <tp t="s">
        <v>#N/A Field Not Applicable</v>
        <stp/>
        <stp>##V3_BDPV12</stp>
        <stp>WLL Equity</stp>
        <stp>OPT_DELTA</stp>
        <stp>[Pricing File.xlsm]TotalReturnPricing!R168C8</stp>
        <tr r="H168" s="2"/>
      </tp>
      <tp t="s">
        <v>#N/A Field Not Applicable</v>
        <stp/>
        <stp>##V3_BDPV12</stp>
        <stp>DVA Equity</stp>
        <stp>OPT_DELTA</stp>
        <stp>[Pricing File.xlsm]TotalReturnPricing!R605C8</stp>
        <tr r="H605" s="2"/>
      </tp>
      <tp t="s">
        <v>#N/A Field Not Applicable</v>
        <stp/>
        <stp>##V3_BDPV12</stp>
        <stp>GIB Equity</stp>
        <stp>OPT_DELTA</stp>
        <stp>[Pricing File.xlsm]TotalReturnPricing!R556C8</stp>
        <tr r="H556" s="2"/>
      </tp>
      <tp t="s">
        <v>#N/A Field Not Applicable</v>
        <stp/>
        <stp>##V3_BDPV12</stp>
        <stp>DVD Equity</stp>
        <stp>OPT_DELTA</stp>
        <stp>[Pricing File.xlsm]TotalReturnPricing!R140C8</stp>
        <tr r="H140" s="2"/>
      </tp>
      <tp t="s">
        <v>#N/A Field Not Applicable</v>
        <stp/>
        <stp>##V3_BDPV12</stp>
        <stp>CNC Equity</stp>
        <stp>OPT_DELTA</stp>
        <stp>[Pricing File.xlsm]TotalReturnPricing!R657C8</stp>
        <tr r="H657" s="2"/>
      </tp>
      <tp t="s">
        <v>#N/A Field Not Applicable</v>
        <stp/>
        <stp>##V3_BDPV12</stp>
        <stp>CMA Equity</stp>
        <stp>OPT_DELTA</stp>
        <stp>[Pricing File.xlsm]TotalReturnPricing!R625C8</stp>
        <tr r="H625" s="2"/>
      </tp>
      <tp t="s">
        <v>#N/A Field Not Applicable</v>
        <stp/>
        <stp>##V3_BDPV12</stp>
        <stp>CME Equity</stp>
        <stp>OPT_DELTA</stp>
        <stp>[Pricing File.xlsm]TotalReturnPricing!R721C8</stp>
        <tr r="H721" s="2"/>
      </tp>
      <tp t="s">
        <v>#N/A Field Not Applicable</v>
        <stp/>
        <stp>##V3_BDPV12</stp>
        <stp>CAG Equity</stp>
        <stp>OPT_DELTA</stp>
        <stp>[Pricing File.xlsm]TotalReturnPricing!R433C8</stp>
        <tr r="H433" s="2"/>
      </tp>
      <tp t="s">
        <v>#N/A Field Not Applicable</v>
        <stp/>
        <stp>##V3_BDPV12</stp>
        <stp>TREX Equity</stp>
        <stp>OPT_DELTA</stp>
        <stp>[Pricing File.xlsm]TotalReturnPricing!R637C8</stp>
        <tr r="H637" s="2"/>
      </tp>
      <tp t="s">
        <v>#N/A Field Not Applicable</v>
        <stp/>
        <stp>##V3_BDPV12</stp>
        <stp>ITG Equity</stp>
        <stp>OPT_DELTA</stp>
        <stp>[Pricing File.xlsm]TotalReturnPricing!R343C8</stp>
        <tr r="H343" s="2"/>
      </tp>
      <tp t="s">
        <v>#N/A Field Not Applicable</v>
        <stp/>
        <stp>##V3_BDPV12</stp>
        <stp>HUM Equity</stp>
        <stp>OPT_DELTA</stp>
        <stp>[Pricing File.xlsm]TotalReturnPricing!R779C8</stp>
        <tr r="H779" s="2"/>
      </tp>
      <tp t="s">
        <v>#N/A Field Not Applicable</v>
        <stp/>
        <stp>##V3_BDPV12</stp>
        <stp>MRC Equity</stp>
        <stp>OPT_DELTA</stp>
        <stp>[Pricing File.xlsm]TotalReturnPricing!R287C8</stp>
        <tr r="H287" s="2"/>
      </tp>
      <tp t="s">
        <v>#N/A N/A</v>
        <stp/>
        <stp>##V3_BDPV12</stp>
        <stp>LYFT 200221P00042500 Equity</stp>
        <stp>Px Last</stp>
        <stp>[Pricing File.xlsm]TotalReturnPricing!R879C5</stp>
        <tr r="E879" s="2"/>
      </tp>
      <tp>
        <v>29.5</v>
        <stp/>
        <stp>##V3_BDPV12</stp>
        <stp>ETFC Equity</stp>
        <stp>Px Last</stp>
        <stp>[Pricing File.xlsm]TotalReturnPricing!R481C5</stp>
        <tr r="E481" s="2"/>
      </tp>
      <tp t="s">
        <v>#N/A Field Not Applicable</v>
        <stp/>
        <stp>##V3_BDPV12</stp>
        <stp>YRCW Equity</stp>
        <stp>OPT_DELTA</stp>
        <stp>[Pricing File.xlsm]TotalReturnPricing!R248C8</stp>
        <tr r="H248" s="2"/>
      </tp>
      <tp>
        <v>1.8</v>
        <stp/>
        <stp>##V3_BDPV12</stp>
        <stp>CVNA 210115C00100000 Equity</stp>
        <stp>Px Last</stp>
        <stp>[Pricing File.xlsm]TotalReturnPricing!R860C5</stp>
        <tr r="E860" s="2"/>
      </tp>
      <tp>
        <v>6.88</v>
        <stp/>
        <stp>##V3_BDPV12</stp>
        <stp>ACQ.CN Equity</stp>
        <stp>Px Ask</stp>
        <stp>[Pricing File.xlsm]TotalReturnPricing!R798C7</stp>
        <tr r="G798" s="2"/>
      </tp>
      <tp>
        <v>9.64</v>
        <stp/>
        <stp>##V3_BDPV12</stp>
        <stp>FMG AU Equity</stp>
        <stp>Px Bid</stp>
        <stp>[Pricing File.xlsm]TotalReturnPricing!R104C6</stp>
        <tr r="F104" s="2"/>
      </tp>
      <tp t="s">
        <v>#N/A Field Not Applicable</v>
        <stp/>
        <stp>##V3_BDPV12</stp>
        <stp>GOOGL Equity</stp>
        <stp>OPT_DELTA</stp>
        <stp>[Pricing File.xlsm]TotalReturnPricing!R791C8</stp>
        <tr r="H791" s="2"/>
      </tp>
      <tp>
        <v>16.579999999999998</v>
        <stp/>
        <stp>##V3_BDPV12</stp>
        <stp>CROX Equity</stp>
        <stp>Px Last</stp>
        <stp>[Pricing File.xlsm]TotalReturnPricing!R207C5</stp>
        <tr r="E207" s="2"/>
      </tp>
      <tp t="s">
        <v>#N/A Field Not Applicable</v>
        <stp/>
        <stp>##V3_BDPV12</stp>
        <stp>CMCSA Equity</stp>
        <stp>OPT_DELTA</stp>
        <stp>[Pricing File.xlsm]TotalReturnPricing!R478C8</stp>
        <tr r="H478" s="2"/>
      </tp>
      <tp>
        <v>31.45</v>
        <stp/>
        <stp>##V3_BDPV12</stp>
        <stp>CMA Equity</stp>
        <stp>Px Last</stp>
        <stp>[Pricing File.xlsm]TotalReturnPricing!R625C5</stp>
        <tr r="E625" s="2"/>
      </tp>
      <tp>
        <v>9.34</v>
        <stp/>
        <stp>##V3_BDPV12</stp>
        <stp>OLN Equity</stp>
        <stp>Px Last</stp>
        <stp>[Pricing File.xlsm]TotalReturnPricing!R409C5</stp>
        <tr r="E409" s="2"/>
      </tp>
      <tp>
        <v>6.62</v>
        <stp/>
        <stp>##V3_BDPV12</stp>
        <stp>NLY Equity</stp>
        <stp>Px Last</stp>
        <stp>[Pricing File.xlsm]TotalReturnPricing!R238C5</stp>
        <tr r="E238" s="2"/>
      </tp>
      <tp t="s">
        <v>#N/A N/A</v>
        <stp/>
        <stp>##V3_BDPV12</stp>
        <stp>FII Equity</stp>
        <stp>Px Last</stp>
        <stp>[Pricing File.xlsm]TotalReturnPricing!R400C5</stp>
        <tr r="E400" s="2"/>
      </tp>
      <tp>
        <v>35.51</v>
        <stp/>
        <stp>##V3_BDPV12</stp>
        <stp>AIV Equity</stp>
        <stp>Px Last</stp>
        <stp>[Pricing File.xlsm]TotalReturnPricing!R497C5</stp>
        <tr r="E497" s="2"/>
      </tp>
      <tp>
        <v>2.2599999999999998</v>
        <stp/>
        <stp>##V3_BDPV12</stp>
        <stp>BKD Equity</stp>
        <stp>Px Last</stp>
        <stp>[Pricing File.xlsm]TotalReturnPricing!R264C5</stp>
        <tr r="E264" s="2"/>
      </tp>
      <tp>
        <v>218.86</v>
        <stp/>
        <stp>##V3_BDPV12</stp>
        <stp>VOO Equity</stp>
        <stp>Px Bid</stp>
        <stp>[Pricing File.xlsm]TotalReturnPricing!R52C6</stp>
        <tr r="F52" s="2"/>
      </tp>
      <tp>
        <v>5.32</v>
        <stp/>
        <stp>##V3_BDPV12</stp>
        <stp>X Equity</stp>
        <stp>Px Last</stp>
        <stp>[Pricing File.xlsm]TotalReturnPricing!R368C5</stp>
        <tr r="E368" s="2"/>
      </tp>
      <tp>
        <v>86.39</v>
        <stp/>
        <stp>##V3_BDPV12</stp>
        <stp>DGX Equity</stp>
        <stp>Px Last</stp>
        <stp>[Pricing File.xlsm]TotalReturnPricing!R702C5</stp>
        <tr r="E702" s="2"/>
      </tp>
      <tp t="s">
        <v>#N/A N/A</v>
        <stp/>
        <stp>##V3_BDPV12</stp>
        <stp>NFX Equity</stp>
        <stp>Px Last</stp>
        <stp>[Pricing File.xlsm]TotalReturnPricing!R398C5</stp>
        <tr r="E398" s="2"/>
      </tp>
      <tp>
        <v>0.42009999999999997</v>
        <stp/>
        <stp>##V3_BDPV12</stp>
        <stp>OAS Equity</stp>
        <stp>Px Last</stp>
        <stp>[Pricing File.xlsm]TotalReturnPricing!R209C5</stp>
        <tr r="E209" s="2"/>
      </tp>
      <tp>
        <v>93.41</v>
        <stp/>
        <stp>##V3_BDPV12</stp>
        <stp>CAT Equity</stp>
        <stp>Px Last</stp>
        <stp>[Pricing File.xlsm]TotalReturnPricing!R715C5</stp>
        <tr r="E715" s="2"/>
      </tp>
      <tp>
        <v>14.3</v>
        <stp/>
        <stp>##V3_BDPV12</stp>
        <stp>CAR Equity</stp>
        <stp>Px Last</stp>
        <stp>[Pricing File.xlsm]TotalReturnPricing!R425C5</stp>
        <tr r="E425" s="2"/>
      </tp>
      <tp>
        <v>152.54</v>
        <stp/>
        <stp>##V3_BDPV12</stp>
        <stp>ACN Equity</stp>
        <stp>Px Last</stp>
        <stp>[Pricing File.xlsm]TotalReturnPricing!R727C5</stp>
        <tr r="E727" s="2"/>
      </tp>
      <tp>
        <v>22.877600000000001</v>
        <stp/>
        <stp>##V3_BDPV12</stp>
        <stp>MXN Curncy</stp>
        <stp>Px Ask</stp>
        <stp>[Pricing File.xlsm]TotalReturnPricing!R87C7</stp>
        <tr r="G87" s="2"/>
      </tp>
      <tp>
        <v>851.33</v>
        <stp/>
        <stp>##V3_BDPV12</stp>
        <stp>AZO Equity</stp>
        <stp>Px Last</stp>
        <stp>[Pricing File.xlsm]TotalReturnPricing!R787C5</stp>
        <tr r="E787" s="2"/>
      </tp>
      <tp>
        <v>6.08</v>
        <stp/>
        <stp>##V3_BDPV12</stp>
        <stp>CZR Equity</stp>
        <stp>Px Last</stp>
        <stp>[Pricing File.xlsm]TotalReturnPricing!R245C5</stp>
        <tr r="E245" s="2"/>
      </tp>
      <tp>
        <v>41.19</v>
        <stp/>
        <stp>##V3_BDPV12</stp>
        <stp>C Equity</stp>
        <stp>Px Ask</stp>
        <stp>[Pricing File.xlsm]TotalReturnPricing!R614C7</stp>
        <tr r="G614" s="2"/>
      </tp>
      <tp>
        <v>30.46</v>
        <stp/>
        <stp>##V3_BDPV12</stp>
        <stp>W Equity</stp>
        <stp>Px Ask</stp>
        <stp>[Pricing File.xlsm]TotalReturnPricing!R644C7</stp>
        <tr r="G644" s="2"/>
      </tp>
      <tp>
        <v>39.85</v>
        <stp/>
        <stp>##V3_BDPV12</stp>
        <stp>CWST Equity</stp>
        <stp>Px Last</stp>
        <stp>[Pricing File.xlsm]TotalReturnPricing!R293C5</stp>
        <tr r="E293" s="2"/>
      </tp>
      <tp>
        <v>46.57</v>
        <stp/>
        <stp>##V3_BDPV12</stp>
        <stp>PRSC Equity</stp>
        <stp>Px Last</stp>
        <stp>[Pricing File.xlsm]TotalReturnPricing!R546C5</stp>
        <tr r="E546" s="2"/>
      </tp>
      <tp>
        <v>43.58</v>
        <stp/>
        <stp>##V3_BDPV12</stp>
        <stp>CTSH Equity</stp>
        <stp>Px Last</stp>
        <stp>[Pricing File.xlsm]TotalReturnPricing!R620C5</stp>
        <tr r="E620" s="2"/>
      </tp>
      <tp>
        <v>1.45</v>
        <stp/>
        <stp>##V3_BDPV12</stp>
        <stp>YTRA Equity</stp>
        <stp>Px Last</stp>
        <stp>[Pricing File.xlsm]TotalReturnPricing!R230C5</stp>
        <tr r="E230" s="2"/>
      </tp>
      <tp>
        <v>2.585</v>
        <stp/>
        <stp>##V3_BDPV12</stp>
        <stp>AWRE Equity</stp>
        <stp>Px Last</stp>
        <stp>[Pricing File.xlsm]TotalReturnPricing!R163C5</stp>
        <tr r="E163" s="2"/>
      </tp>
      <tp t="s">
        <v>#N/A Field Not Applicable</v>
        <stp/>
        <stp>##V3_BDPV12</stp>
        <stp>ESRX Equity</stp>
        <stp>OPT_DELTA</stp>
        <stp>[Pricing File.xlsm]TotalReturnPricing!R596C8</stp>
        <tr r="H596" s="2"/>
      </tp>
      <tp t="s">
        <v>#N/A Field Not Applicable</v>
        <stp/>
        <stp>##V3_BDPV12</stp>
        <stp>LTRPA Equity</stp>
        <stp>OPT_DELTA</stp>
        <stp>[Pricing File.xlsm]TotalReturnPricing!R236C8</stp>
        <tr r="H236" s="2"/>
      </tp>
      <tp>
        <v>13.94</v>
        <stp/>
        <stp>##V3_BDPV12</stp>
        <stp>SSYS Equity</stp>
        <stp>Px Last</stp>
        <stp>[Pricing File.xlsm]TotalReturnPricing!R367C5</stp>
        <tr r="E367" s="2"/>
      </tp>
      <tp t="s">
        <v>#N/A Field Not Applicable</v>
        <stp/>
        <stp>##V3_BDPV12</stp>
        <stp>IMAX Equity</stp>
        <stp>OPT_DELTA</stp>
        <stp>[Pricing File.xlsm]TotalReturnPricing!R336C8</stp>
        <tr r="H336" s="2"/>
      </tp>
      <tp t="s">
        <v>#N/A Field Not Applicable</v>
        <stp/>
        <stp>##V3_BDPV12</stp>
        <stp>LRCX Equity</stp>
        <stp>OPT_DELTA</stp>
        <stp>[Pricing File.xlsm]TotalReturnPricing!R756C8</stp>
        <tr r="H756" s="2"/>
      </tp>
      <tp>
        <v>213.54</v>
        <stp/>
        <stp>##V3_BDPV12</stp>
        <stp>LRCX Equity</stp>
        <stp>Px Last</stp>
        <stp>[Pricing File.xlsm]TotalReturnPricing!R756C5</stp>
        <tr r="E756" s="2"/>
      </tp>
      <tp t="s">
        <v>#N/A Field Not Applicable</v>
        <stp/>
        <stp>##V3_BDPV12</stp>
        <stp>WCG Equity</stp>
        <stp>OPT_DELTA</stp>
        <stp>[Pricing File.xlsm]TotalReturnPricing!R762C8</stp>
        <tr r="H762" s="2"/>
      </tp>
      <tp t="s">
        <v>#N/A Field Not Applicable</v>
        <stp/>
        <stp>##V3_BDPV12</stp>
        <stp>WMB Equity</stp>
        <stp>OPT_DELTA</stp>
        <stp>[Pricing File.xlsm]TotalReturnPricing!R417C8</stp>
        <tr r="H417" s="2"/>
      </tp>
      <tp t="s">
        <v>#N/A Field Not Applicable</v>
        <stp/>
        <stp>##V3_BDPV12</stp>
        <stp>WAL Equity</stp>
        <stp>OPT_DELTA</stp>
        <stp>[Pricing File.xlsm]TotalReturnPricing!R539C8</stp>
        <tr r="H539" s="2"/>
      </tp>
      <tp t="s">
        <v>#N/A Field Not Applicable</v>
        <stp/>
        <stp>##V3_BDPV12</stp>
        <stp>VPG Equity</stp>
        <stp>OPT_DELTA</stp>
        <stp>[Pricing File.xlsm]TotalReturnPricing!R302C8</stp>
        <tr r="H302" s="2"/>
      </tp>
      <tp t="s">
        <v>#N/A Field Not Applicable</v>
        <stp/>
        <stp>##V3_BDPV12</stp>
        <stp>WLL Equity</stp>
        <stp>OPT_DELTA</stp>
        <stp>[Pricing File.xlsm]TotalReturnPricing!R169C8</stp>
        <tr r="H169" s="2"/>
      </tp>
      <tp t="s">
        <v>#N/A Field Not Applicable</v>
        <stp/>
        <stp>##V3_BDPV12</stp>
        <stp>BYD Equity</stp>
        <stp>OPT_DELTA</stp>
        <stp>[Pricing File.xlsm]TotalReturnPricing!R371C8</stp>
        <tr r="H371" s="2"/>
      </tp>
      <tp t="s">
        <v>#N/A Field Not Applicable</v>
        <stp/>
        <stp>##V3_BDPV12</stp>
        <stp>CLF Equity</stp>
        <stp>OPT_DELTA</stp>
        <stp>[Pricing File.xlsm]TotalReturnPricing!R203C8</stp>
        <tr r="H203" s="2"/>
      </tp>
      <tp t="s">
        <v>#N/A Field Not Applicable</v>
        <stp/>
        <stp>##V3_BDPV12</stp>
        <stp>TROX Equity</stp>
        <stp>OPT_DELTA</stp>
        <stp>[Pricing File.xlsm]TotalReturnPricing!R316C8</stp>
        <tr r="H316" s="2"/>
      </tp>
      <tp t="s">
        <v>#N/A Field Not Applicable</v>
        <stp/>
        <stp>##V3_BDPV12</stp>
        <stp>AMD Equity</stp>
        <stp>OPT_DELTA</stp>
        <stp>[Pricing File.xlsm]TotalReturnPricing!R261C8</stp>
        <tr r="H261" s="2"/>
      </tp>
      <tp t="s">
        <v>#N/A Field Not Applicable</v>
        <stp/>
        <stp>##V3_BDPV12</stp>
        <stp>DVD Equity</stp>
        <stp>OPT_DELTA</stp>
        <stp>[Pricing File.xlsm]TotalReturnPricing!R141C8</stp>
        <tr r="H141" s="2"/>
      </tp>
      <tp t="s">
        <v>#N/A Field Not Applicable</v>
        <stp/>
        <stp>##V3_BDPV12</stp>
        <stp>CRL Equity</stp>
        <stp>OPT_DELTA</stp>
        <stp>[Pricing File.xlsm]TotalReturnPricing!R689C8</stp>
        <tr r="H689" s="2"/>
      </tp>
      <tp t="s">
        <v>#N/A Field Not Applicable</v>
        <stp/>
        <stp>##V3_BDPV12</stp>
        <stp>CPA Equity</stp>
        <stp>OPT_DELTA</stp>
        <stp>[Pricing File.xlsm]TotalReturnPricing!R724C8</stp>
        <tr r="H724" s="2"/>
      </tp>
      <tp t="s">
        <v>#N/A Field Not Applicable</v>
        <stp/>
        <stp>##V3_BDPV12</stp>
        <stp>EVC Equity</stp>
        <stp>OPT_DELTA</stp>
        <stp>[Pricing File.xlsm]TotalReturnPricing!R186C8</stp>
        <tr r="H186" s="2"/>
      </tp>
      <tp t="s">
        <v>#N/A Field Not Applicable</v>
        <stp/>
        <stp>##V3_BDPV12</stp>
        <stp>TROW Equity</stp>
        <stp>OPT_DELTA</stp>
        <stp>[Pricing File.xlsm]TotalReturnPricing!R659C8</stp>
        <tr r="H659" s="2"/>
      </tp>
      <tp t="s">
        <v>#N/A Field Not Applicable</v>
        <stp/>
        <stp>##V3_BDPV12</stp>
        <stp>MGM Equity</stp>
        <stp>OPT_DELTA</stp>
        <stp>[Pricing File.xlsm]TotalReturnPricing!R428C8</stp>
        <tr r="H428" s="2"/>
      </tp>
      <tp t="s">
        <v>#N/A Field Not Applicable</v>
        <stp/>
        <stp>##V3_BDPV12</stp>
        <stp>LZB Equity</stp>
        <stp>OPT_DELTA</stp>
        <stp>[Pricing File.xlsm]TotalReturnPricing!R427C8</stp>
        <tr r="H427" s="2"/>
      </tp>
      <tp t="s">
        <v>#N/A Field Not Applicable</v>
        <stp/>
        <stp>##V3_BDPV12</stp>
        <stp>ITG Equity</stp>
        <stp>OPT_DELTA</stp>
        <stp>[Pricing File.xlsm]TotalReturnPricing!R342C8</stp>
        <tr r="H342" s="2"/>
      </tp>
      <tp t="s">
        <v>#N/A Field Not Applicable</v>
        <stp/>
        <stp>##V3_BDPV12</stp>
        <stp>MMM Equity</stp>
        <stp>OPT_DELTA</stp>
        <stp>[Pricing File.xlsm]TotalReturnPricing!R768C8</stp>
        <tr r="H768" s="2"/>
      </tp>
      <tp t="s">
        <v>#N/A Field Not Applicable</v>
        <stp/>
        <stp>##V3_BDPV12</stp>
        <stp>HRB Equity</stp>
        <stp>OPT_DELTA</stp>
        <stp>[Pricing File.xlsm]TotalReturnPricing!R407C8</stp>
        <tr r="H407" s="2"/>
      </tp>
      <tp t="s">
        <v>#N/A Field Not Applicable</v>
        <stp/>
        <stp>##V3_BDPV12</stp>
        <stp>NOG Equity</stp>
        <stp>OPT_DELTA</stp>
        <stp>[Pricing File.xlsm]TotalReturnPricing!R132C8</stp>
        <tr r="H132" s="2"/>
      </tp>
      <tp t="s">
        <v>#N/A Field Not Applicable</v>
        <stp/>
        <stp>##V3_BDPV12</stp>
        <stp>HCA Equity</stp>
        <stp>OPT_DELTA</stp>
        <stp>[Pricing File.xlsm]TotalReturnPricing!R654C8</stp>
        <tr r="H654" s="2"/>
      </tp>
      <tp>
        <v>40.32</v>
        <stp/>
        <stp>##V3_BDPV12</stp>
        <stp>CSGS Equity</stp>
        <stp>Px Last</stp>
        <stp>[Pricing File.xlsm]TotalReturnPricing!R487C5</stp>
        <tr r="E487" s="2"/>
      </tp>
      <tp>
        <v>8.7100000000000009</v>
        <stp/>
        <stp>##V3_BDPV12</stp>
        <stp>ASFI Equity</stp>
        <stp>Px Last</stp>
        <stp>[Pricing File.xlsm]TotalReturnPricing!R197C5</stp>
        <tr r="E197" s="2"/>
      </tp>
      <tp>
        <v>542.42999999999995</v>
        <stp/>
        <stp>##V3_BDPV12</stp>
        <stp>EQIX Equity</stp>
        <stp>Px Last</stp>
        <stp>[Pricing File.xlsm]TotalReturnPricing!R785C5</stp>
        <tr r="E785" s="2"/>
      </tp>
      <tp>
        <v>5.91</v>
        <stp/>
        <stp>##V3_BDPV12</stp>
        <stp>AVID Equity</stp>
        <stp>Px Last</stp>
        <stp>[Pricing File.xlsm]TotalReturnPricing!R172C5</stp>
        <tr r="E172" s="2"/>
      </tp>
      <tp t="s">
        <v>#N/A N/A</v>
        <stp/>
        <stp>##V3_BDPV12</stp>
        <stp>ARII Equity</stp>
        <stp>Px Last</stp>
        <stp>[Pricing File.xlsm]TotalReturnPricing!R456C5</stp>
        <tr r="E456" s="2"/>
      </tp>
      <tp>
        <v>12.91</v>
        <stp/>
        <stp>##V3_BDPV12</stp>
        <stp>NEO FP Equity</stp>
        <stp>Px Bid</stp>
        <stp>[Pricing File.xlsm]TotalReturnPricing!R74C6</stp>
        <tr r="F74" s="2"/>
      </tp>
      <tp>
        <v>71.7</v>
        <stp/>
        <stp>##V3_BDPV12</stp>
        <stp>TWLO Equity</stp>
        <stp>Px Last</stp>
        <stp>[Pricing File.xlsm]TotalReturnPricing!R403C5</stp>
        <tr r="E403" s="2"/>
      </tp>
      <tp>
        <v>95.71</v>
        <stp/>
        <stp>##V3_BDPV12</stp>
        <stp>SPLK Equity</stp>
        <stp>Px Last</stp>
        <stp>[Pricing File.xlsm]TotalReturnPricing!R584C5</stp>
        <tr r="E584" s="2"/>
      </tp>
      <tp>
        <v>5.0999999999999996</v>
        <stp/>
        <stp>##V3_BDPV12</stp>
        <stp>TROX Equity</stp>
        <stp>Px Last</stp>
        <stp>[Pricing File.xlsm]TotalReturnPricing!R316C5</stp>
        <tr r="E316" s="2"/>
      </tp>
      <tp>
        <v>148.54</v>
        <stp/>
        <stp>##V3_BDPV12</stp>
        <stp>CME Equity</stp>
        <stp>Px Last</stp>
        <stp>[Pricing File.xlsm]TotalReturnPricing!R722C5</stp>
        <tr r="E722" s="2"/>
      </tp>
      <tp>
        <v>357.28</v>
        <stp/>
        <stp>##V3_BDPV12</stp>
        <stp>BLK Equity</stp>
        <stp>Px Last</stp>
        <stp>[Pricing File.xlsm]TotalReturnPricing!R783C5</stp>
        <tr r="E783" s="2"/>
      </tp>
      <tp>
        <v>0.8</v>
        <stp/>
        <stp>##V3_BDPV12</stp>
        <stp>FLL Equity</stp>
        <stp>Px Last</stp>
        <stp>[Pricing File.xlsm]TotalReturnPricing!R147C5</stp>
        <tr r="E147" s="2"/>
      </tp>
      <tp>
        <v>44.98</v>
        <stp/>
        <stp>##V3_BDPV12</stp>
        <stp>CLH Equity</stp>
        <stp>Px Last</stp>
        <stp>[Pricing File.xlsm]TotalReturnPricing!R572C5</stp>
        <tr r="E572" s="2"/>
      </tp>
      <tp>
        <v>54.65</v>
        <stp/>
        <stp>##V3_BDPV12</stp>
        <stp>GIB Equity</stp>
        <stp>Px Last</stp>
        <stp>[Pricing File.xlsm]TotalReturnPricing!R556C5</stp>
        <tr r="E556" s="2"/>
      </tp>
      <tp>
        <v>21.19</v>
        <stp/>
        <stp>##V3_BDPV12</stp>
        <stp>DKS Equity</stp>
        <stp>Px Last</stp>
        <stp>[Pricing File.xlsm]TotalReturnPricing!R455C5</stp>
        <tr r="E455" s="2"/>
      </tp>
      <tp>
        <v>35.799999999999997</v>
        <stp/>
        <stp>##V3_BDPV12</stp>
        <stp>DAL Equity</stp>
        <stp>Px Bid</stp>
        <stp>[Pricing File.xlsm]TotalReturnPricing!R66C6</stp>
        <tr r="F66" s="2"/>
      </tp>
      <tp t="s">
        <v>#N/A N/A</v>
        <stp/>
        <stp>##V3_BDPV12</stp>
        <stp>DDE Equity</stp>
        <stp>Px Last</stp>
        <stp>[Pricing File.xlsm]TotalReturnPricing!R825C5</stp>
        <tr r="E825" s="2"/>
      </tp>
      <tp>
        <v>36.11</v>
        <stp/>
        <stp>##V3_BDPV12</stp>
        <stp>ADS Equity</stp>
        <stp>Px Last</stp>
        <stp>[Pricing File.xlsm]TotalReturnPricing!R780C5</stp>
        <tr r="E780" s="2"/>
      </tp>
      <tp>
        <v>34.86</v>
        <stp/>
        <stp>##V3_BDPV12</stp>
        <stp>DDS Equity</stp>
        <stp>Px Last</stp>
        <stp>[Pricing File.xlsm]TotalReturnPricing!R645C5</stp>
        <tr r="E645" s="2"/>
      </tp>
      <tp>
        <v>21.21</v>
        <stp/>
        <stp>##V3_BDPV12</stp>
        <stp>HFC Equity</stp>
        <stp>Px Last</stp>
        <stp>[Pricing File.xlsm]TotalReturnPricing!R399C5</stp>
        <tr r="E399" s="2"/>
      </tp>
      <tp>
        <v>37.869999999999997</v>
        <stp/>
        <stp>##V3_BDPV12</stp>
        <stp>DFS Equity</stp>
        <stp>Px Last</stp>
        <stp>[Pricing File.xlsm]TotalReturnPricing!R585C5</stp>
        <tr r="E585" s="2"/>
      </tp>
      <tp>
        <v>15.79</v>
        <stp/>
        <stp>##V3_BDPV12</stp>
        <stp>CAE Equity</stp>
        <stp>Px Last</stp>
        <stp>[Pricing File.xlsm]TotalReturnPricing!R812C5</stp>
        <tr r="E812" s="2"/>
      </tp>
      <tp>
        <v>44.22</v>
        <stp/>
        <stp>##V3_BDPV12</stp>
        <stp>CAH Equity</stp>
        <stp>Px Last</stp>
        <stp>[Pricing File.xlsm]TotalReturnPricing!R822C5</stp>
        <tr r="E822" s="2"/>
      </tp>
      <tp t="s">
        <v>#N/A Field Not Applicable</v>
        <stp/>
        <stp>##V3_BDPV12</stp>
        <stp>OTB LN Equity</stp>
        <stp>OPT_DELTA</stp>
        <stp>[Pricing File.xlsm]TotalReturnPricing!R784C8</stp>
        <tr r="H784" s="2"/>
      </tp>
      <tp t="s">
        <v>#N/A Field Not Applicable</v>
        <stp/>
        <stp>##V3_BDPV12</stp>
        <stp>GVC LN Equity</stp>
        <stp>OPT_DELTA</stp>
        <stp>[Pricing File.xlsm]TotalReturnPricing!R106C8</stp>
        <tr r="H106" s="2"/>
      </tp>
      <tp>
        <v>6.24</v>
        <stp/>
        <stp>##V3_BDPV12</stp>
        <stp>FCX Equity</stp>
        <stp>Px Last</stp>
        <stp>[Pricing File.xlsm]TotalReturnPricing!R267C5</stp>
        <tr r="E267" s="2"/>
      </tp>
      <tp>
        <v>10.16</v>
        <stp/>
        <stp>##V3_BDPV12</stp>
        <stp>HZO Equity</stp>
        <stp>Px Last</stp>
        <stp>[Pricing File.xlsm]TotalReturnPricing!R269C5</stp>
        <tr r="E269" s="2"/>
      </tp>
      <tp>
        <v>270.20999999999998</v>
        <stp/>
        <stp>##V3_BDPV12</stp>
        <stp>HUM Equity</stp>
        <stp>Px Last</stp>
        <stp>[Pricing File.xlsm]TotalReturnPricing!R779C5</stp>
        <tr r="E779" s="2"/>
      </tp>
      <tp t="s">
        <v>#N/A N/A</v>
        <stp/>
        <stp>##V3_BDPV12</stp>
        <stp>GWR Equity</stp>
        <stp>Px Last</stp>
        <stp>[Pricing File.xlsm]TotalReturnPricing!R606C5</stp>
        <tr r="E606" s="2"/>
      </tp>
      <tp>
        <v>5.0599999999999996</v>
        <stp/>
        <stp>##V3_BDPV12</stp>
        <stp>IVC Equity</stp>
        <stp>Px Last</stp>
        <stp>[Pricing File.xlsm]TotalReturnPricing!R278C5</stp>
        <tr r="E278" s="2"/>
      </tp>
      <tp>
        <v>71.739999999999995</v>
        <stp/>
        <stp>##V3_BDPV12</stp>
        <stp>DVA Equity</stp>
        <stp>Px Last</stp>
        <stp>[Pricing File.xlsm]TotalReturnPricing!R605C5</stp>
        <tr r="E605" s="2"/>
      </tp>
      <tp>
        <v>40.51</v>
        <stp/>
        <stp>##V3_BDPV12</stp>
        <stp>GPI Equity</stp>
        <stp>Px Last</stp>
        <stp>[Pricing File.xlsm]TotalReturnPricing!R586C5</stp>
        <tr r="E586" s="2"/>
      </tp>
      <tp>
        <v>23.93</v>
        <stp/>
        <stp>##V3_BDPV12</stp>
        <stp>EPR Equity</stp>
        <stp>Px Last</stp>
        <stp>[Pricing File.xlsm]TotalReturnPricing!R624C5</stp>
        <tr r="E624" s="2"/>
      </tp>
      <tp>
        <v>49.21</v>
        <stp/>
        <stp>##V3_BDPV12</stp>
        <stp>DRI Equity</stp>
        <stp>Px Last</stp>
        <stp>[Pricing File.xlsm]TotalReturnPricing!R665C5</stp>
        <tr r="E665" s="2"/>
      </tp>
      <tp>
        <v>49.6</v>
        <stp/>
        <stp>##V3_BDPV12</stp>
        <stp>H Equity</stp>
        <stp>Px Ask</stp>
        <stp>[Pricing File.xlsm]TotalReturnPricing!R563C7</stp>
        <tr r="G563" s="2"/>
      </tp>
      <tp t="s">
        <v>#N/A N/A</v>
        <stp/>
        <stp>##V3_BDPV12</stp>
        <stp>ARRS Equity</stp>
        <stp>Px Last</stp>
        <stp>[Pricing File.xlsm]TotalReturnPricing!R391C5</stp>
        <tr r="E391" s="2"/>
      </tp>
      <tp t="s">
        <v>#N/A N/A</v>
        <stp/>
        <stp>##V3_BDPV12</stp>
        <stp>CTRP Equity</stp>
        <stp>Px Last</stp>
        <stp>[Pricing File.xlsm]TotalReturnPricing!R577C5</stp>
        <tr r="E577" s="2"/>
      </tp>
      <tp>
        <v>46.92</v>
        <stp/>
        <stp>##V3_BDPV12</stp>
        <stp>FWRD Equity</stp>
        <stp>Px Last</stp>
        <stp>[Pricing File.xlsm]TotalReturnPricing!R544C5</stp>
        <tr r="E544" s="2"/>
      </tp>
      <tp>
        <v>36.35</v>
        <stp/>
        <stp>##V3_BDPV12</stp>
        <stp>GRUB Equity</stp>
        <stp>Px Last</stp>
        <stp>[Pricing File.xlsm]TotalReturnPricing!R521C5</stp>
        <tr r="E521" s="2"/>
      </tp>
      <tp>
        <v>2.68</v>
        <stp/>
        <stp>##V3_BDPV12</stp>
        <stp>TRUE Equity</stp>
        <stp>Px Last</stp>
        <stp>[Pricing File.xlsm]TotalReturnPricing!R311C5</stp>
        <tr r="E311" s="2"/>
      </tp>
      <tp>
        <v>3.16</v>
        <stp/>
        <stp>##V3_BDPV12</stp>
        <stp>TVTY Equity</stp>
        <stp>Px Last</stp>
        <stp>[Pricing File.xlsm]TotalReturnPricing!R475C5</stp>
        <tr r="E475" s="2"/>
      </tp>
      <tp>
        <v>17</v>
        <stp/>
        <stp>##V3_BDPV12</stp>
        <stp>MRTN Equity</stp>
        <stp>Px Last</stp>
        <stp>[Pricing File.xlsm]TotalReturnPricing!R281C5</stp>
        <tr r="E281" s="2"/>
      </tp>
      <tp t="s">
        <v>#N/A Field Not Applicable</v>
        <stp/>
        <stp>##V3_BDPV12</stp>
        <stp>EBAY Equity</stp>
        <stp>OPT_DELTA</stp>
        <stp>[Pricing File.xlsm]TotalReturnPricing!R450C8</stp>
        <tr r="H450" s="2"/>
      </tp>
      <tp t="s">
        <v>#N/A Field Not Applicable</v>
        <stp/>
        <stp>##V3_BDPV12</stp>
        <stp>FLEX Equity</stp>
        <stp>OPT_DELTA</stp>
        <stp>[Pricing File.xlsm]TotalReturnPricing!R291C8</stp>
        <tr r="H291" s="2"/>
      </tp>
      <tp t="s">
        <v>#N/A Field Not Applicable</v>
        <stp/>
        <stp>##V3_BDPV12</stp>
        <stp>INFY Equity</stp>
        <stp>OPT_DELTA</stp>
        <stp>[Pricing File.xlsm]TotalReturnPricing!R280C8</stp>
        <tr r="H280" s="2"/>
      </tp>
      <tp t="s">
        <v>#N/A Field Not Applicable</v>
        <stp/>
        <stp>##V3_BDPV12</stp>
        <stp>MDRX Equity</stp>
        <stp>OPT_DELTA</stp>
        <stp>[Pricing File.xlsm]TotalReturnPricing!R241C8</stp>
        <tr r="H241" s="2"/>
      </tp>
      <tp t="s">
        <v>#N/A Field Not Applicable</v>
        <stp/>
        <stp>##V3_BDPV12</stp>
        <stp>ORLY Equity</stp>
        <stp>OPT_DELTA</stp>
        <stp>[Pricing File.xlsm]TotalReturnPricing!R770C8</stp>
        <tr r="H770" s="2"/>
      </tp>
      <tp>
        <v>18.010000000000002</v>
        <stp/>
        <stp>##V3_BDPV12</stp>
        <stp>APAM Equity</stp>
        <stp>Px Last</stp>
        <stp>[Pricing File.xlsm]TotalReturnPricing!R423C5</stp>
        <tr r="E423" s="2"/>
      </tp>
      <tp t="s">
        <v>#N/A Field Not Applicable</v>
        <stp/>
        <stp>##V3_BDPV12</stp>
        <stp>PEIX Equity</stp>
        <stp>OPT_DELTA</stp>
        <stp>[Pricing File.xlsm]TotalReturnPricing!R181C8</stp>
        <tr r="H181" s="2"/>
      </tp>
      <tp>
        <v>122.85</v>
        <stp/>
        <stp>##V3_BDPV12</stp>
        <stp>SAND SS Equity</stp>
        <stp>Px Ask</stp>
        <stp>[Pricing File.xlsm]TotalReturnPricing!R725C7</stp>
        <tr r="G725" s="2"/>
      </tp>
      <tp>
        <v>30.58</v>
        <stp/>
        <stp>##V3_BDPV12</stp>
        <stp>LYFT 210115P00075000 Equity</stp>
        <stp>Px Last</stp>
        <stp>[Pricing File.xlsm]TotalReturnPricing!R899C5</stp>
        <tr r="E899" s="2"/>
      </tp>
      <tp t="s">
        <v>#N/A Field Not Applicable</v>
        <stp/>
        <stp>##V3_BDPV12</stp>
        <stp>RIG Equity</stp>
        <stp>OPT_DELTA</stp>
        <stp>[Pricing File.xlsm]TotalReturnPricing!R215C8</stp>
        <tr r="H215" s="2"/>
      </tp>
      <tp t="s">
        <v>#N/A Field Not Applicable</v>
        <stp/>
        <stp>##V3_BDPV12</stp>
        <stp>WFC Equity</stp>
        <stp>OPT_DELTA</stp>
        <stp>[Pricing File.xlsm]TotalReturnPricing!R561C8</stp>
        <tr r="H561" s="2"/>
      </tp>
      <tp t="s">
        <v>#N/A Field Not Applicable</v>
        <stp/>
        <stp>##V3_BDPV12</stp>
        <stp>SMG Equity</stp>
        <stp>OPT_DELTA</stp>
        <stp>[Pricing File.xlsm]TotalReturnPricing!R685C8</stp>
        <tr r="H685" s="2"/>
      </tp>
      <tp t="s">
        <v>#N/A Field Not Applicable</v>
        <stp/>
        <stp>##V3_BDPV12</stp>
        <stp>ANF Equity</stp>
        <stp>OPT_DELTA</stp>
        <stp>[Pricing File.xlsm]TotalReturnPricing!R224C8</stp>
        <tr r="H224" s="2"/>
      </tp>
      <tp t="s">
        <v>#N/A Field Not Applicable</v>
        <stp/>
        <stp>##V3_BDPV12</stp>
        <stp>FBC Equity</stp>
        <stp>OPT_DELTA</stp>
        <stp>[Pricing File.xlsm]TotalReturnPricing!R421C8</stp>
        <tr r="H421" s="2"/>
      </tp>
      <tp t="s">
        <v>#N/A Field Not Applicable</v>
        <stp/>
        <stp>##V3_BDPV12</stp>
        <stp>NSC Equity</stp>
        <stp>OPT_DELTA</stp>
        <stp>[Pricing File.xlsm]TotalReturnPricing!R711C8</stp>
        <tr r="H711" s="2"/>
      </tp>
      <tp t="s">
        <v>#N/A Field Not Applicable</v>
        <stp/>
        <stp>##V3_BDPV12</stp>
        <stp>LEA Equity</stp>
        <stp>OPT_DELTA</stp>
        <stp>[Pricing File.xlsm]TotalReturnPricing!R743C8</stp>
        <tr r="H743" s="2"/>
      </tp>
      <tp t="s">
        <v>#N/A Field Not Applicable</v>
        <stp/>
        <stp>##V3_BDPV12</stp>
        <stp>MTG Equity</stp>
        <stp>OPT_DELTA</stp>
        <stp>[Pricing File.xlsm]TotalReturnPricing!R235C8</stp>
        <tr r="H235" s="2"/>
      </tp>
      <tp t="s">
        <v>#N/A Field Not Applicable</v>
        <stp/>
        <stp>##V3_BDPV12</stp>
        <stp>IAC Equity</stp>
        <stp>OPT_DELTA</stp>
        <stp>[Pricing File.xlsm]TotalReturnPricing!R701C8</stp>
        <tr r="H701" s="2"/>
      </tp>
      <tp t="s">
        <v>#N/A Field Not Applicable</v>
        <stp/>
        <stp>##V3_BDPV12</stp>
        <stp>HCA Equity</stp>
        <stp>OPT_DELTA</stp>
        <stp>[Pricing File.xlsm]TotalReturnPricing!R653C8</stp>
        <tr r="H653" s="2"/>
      </tp>
      <tp>
        <v>3.69</v>
        <stp/>
        <stp>##V3_BDPV12</stp>
        <stp>LQDT Equity</stp>
        <stp>Px Last</stp>
        <stp>[Pricing File.xlsm]TotalReturnPricing!R192C5</stp>
        <tr r="E192" s="2"/>
      </tp>
      <tp>
        <v>135.41999999999999</v>
        <stp/>
        <stp>##V3_BDPV12</stp>
        <stp>MSFT Equity</stp>
        <stp>Px Last</stp>
        <stp>[Pricing File.xlsm]TotalReturnPricing!R630C5</stp>
        <tr r="E630" s="2"/>
      </tp>
      <tp>
        <v>18.600000000000001</v>
        <stp/>
        <stp>##V3_BDPV12</stp>
        <stp>ZUMZ Equity</stp>
        <stp>Px Last</stp>
        <stp>[Pricing File.xlsm]TotalReturnPricing!R246C5</stp>
        <tr r="E246" s="2"/>
      </tp>
      <tp>
        <v>370</v>
        <stp/>
        <stp>##V3_BDPV12</stp>
        <stp>GVC LN Equity</stp>
        <stp>Px Bid</stp>
        <stp>[Pricing File.xlsm]TotalReturnPricing!R106C6</stp>
        <tr r="F106" s="2"/>
      </tp>
      <tp>
        <v>38.71</v>
        <stp/>
        <stp>##V3_BDPV12</stp>
        <stp>AMD Equity</stp>
        <stp>Px Last</stp>
        <stp>[Pricing File.xlsm]TotalReturnPricing!R261C5</stp>
        <tr r="E261" s="2"/>
      </tp>
      <tp t="s">
        <v>#N/A N/A</v>
        <stp/>
        <stp>##V3_BDPV12</stp>
        <stp>CLD Equity</stp>
        <stp>Px Last</stp>
        <stp>[Pricing File.xlsm]TotalReturnPricing!R813C5</stp>
        <tr r="E813" s="2"/>
      </tp>
      <tp>
        <v>32.53</v>
        <stp/>
        <stp>##V3_BDPV12</stp>
        <stp>ALK Equity</stp>
        <stp>Px Last</stp>
        <stp>[Pricing File.xlsm]TotalReturnPricing!R671C5</stp>
        <tr r="E671" s="2"/>
      </tp>
      <tp>
        <v>3.98</v>
        <stp/>
        <stp>##V3_BDPV12</stp>
        <stp>CLF Equity</stp>
        <stp>Px Last</stp>
        <stp>[Pricing File.xlsm]TotalReturnPricing!R203C5</stp>
        <tr r="E203" s="2"/>
      </tp>
      <tp>
        <v>75.95</v>
        <stp/>
        <stp>##V3_BDPV12</stp>
        <stp>DOV Equity</stp>
        <stp>Px Last</stp>
        <stp>[Pricing File.xlsm]TotalReturnPricing!R664C5</stp>
        <tr r="E664" s="2"/>
      </tp>
      <tp>
        <v>35.549999999999997</v>
        <stp/>
        <stp>##V3_BDPV12</stp>
        <stp>IHG Equity</stp>
        <stp>Px Last</stp>
        <stp>[Pricing File.xlsm]TotalReturnPricing!R569C5</stp>
        <tr r="E569" s="2"/>
      </tp>
      <tp>
        <v>21.19</v>
        <stp/>
        <stp>##V3_BDPV12</stp>
        <stp>DKS Equity</stp>
        <stp>Px Last</stp>
        <stp>[Pricing File.xlsm]TotalReturnPricing!R454C5</stp>
        <tr r="E454" s="2"/>
      </tp>
      <tp>
        <v>15.92</v>
        <stp/>
        <stp>##V3_BDPV12</stp>
        <stp>AAL Equity</stp>
        <stp>Px Last</stp>
        <stp>[Pricing File.xlsm]TotalReturnPricing!R541C5</stp>
        <tr r="E541" s="2"/>
      </tp>
      <tp>
        <v>20.440000000000001</v>
        <stp/>
        <stp>##V3_BDPV12</stp>
        <stp>BAC Equity</stp>
        <stp>Px Last</stp>
        <stp>[Pricing File.xlsm]TotalReturnPricing!R362C5</stp>
        <tr r="E362" s="2"/>
      </tp>
      <tp>
        <v>27.21</v>
        <stp/>
        <stp>##V3_BDPV12</stp>
        <stp>CAG Equity</stp>
        <stp>Px Last</stp>
        <stp>[Pricing File.xlsm]TotalReturnPricing!R433C5</stp>
        <tr r="E433" s="2"/>
      </tp>
      <tp>
        <v>114.81</v>
        <stp/>
        <stp>##V3_BDPV12</stp>
        <stp>FCN Equity</stp>
        <stp>Px Last</stp>
        <stp>[Pricing File.xlsm]TotalReturnPricing!R416C5</stp>
        <tr r="E416" s="2"/>
      </tp>
      <tp>
        <v>74.13</v>
        <stp/>
        <stp>##V3_BDPV12</stp>
        <stp>ICE Equity</stp>
        <stp>Px Last</stp>
        <stp>[Pricing File.xlsm]TotalReturnPricing!R609C5</stp>
        <tr r="E609" s="2"/>
      </tp>
      <tp>
        <v>6.24</v>
        <stp/>
        <stp>##V3_BDPV12</stp>
        <stp>FCX Equity</stp>
        <stp>Px Last</stp>
        <stp>[Pricing File.xlsm]TotalReturnPricing!R266C5</stp>
        <tr r="E266" s="2"/>
      </tp>
      <tp>
        <v>2</v>
        <stp/>
        <stp>##V3_BDPV12</stp>
        <stp>BBW Equity</stp>
        <stp>Px Last</stp>
        <stp>[Pricing File.xlsm]TotalReturnPricing!R222C5</stp>
        <tr r="E222" s="2"/>
      </tp>
      <tp>
        <v>0.61170000000000002</v>
        <stp/>
        <stp>##V3_BDPV12</stp>
        <stp>AUD Curncy</stp>
        <stp>Px Bid</stp>
        <stp>[Pricing File.xlsm]TotalReturnPricing!R88C6</stp>
        <tr r="F88" s="2"/>
      </tp>
      <tp>
        <v>84.32</v>
        <stp/>
        <stp>##V3_BDPV12</stp>
        <stp>AYI Equity</stp>
        <stp>Px Last</stp>
        <stp>[Pricing File.xlsm]TotalReturnPricing!R771C5</stp>
        <tr r="E771" s="2"/>
      </tp>
      <tp>
        <v>0.94740000000000002</v>
        <stp/>
        <stp>##V3_BDPV12</stp>
        <stp>CHF Curncy</stp>
        <stp>Px Ask</stp>
        <stp>[Pricing File.xlsm]TotalReturnPricing!R69C7</stp>
        <tr r="G69" s="2"/>
      </tp>
      <tp>
        <v>6.08</v>
        <stp/>
        <stp>##V3_BDPV12</stp>
        <stp>CZR Equity</stp>
        <stp>Px Last</stp>
        <stp>[Pricing File.xlsm]TotalReturnPricing!R803C5</stp>
        <tr r="E803" s="2"/>
      </tp>
      <tp>
        <v>18.7</v>
        <stp/>
        <stp>##V3_BDPV12</stp>
        <stp>AC CN Equity</stp>
        <stp>Px Ask</stp>
        <stp>[Pricing File.xlsm]TotalReturnPricing!R59C7</stp>
        <tr r="G59" s="2"/>
      </tp>
      <tp>
        <v>6.11</v>
        <stp/>
        <stp>##V3_BDPV12</stp>
        <stp>HTZ Equity</stp>
        <stp>Px Last</stp>
        <stp>[Pricing File.xlsm]TotalReturnPricing!R298C5</stp>
        <tr r="E298" s="2"/>
      </tp>
      <tp>
        <v>140.30000000000001</v>
        <stp/>
        <stp>##V3_BDPV12</stp>
        <stp>IWO Equity</stp>
        <stp>Px Last</stp>
        <stp>[Pricing File.xlsm]TotalReturnPricing!R759C5</stp>
        <tr r="E759" s="2"/>
      </tp>
      <tp>
        <v>23.56</v>
        <stp/>
        <stp>##V3_BDPV12</stp>
        <stp>AVT Equity</stp>
        <stp>Px Last</stp>
        <stp>[Pricing File.xlsm]TotalReturnPricing!R471C5</stp>
        <tr r="E471" s="2"/>
      </tp>
      <tp>
        <v>43.53</v>
        <stp/>
        <stp>##V3_BDPV12</stp>
        <stp>IWM 200320P00145000 Equity</stp>
        <stp>Px Last</stp>
        <stp>[Pricing File.xlsm]TotalReturnPricing!R869C5</stp>
        <tr r="E869" s="2"/>
      </tp>
      <tp>
        <v>40.51</v>
        <stp/>
        <stp>##V3_BDPV12</stp>
        <stp>GPI Equity</stp>
        <stp>Px Last</stp>
        <stp>[Pricing File.xlsm]TotalReturnPricing!R587C5</stp>
        <tr r="E587" s="2"/>
      </tp>
      <tp>
        <v>87.68</v>
        <stp/>
        <stp>##V3_BDPV12</stp>
        <stp>ALGT Equity</stp>
        <stp>Px Bid</stp>
        <stp>[Pricing File.xlsm]TotalReturnPricing!R44C6</stp>
        <tr r="F44" s="2"/>
      </tp>
      <tp>
        <v>124.3</v>
        <stp/>
        <stp>##V3_BDPV12</stp>
        <stp>CRM Equity</stp>
        <stp>Px Last</stp>
        <stp>[Pricing File.xlsm]TotalReturnPricing!R673C5</stp>
        <tr r="E673" s="2"/>
      </tp>
      <tp>
        <v>19.77</v>
        <stp/>
        <stp>##V3_BDPV12</stp>
        <stp>HRI Equity</stp>
        <stp>Px Last</stp>
        <stp>[Pricing File.xlsm]TotalReturnPricing!R518C5</stp>
        <tr r="E518" s="2"/>
      </tp>
      <tp>
        <v>49.73</v>
        <stp/>
        <stp>##V3_BDPV12</stp>
        <stp>ARW Equity</stp>
        <stp>Px Last</stp>
        <stp>[Pricing File.xlsm]TotalReturnPricing!R661C5</stp>
        <tr r="E661" s="2"/>
      </tp>
      <tp>
        <v>49.6</v>
        <stp/>
        <stp>##V3_BDPV12</stp>
        <stp>H Equity</stp>
        <stp>Px Ask</stp>
        <stp>[Pricing File.xlsm]TotalReturnPricing!R562C7</stp>
        <tr r="G562" s="2"/>
      </tp>
      <tp>
        <v>7.73</v>
        <stp/>
        <stp>##V3_BDPV12</stp>
        <stp>S Equity</stp>
        <stp>Px Ask</stp>
        <stp>[Pricing File.xlsm]TotalReturnPricing!R212C7</stp>
        <tr r="G212" s="2"/>
      </tp>
      <tp>
        <v>3.7</v>
        <stp/>
        <stp>##V3_BDPV12</stp>
        <stp>EZPW Equity</stp>
        <stp>Px Last</stp>
        <stp>[Pricing File.xlsm]TotalReturnPricing!R208C5</stp>
        <tr r="E208" s="2"/>
      </tp>
      <tp>
        <v>2.0499999999999998</v>
        <stp/>
        <stp>##V3_BDPV12</stp>
        <stp>EVRC Equity</stp>
        <stp>Px Last</stp>
        <stp>[Pricing File.xlsm]TotalReturnPricing!R134C5</stp>
        <tr r="E134" s="2"/>
      </tp>
      <tp t="s">
        <v>#N/A Field Not Applicable</v>
        <stp/>
        <stp>##V3_BDPV12</stp>
        <stp>CTRP Equity</stp>
        <stp>OPT_DELTA</stp>
        <stp>[Pricing File.xlsm]TotalReturnPricing!R578C8</stp>
        <tr r="H578" s="2"/>
      </tp>
      <tp>
        <v>4.88</v>
        <stp/>
        <stp>##V3_BDPV12</stp>
        <stp>SPWH Equity</stp>
        <stp>Px Last</stp>
        <stp>[Pricing File.xlsm]TotalReturnPricing!R162C5</stp>
        <tr r="E162" s="2"/>
      </tp>
      <tp t="s">
        <v>#N/A N/A</v>
        <stp/>
        <stp>##V3_BDPV12</stp>
        <stp>DRYS Equity</stp>
        <stp>Px Last</stp>
        <stp>[Pricing File.xlsm]TotalReturnPricing!R130C5</stp>
        <tr r="E130" s="2"/>
      </tp>
      <tp t="s">
        <v>#N/A Field Not Applicable</v>
        <stp/>
        <stp>##V3_BDPV12</stp>
        <stp>MCHX Equity</stp>
        <stp>OPT_DELTA</stp>
        <stp>[Pricing File.xlsm]TotalReturnPricing!R150C8</stp>
        <tr r="H150" s="2"/>
      </tp>
      <tp t="s">
        <v>#N/A Field Not Applicable</v>
        <stp/>
        <stp>##V3_BDPV12</stp>
        <stp>MOSY Equity</stp>
        <stp>OPT_DELTA</stp>
        <stp>[Pricing File.xlsm]TotalReturnPricing!R131C8</stp>
        <tr r="H131" s="2"/>
      </tp>
      <tp>
        <v>5.0519999999999996</v>
        <stp/>
        <stp>##V3_BDPV12</stp>
        <stp>SDF GR Equity</stp>
        <stp>Px Bid</stp>
        <stp>[Pricing File.xlsm]TotalReturnPricing!R71C6</stp>
        <tr r="F71" s="2"/>
      </tp>
      <tp t="s">
        <v>#N/A Field Not Applicable</v>
        <stp/>
        <stp>##V3_BDPV12</stp>
        <stp>TSG Equity</stp>
        <stp>OPT_DELTA</stp>
        <stp>[Pricing File.xlsm]TotalReturnPricing!R804C8</stp>
        <tr r="H804" s="2"/>
      </tp>
      <tp t="s">
        <v>#N/A Field Not Applicable</v>
        <stp/>
        <stp>##V3_BDPV12</stp>
        <stp>ABG Equity</stp>
        <stp>OPT_DELTA</stp>
        <stp>[Pricing File.xlsm]TotalReturnPricing!R114C8</stp>
        <tr r="H114" s="2"/>
      </tp>
      <tp t="s">
        <v>#N/A Field Not Applicable</v>
        <stp/>
        <stp>##V3_BDPV12</stp>
        <stp>FNF Equity</stp>
        <stp>OPT_DELTA</stp>
        <stp>[Pricing File.xlsm]TotalReturnPricing!R525C8</stp>
        <tr r="H525" s="2"/>
      </tp>
      <tp t="s">
        <v>#N/A Field Not Applicable</v>
        <stp/>
        <stp>##V3_BDPV12</stp>
        <stp>TRIP Equity</stp>
        <stp>OPT_DELTA</stp>
        <stp>[Pricing File.xlsm]TotalReturnPricing!R468C8</stp>
        <tr r="H468" s="2"/>
      </tp>
      <tp t="s">
        <v>#N/A Field Not Applicable</v>
        <stp/>
        <stp>##V3_BDPV12</stp>
        <stp>APA Equity</stp>
        <stp>OPT_DELTA</stp>
        <stp>[Pricing File.xlsm]TotalReturnPricing!R542C8</stp>
        <tr r="H542" s="2"/>
      </tp>
      <tp>
        <v>587.58000000000004</v>
        <stp/>
        <stp>##V3_BDPV12</stp>
        <stp>CSGP Equity</stp>
        <stp>Px Last</stp>
        <stp>[Pricing File.xlsm]TotalReturnPricing!R781C5</stp>
        <tr r="E781" s="2"/>
      </tp>
      <tp>
        <v>32.35</v>
        <stp/>
        <stp>##V3_BDPV12</stp>
        <stp>ASGN Equity</stp>
        <stp>Px Last</stp>
        <stp>[Pricing File.xlsm]TotalReturnPricing!R531C5</stp>
        <tr r="E531" s="2"/>
      </tp>
      <tp t="s">
        <v>#N/A Field Not Applicable</v>
        <stp/>
        <stp>##V3_BDPV12</stp>
        <stp>DISCA Equity</stp>
        <stp>OPT_DELTA</stp>
        <stp>[Pricing File.xlsm]TotalReturnPricing!R378C8</stp>
        <tr r="H378" s="2"/>
      </tp>
      <tp>
        <v>299.64999999999998</v>
        <stp/>
        <stp>##V3_BDPV12</stp>
        <stp>ORLY Equity</stp>
        <stp>Px Last</stp>
        <stp>[Pricing File.xlsm]TotalReturnPricing!R770C5</stp>
        <tr r="E770" s="2"/>
      </tp>
      <tp>
        <v>39.18</v>
        <stp/>
        <stp>##V3_BDPV12</stp>
        <stp>CVNA Equity</stp>
        <stp>Px Last</stp>
        <stp>[Pricing File.xlsm]TotalReturnPricing!R334C5</stp>
        <tr r="E334" s="2"/>
      </tp>
      <tp>
        <v>131.44999999999999</v>
        <stp/>
        <stp>##V3_BDPV12</stp>
        <stp>CMI Equity</stp>
        <stp>Px Last</stp>
        <stp>[Pricing File.xlsm]TotalReturnPricing!R820C5</stp>
        <tr r="E820" s="2"/>
      </tp>
      <tp>
        <v>22.5</v>
        <stp/>
        <stp>##V3_BDPV12</stp>
        <stp>FLS Equity</stp>
        <stp>Px Last</stp>
        <stp>[Pricing File.xlsm]TotalReturnPricing!R515C5</stp>
        <tr r="E515" s="2"/>
      </tp>
      <tp>
        <v>28.29</v>
        <stp/>
        <stp>##V3_BDPV12</stp>
        <stp>FNF Equity</stp>
        <stp>Px Last</stp>
        <stp>[Pricing File.xlsm]TotalReturnPricing!R525C5</stp>
        <tr r="E525" s="2"/>
      </tp>
      <tp>
        <v>30.27</v>
        <stp/>
        <stp>##V3_BDPV12</stp>
        <stp>CNA Equity</stp>
        <stp>Px Last</stp>
        <stp>[Pricing File.xlsm]TotalReturnPricing!R530C5</stp>
        <tr r="E530" s="2"/>
      </tp>
      <tp>
        <v>0.20169999999999999</v>
        <stp/>
        <stp>##V3_BDPV12</stp>
        <stp>CHK Equity</stp>
        <stp>Px Last</stp>
        <stp>[Pricing File.xlsm]TotalReturnPricing!R170C5</stp>
        <tr r="E170" s="2"/>
      </tp>
      <tp>
        <v>87.99</v>
        <stp/>
        <stp>##V3_BDPV12</stp>
        <stp>ALGT Equity</stp>
        <stp>Px Ask</stp>
        <stp>[Pricing File.xlsm]TotalReturnPricing!R44C7</stp>
        <tr r="G44" s="2"/>
      </tp>
      <tp>
        <v>17.760000000000002</v>
        <stp/>
        <stp>##V3_BDPV12</stp>
        <stp>BEN Equity</stp>
        <stp>Px Last</stp>
        <stp>[Pricing File.xlsm]TotalReturnPricing!R511C5</stp>
        <tr r="E511" s="2"/>
      </tp>
      <tp t="s">
        <v>#N/A Field Not Applicable</v>
        <stp/>
        <stp>##V3_BDPV12</stp>
        <stp>FMG AU Equity</stp>
        <stp>OPT_DELTA</stp>
        <stp>[Pricing File.xlsm]TotalReturnPricing!R104C8</stp>
        <tr r="H104" s="2"/>
      </tp>
      <tp>
        <v>63.84</v>
        <stp/>
        <stp>##V3_BDPV12</stp>
        <stp>BAH Equity</stp>
        <stp>Px Last</stp>
        <stp>[Pricing File.xlsm]TotalReturnPricing!R431C5</stp>
        <tr r="E431" s="2"/>
      </tp>
      <tp>
        <v>44.22</v>
        <stp/>
        <stp>##V3_BDPV12</stp>
        <stp>CAH Equity</stp>
        <stp>Px Last</stp>
        <stp>[Pricing File.xlsm]TotalReturnPricing!R640C5</stp>
        <tr r="E640" s="2"/>
      </tp>
      <tp>
        <v>20</v>
        <stp/>
        <stp>##V3_BDPV12</stp>
        <stp>AC CN Equity</stp>
        <stp>Px Bid</stp>
        <stp>[Pricing File.xlsm]TotalReturnPricing!R59C6</stp>
        <tr r="F59" s="2"/>
      </tp>
      <tp>
        <v>14.57</v>
        <stp/>
        <stp>##V3_BDPV12</stp>
        <stp>CCL Equity</stp>
        <stp>Px Last</stp>
        <stp>[Pricing File.xlsm]TotalReturnPricing!R610C5</stp>
        <tr r="E610" s="2"/>
      </tp>
      <tp>
        <v>48.96</v>
        <stp/>
        <stp>##V3_BDPV12</stp>
        <stp>CCK Equity</stp>
        <stp>Px Last</stp>
        <stp>[Pricing File.xlsm]TotalReturnPricing!R580C5</stp>
        <tr r="E580" s="2"/>
      </tp>
      <tp>
        <v>12.65</v>
        <stp/>
        <stp>##V3_BDPV12</stp>
        <stp>CCU Equity</stp>
        <stp>Px Last</stp>
        <stp>[Pricing File.xlsm]TotalReturnPricing!R380C5</stp>
        <tr r="E380" s="2"/>
      </tp>
      <tp>
        <v>15.47</v>
        <stp/>
        <stp>##V3_BDPV12</stp>
        <stp>ABB Equity</stp>
        <stp>Px Last</stp>
        <stp>[Pricing File.xlsm]TotalReturnPricing!R112C5</stp>
        <tr r="E112" s="2"/>
      </tp>
      <tp>
        <v>57.3</v>
        <stp/>
        <stp>##V3_BDPV12</stp>
        <stp>BBY Equity</stp>
        <stp>Px Last</stp>
        <stp>[Pricing File.xlsm]TotalReturnPricing!R571C5</stp>
        <tr r="E571" s="2"/>
      </tp>
      <tp>
        <v>26.12</v>
        <stp/>
        <stp>##V3_BDPV12</stp>
        <stp>CBT Equity</stp>
        <stp>Px Last</stp>
        <stp>[Pricing File.xlsm]TotalReturnPricing!R560C5</stp>
        <tr r="E560" s="2"/>
      </tp>
      <tp>
        <v>0.94710000000000005</v>
        <stp/>
        <stp>##V3_BDPV12</stp>
        <stp>CHF Curncy</stp>
        <stp>Px Bid</stp>
        <stp>[Pricing File.xlsm]TotalReturnPricing!R69C6</stp>
        <tr r="F69" s="2"/>
      </tp>
      <tp>
        <v>2.54</v>
        <stp/>
        <stp>##V3_BDPV12</stp>
        <stp>CYH Equity</stp>
        <stp>Px Last</stp>
        <stp>[Pricing File.xlsm]TotalReturnPricing!R200C5</stp>
        <tr r="E200" s="2"/>
      </tp>
      <tp>
        <v>10.84</v>
        <stp/>
        <stp>##V3_BDPV12</stp>
        <stp>BYD Equity</stp>
        <stp>Px Last</stp>
        <stp>[Pricing File.xlsm]TotalReturnPricing!R371C5</stp>
        <tr r="E371" s="2"/>
      </tp>
      <tp>
        <v>85.87</v>
        <stp/>
        <stp>##V3_BDPV12</stp>
        <stp>AXP Equity</stp>
        <stp>Px Last</stp>
        <stp>[Pricing File.xlsm]TotalReturnPricing!R662C5</stp>
        <tr r="E662" s="2"/>
      </tp>
      <tp>
        <v>0.61209999999999998</v>
        <stp/>
        <stp>##V3_BDPV12</stp>
        <stp>AUD Curncy</stp>
        <stp>Px Ask</stp>
        <stp>[Pricing File.xlsm]TotalReturnPricing!R88C7</stp>
        <tr r="G88" s="2"/>
      </tp>
      <tp>
        <v>1.5701000000000001</v>
        <stp/>
        <stp>##V3_BDPV12</stp>
        <stp>BTN Equity</stp>
        <stp>Px Last</stp>
        <stp>[Pricing File.xlsm]TotalReturnPricing!R191C5</stp>
        <tr r="E191" s="2"/>
      </tp>
      <tp>
        <v>1.94</v>
        <stp/>
        <stp>##V3_BDPV12</stp>
        <stp>EVC Equity</stp>
        <stp>Px Last</stp>
        <stp>[Pricing File.xlsm]TotalReturnPricing!R186C5</stp>
        <tr r="E186" s="2"/>
      </tp>
      <tp>
        <v>0.26</v>
        <stp/>
        <stp>##V3_BDPV12</stp>
        <stp>LVS 200417C00062500 Equity</stp>
        <stp>Px Last</stp>
        <stp>[Pricing File.xlsm]TotalReturnPricing!R909C5</stp>
        <tr r="E909" s="2"/>
      </tp>
      <tp>
        <v>139.83000000000001</v>
        <stp/>
        <stp>##V3_BDPV12</stp>
        <stp>GPN Equity</stp>
        <stp>Px Last</stp>
        <stp>[Pricing File.xlsm]TotalReturnPricing!R684C5</stp>
        <tr r="E684" s="2"/>
      </tp>
      <tp>
        <v>5.46</v>
        <stp/>
        <stp>##V3_BDPV12</stp>
        <stp>APA Equity</stp>
        <stp>Px Last</stp>
        <stp>[Pricing File.xlsm]TotalReturnPricing!R542C5</stp>
        <tr r="E542" s="2"/>
      </tp>
      <tp>
        <v>8.34</v>
        <stp/>
        <stp>##V3_BDPV12</stp>
        <stp>GPS Equity</stp>
        <stp>Px Last</stp>
        <stp>[Pricing File.xlsm]TotalReturnPricing!R364C5</stp>
        <tr r="E364" s="2"/>
      </tp>
      <tp>
        <v>48.93</v>
        <stp/>
        <stp>##V3_BDPV12</stp>
        <stp>CSX Equity</stp>
        <stp>Px Last</stp>
        <stp>[Pricing File.xlsm]TotalReturnPricing!R540C5</stp>
        <tr r="E540" s="2"/>
      </tp>
      <tp>
        <v>9.0299999999999994</v>
        <stp/>
        <stp>##V3_BDPV12</stp>
        <stp>HTZ 200417P00016000 Equity</stp>
        <stp>Px Last</stp>
        <stp>[Pricing File.xlsm]TotalReturnPricing!R868C5</stp>
        <tr r="E868" s="2"/>
      </tp>
      <tp>
        <v>7.77</v>
        <stp/>
        <stp>##V3_BDPV12</stp>
        <stp>FRO Equity</stp>
        <stp>Px Last</stp>
        <stp>[Pricing File.xlsm]TotalReturnPricing!R175C5</stp>
        <tr r="E175" s="2"/>
      </tp>
      <tp>
        <v>64.12</v>
        <stp/>
        <stp>##V3_BDPV12</stp>
        <stp>CRI Equity</stp>
        <stp>Px Last</stp>
        <stp>[Pricing File.xlsm]TotalReturnPricing!R670C5</stp>
        <tr r="E670" s="2"/>
      </tp>
      <tp>
        <v>82.92</v>
        <stp/>
        <stp>##V3_BDPV12</stp>
        <stp>FRC Equity</stp>
        <stp>Px Last</stp>
        <stp>[Pricing File.xlsm]TotalReturnPricing!R695C5</stp>
        <tr r="E695" s="2"/>
      </tp>
      <tp>
        <v>29.48</v>
        <stp/>
        <stp>##V3_BDPV12</stp>
        <stp>CL3 Comdty</stp>
        <stp>Px Last</stp>
        <stp>[Pricing File.xlsm]TotalReturnPricing!R536C5</stp>
        <tr r="E536" s="2"/>
      </tp>
      <tp>
        <v>27.19</v>
        <stp/>
        <stp>##V3_BDPV12</stp>
        <stp>R Equity</stp>
        <stp>Px Ask</stp>
        <stp>[Pricing File.xlsm]TotalReturnPricing!R631C7</stp>
        <tr r="G631" s="2"/>
      </tp>
      <tp t="s">
        <v>#N/A Field Not Applicable</v>
        <stp/>
        <stp>##V3_BDPV12</stp>
        <stp>AMKR Equity</stp>
        <stp>OPT_DELTA</stp>
        <stp>[Pricing File.xlsm]TotalReturnPricing!R229C8</stp>
        <tr r="H229" s="2"/>
      </tp>
      <tp t="s">
        <v>#N/A N/A</v>
        <stp/>
        <stp>##V3_BDPV12</stp>
        <stp>CVRS Equity</stp>
        <stp>Px Last</stp>
        <stp>[Pricing File.xlsm]TotalReturnPricing!R137C5</stp>
        <tr r="E137" s="2"/>
      </tp>
      <tp>
        <v>13.93</v>
        <stp/>
        <stp>##V3_BDPV12</stp>
        <stp>CTRN Equity</stp>
        <stp>Px Last</stp>
        <stp>[Pricing File.xlsm]TotalReturnPricing!R345C5</stp>
        <tr r="E345" s="2"/>
      </tp>
      <tp>
        <v>0.50009999999999999</v>
        <stp/>
        <stp>##V3_BDPV12</stp>
        <stp>PRTY Equity</stp>
        <stp>Px Last</stp>
        <stp>[Pricing File.xlsm]TotalReturnPricing!R263C5</stp>
        <tr r="E263" s="2"/>
      </tp>
      <tp t="s">
        <v>#N/A Field Not Applicable</v>
        <stp/>
        <stp>##V3_BDPV12</stp>
        <stp>ETSY Equity</stp>
        <stp>OPT_DELTA</stp>
        <stp>[Pricing File.xlsm]TotalReturnPricing!R272C8</stp>
        <tr r="H272" s="2"/>
      </tp>
      <tp>
        <v>17.739999999999998</v>
        <stp/>
        <stp>##V3_BDPV12</stp>
        <stp>MRVL Equity</stp>
        <stp>Px Last</stp>
        <stp>[Pricing File.xlsm]TotalReturnPricing!R283C5</stp>
        <tr r="E283" s="2"/>
      </tp>
      <tp>
        <v>5.0979999999999999</v>
        <stp/>
        <stp>##V3_BDPV12</stp>
        <stp>SDF GR Equity</stp>
        <stp>Px Ask</stp>
        <stp>[Pricing File.xlsm]TotalReturnPricing!R71C7</stp>
        <tr r="G71" s="2"/>
      </tp>
      <tp t="s">
        <v>#N/A Field Not Applicable</v>
        <stp/>
        <stp>##V3_BDPV12</stp>
        <stp>NFLX Equity</stp>
        <stp>OPT_DELTA</stp>
        <stp>[Pricing File.xlsm]TotalReturnPricing!R763C8</stp>
        <tr r="H763" s="2"/>
      </tp>
      <tp>
        <v>29.62</v>
        <stp/>
        <stp>##V3_BDPV12</stp>
        <stp>PRAA Equity</stp>
        <stp>Px Last</stp>
        <stp>[Pricing File.xlsm]TotalReturnPricing!R473C5</stp>
        <tr r="E473" s="2"/>
      </tp>
      <tp>
        <v>157.19999999999999</v>
        <stp/>
        <stp>##V3_BDPV12</stp>
        <stp>PTEC LN Equity</stp>
        <stp>Px Ask</stp>
        <stp>[Pricing File.xlsm]TotalReturnPricing!R100C7</stp>
        <tr r="G100" s="2"/>
      </tp>
      <tp>
        <v>42.72</v>
        <stp/>
        <stp>##V3_BDPV12</stp>
        <stp>ORCL Equity</stp>
        <stp>Px Last</stp>
        <stp>[Pricing File.xlsm]TotalReturnPricing!R543C5</stp>
        <tr r="E543" s="2"/>
      </tp>
      <tp t="s">
        <v>#N/A Field Not Applicable</v>
        <stp/>
        <stp>##V3_BDPV12</stp>
        <stp>SATS Equity</stp>
        <stp>OPT_DELTA</stp>
        <stp>[Pricing File.xlsm]TotalReturnPricing!R588C8</stp>
        <tr r="H588" s="2"/>
      </tp>
      <tp t="s">
        <v>#N/A Field Not Applicable</v>
        <stp/>
        <stp>##V3_BDPV12</stp>
        <stp>SRDX Equity</stp>
        <stp>OPT_DELTA</stp>
        <stp>[Pricing File.xlsm]TotalReturnPricing!R383C8</stp>
        <tr r="H383" s="2"/>
      </tp>
      <tp t="s">
        <v>#N/A Field Not Applicable</v>
        <stp/>
        <stp>##V3_BDPV12</stp>
        <stp>RRD Equity</stp>
        <stp>OPT_DELTA</stp>
        <stp>[Pricing File.xlsm]TotalReturnPricing!R244C8</stp>
        <tr r="H244" s="2"/>
      </tp>
      <tp t="s">
        <v>#N/A Field Not Applicable</v>
        <stp/>
        <stp>##V3_BDPV12</stp>
        <stp>PPC Equity</stp>
        <stp>OPT_DELTA</stp>
        <stp>[Pricing File.xlsm]TotalReturnPricing!R363C8</stp>
        <tr r="H363" s="2"/>
      </tp>
      <tp t="s">
        <v>#N/A Field Not Applicable</v>
        <stp/>
        <stp>##V3_BDPV12</stp>
        <stp>RAD Equity</stp>
        <stp>OPT_DELTA</stp>
        <stp>[Pricing File.xlsm]TotalReturnPricing!R144C8</stp>
        <tr r="H144" s="2"/>
      </tp>
      <tp t="s">
        <v>#N/A Field Not Applicable</v>
        <stp/>
        <stp>##V3_BDPV12</stp>
        <stp>TIF Equity</stp>
        <stp>OPT_DELTA</stp>
        <stp>[Pricing File.xlsm]TotalReturnPricing!R686C8</stp>
        <tr r="H686" s="2"/>
      </tp>
      <tp t="s">
        <v>#N/A Field Not Applicable</v>
        <stp/>
        <stp>##V3_BDPV12</stp>
        <stp>UNG Equity</stp>
        <stp>OPT_DELTA</stp>
        <stp>[Pricing File.xlsm]TotalReturnPricing!R187C8</stp>
        <tr r="H187" s="2"/>
      </tp>
      <tp t="s">
        <v>#N/A Field Not Applicable</v>
        <stp/>
        <stp>##V3_BDPV12</stp>
        <stp>UMC Equity</stp>
        <stp>OPT_DELTA</stp>
        <stp>[Pricing File.xlsm]TotalReturnPricing!R143C8</stp>
        <tr r="H143" s="2"/>
      </tp>
      <tp t="s">
        <v>#N/A Field Not Applicable</v>
        <stp/>
        <stp>##V3_BDPV12</stp>
        <stp>SYF Equity</stp>
        <stp>OPT_DELTA</stp>
        <stp>[Pricing File.xlsm]TotalReturnPricing!R406C8</stp>
        <tr r="H406" s="2"/>
      </tp>
      <tp t="s">
        <v>#N/A Field Not Applicable</v>
        <stp/>
        <stp>##V3_BDPV12</stp>
        <stp>SCI Equity</stp>
        <stp>OPT_DELTA</stp>
        <stp>[Pricing File.xlsm]TotalReturnPricing!R439C8</stp>
        <tr r="H439" s="2"/>
      </tp>
      <tp t="s">
        <v>#N/A Field Not Applicable</v>
        <stp/>
        <stp>##V3_BDPV12</stp>
        <stp>USG Equity</stp>
        <stp>OPT_DELTA</stp>
        <stp>[Pricing File.xlsm]TotalReturnPricing!R387C8</stp>
        <tr r="H387" s="2"/>
      </tp>
      <tp t="s">
        <v>#N/A Field Not Applicable</v>
        <stp/>
        <stp>##V3_BDPV12</stp>
        <stp>SIG Equity</stp>
        <stp>OPT_DELTA</stp>
        <stp>[Pricing File.xlsm]TotalReturnPricing!R597C8</stp>
        <tr r="H597" s="2"/>
      </tp>
      <tp t="s">
        <v>#N/A Field Not Applicable</v>
        <stp/>
        <stp>##V3_BDPV12</stp>
        <stp>PJC Equity</stp>
        <stp>OPT_DELTA</stp>
        <stp>[Pricing File.xlsm]TotalReturnPricing!R603C8</stp>
        <tr r="H603" s="2"/>
      </tp>
      <tp t="s">
        <v>#N/A Field Not Applicable</v>
        <stp/>
        <stp>##V3_BDPV12</stp>
        <stp>CYD Equity</stp>
        <stp>OPT_DELTA</stp>
        <stp>[Pricing File.xlsm]TotalReturnPricing!R344C8</stp>
        <tr r="H344" s="2"/>
      </tp>
      <tp t="s">
        <v>#N/A Field Not Applicable</v>
        <stp/>
        <stp>##V3_BDPV12</stp>
        <stp>ABB Equity</stp>
        <stp>OPT_DELTA</stp>
        <stp>[Pricing File.xlsm]TotalReturnPricing!R112C8</stp>
        <tr r="H112" s="2"/>
      </tp>
      <tp t="s">
        <v>#N/A Field Not Applicable</v>
        <stp/>
        <stp>##V3_BDPV12</stp>
        <stp>ABC Equity</stp>
        <stp>OPT_DELTA</stp>
        <stp>[Pricing File.xlsm]TotalReturnPricing!R113C8</stp>
        <tr r="H113" s="2"/>
      </tp>
      <tp t="s">
        <v>#N/A Field Not Applicable</v>
        <stp/>
        <stp>##V3_BDPV12</stp>
        <stp>BKD Equity</stp>
        <stp>OPT_DELTA</stp>
        <stp>[Pricing File.xlsm]TotalReturnPricing!R264C8</stp>
        <tr r="H264" s="2"/>
      </tp>
      <tp t="s">
        <v>#N/A Field Not Applicable</v>
        <stp/>
        <stp>##V3_BDPV12</stp>
        <stp>CYH Equity</stp>
        <stp>OPT_DELTA</stp>
        <stp>[Pricing File.xlsm]TotalReturnPricing!R198C8</stp>
        <tr r="H198" s="2"/>
      </tp>
      <tp t="s">
        <v>#N/A Field Not Applicable</v>
        <stp/>
        <stp>##V3_BDPV12</stp>
        <stp>COF Equity</stp>
        <stp>OPT_DELTA</stp>
        <stp>[Pricing File.xlsm]TotalReturnPricing!R666C8</stp>
        <tr r="H666" s="2"/>
      </tp>
      <tp t="s">
        <v>#N/A Field Not Applicable</v>
        <stp/>
        <stp>##V3_BDPV12</stp>
        <stp>LII Equity</stp>
        <stp>OPT_DELTA</stp>
        <stp>[Pricing File.xlsm]TotalReturnPricing!R829C8</stp>
        <tr r="H829" s="2"/>
      </tp>
      <tp t="s">
        <v>#N/A Field Not Applicable</v>
        <stp/>
        <stp>##V3_BDPV12</stp>
        <stp>NNI Equity</stp>
        <stp>OPT_DELTA</stp>
        <stp>[Pricing File.xlsm]TotalReturnPricing!R529C8</stp>
        <tr r="H529" s="2"/>
      </tp>
      <tp t="s">
        <v>#N/A Field Not Applicable</v>
        <stp/>
        <stp>##V3_BDPV12</stp>
        <stp>MTB Equity</stp>
        <stp>OPT_DELTA</stp>
        <stp>[Pricing File.xlsm]TotalReturnPricing!R752C8</stp>
        <tr r="H752" s="2"/>
      </tp>
      <tp t="s">
        <v>#N/A Field Not Applicable</v>
        <stp/>
        <stp>##V3_BDPV12</stp>
        <stp>LAD Equity</stp>
        <stp>OPT_DELTA</stp>
        <stp>[Pricing File.xlsm]TotalReturnPricing!R694C8</stp>
        <tr r="H694" s="2"/>
      </tp>
      <tp t="s">
        <v>#N/A Field Not Applicable</v>
        <stp/>
        <stp>##V3_BDPV12</stp>
        <stp>DDE Equity</stp>
        <stp>OPT_DELTA</stp>
        <stp>[Pricing File.xlsm]TotalReturnPricing!R825C8</stp>
        <tr r="H825" s="2"/>
      </tp>
      <tp>
        <v>22.46</v>
        <stp/>
        <stp>##V3_BDPV12</stp>
        <stp>SRDX Equity</stp>
        <stp>Px Last</stp>
        <stp>[Pricing File.xlsm]TotalReturnPricing!R383C5</stp>
        <tr r="E383" s="2"/>
      </tp>
      <tp>
        <v>11.01</v>
        <stp/>
        <stp>##V3_BDPV12</stp>
        <stp>MYGN Equity</stp>
        <stp>Px Last</stp>
        <stp>[Pricing File.xlsm]TotalReturnPricing!R358C5</stp>
        <tr r="E358" s="2"/>
      </tp>
      <tp t="s">
        <v>#N/A Field Not Applicable</v>
        <stp/>
        <stp>##V3_BDPV12</stp>
        <stp>VLRS Equity</stp>
        <stp>OPT_DELTA</stp>
        <stp>[Pricing File.xlsm]TotalReturnPricing!R258C8</stp>
        <tr r="H258" s="2"/>
      </tp>
      <tp t="s">
        <v>#N/A Field Not Applicable</v>
        <stp/>
        <stp>##V3_BDPV12</stp>
        <stp>VRTS Equity</stp>
        <stp>OPT_DELTA</stp>
        <stp>[Pricing File.xlsm]TotalReturnPricing!R718C8</stp>
        <tr r="H718" s="2"/>
      </tp>
      <tp>
        <v>42.5</v>
        <stp/>
        <stp>##V3_BDPV12</stp>
        <stp>MXIM Equity</stp>
        <stp>Px Last</stp>
        <stp>[Pricing File.xlsm]TotalReturnPricing!R509C5</stp>
        <tr r="E509" s="2"/>
      </tp>
      <tp>
        <v>40.01</v>
        <stp/>
        <stp>##V3_BDPV12</stp>
        <stp>EMN Equity</stp>
        <stp>Px Last</stp>
        <stp>[Pricing File.xlsm]TotalReturnPricing!R667C5</stp>
        <tr r="E667" s="2"/>
      </tp>
      <tp>
        <v>70.400000000000006</v>
        <stp/>
        <stp>##V3_BDPV12</stp>
        <stp>AMN Equity</stp>
        <stp>Px Last</stp>
        <stp>[Pricing File.xlsm]TotalReturnPricing!R463C5</stp>
        <tr r="E463" s="2"/>
      </tp>
      <tp>
        <v>148.54</v>
        <stp/>
        <stp>##V3_BDPV12</stp>
        <stp>CME Equity</stp>
        <stp>Px Last</stp>
        <stp>[Pricing File.xlsm]TotalReturnPricing!R721C5</stp>
        <tr r="E721" s="2"/>
      </tp>
      <tp>
        <v>202.75</v>
        <stp/>
        <stp>##V3_BDPV12</stp>
        <stp>AMT Equity</stp>
        <stp>Px Last</stp>
        <stp>[Pricing File.xlsm]TotalReturnPricing!R733C5</stp>
        <tr r="E733" s="2"/>
      </tp>
      <tp>
        <v>26.08</v>
        <stp/>
        <stp>##V3_BDPV12</stp>
        <stp>COP Equity</stp>
        <stp>Px Last</stp>
        <stp>[Pricing File.xlsm]TotalReturnPricing!R501C5</stp>
        <tr r="E501" s="2"/>
      </tp>
      <tp>
        <v>10.32</v>
        <stp/>
        <stp>##V3_BDPV12</stp>
        <stp>CNQ Equity</stp>
        <stp>Px Last</stp>
        <stp>[Pricing File.xlsm]TotalReturnPricing!R411C5</stp>
        <tr r="E411" s="2"/>
      </tp>
      <tp t="s">
        <v>#N/A N/A</v>
        <stp/>
        <stp>##V3_BDPV12</stp>
        <stp>BKS Equity</stp>
        <stp>Px Last</stp>
        <stp>[Pricing File.xlsm]TotalReturnPricing!R210C5</stp>
        <tr r="E210" s="2"/>
      </tp>
      <tp>
        <v>90.49</v>
        <stp/>
        <stp>##V3_BDPV12</stp>
        <stp>FDX Equity</stp>
        <stp>Px Last</stp>
        <stp>[Pricing File.xlsm]TotalReturnPricing!R774C5</stp>
        <tr r="E774" s="2"/>
      </tp>
      <tp>
        <v>44.22</v>
        <stp/>
        <stp>##V3_BDPV12</stp>
        <stp>CAH Equity</stp>
        <stp>Px Last</stp>
        <stp>[Pricing File.xlsm]TotalReturnPricing!R641C5</stp>
        <tr r="E641" s="2"/>
      </tp>
      <tp>
        <v>0.4405</v>
        <stp/>
        <stp>##V3_BDPV12</stp>
        <stp>CBL Equity</stp>
        <stp>Px Last</stp>
        <stp>[Pricing File.xlsm]TotalReturnPricing!R221C5</stp>
        <tr r="E221" s="2"/>
      </tp>
      <tp>
        <v>80.5</v>
        <stp/>
        <stp>##V3_BDPV12</stp>
        <stp>ABC Equity</stp>
        <stp>Px Last</stp>
        <stp>[Pricing File.xlsm]TotalReturnPricing!R113C5</stp>
        <tr r="E113" s="2"/>
      </tp>
      <tp>
        <v>57.3</v>
        <stp/>
        <stp>##V3_BDPV12</stp>
        <stp>BBY Equity</stp>
        <stp>Px Last</stp>
        <stp>[Pricing File.xlsm]TotalReturnPricing!R570C5</stp>
        <tr r="E570" s="2"/>
      </tp>
      <tp>
        <v>35.81</v>
        <stp/>
        <stp>##V3_BDPV12</stp>
        <stp>DAL Equity</stp>
        <stp>Px Ask</stp>
        <stp>[Pricing File.xlsm]TotalReturnPricing!R66C7</stp>
        <tr r="G66" s="2"/>
      </tp>
      <tp>
        <v>85.87</v>
        <stp/>
        <stp>##V3_BDPV12</stp>
        <stp>AXP Equity</stp>
        <stp>Px Last</stp>
        <stp>[Pricing File.xlsm]TotalReturnPricing!R663C5</stp>
        <tr r="E663" s="2"/>
      </tp>
      <tp>
        <v>13.78</v>
        <stp/>
        <stp>##V3_BDPV12</stp>
        <stp>ERI Equity</stp>
        <stp>Px Last</stp>
        <stp>[Pricing File.xlsm]TotalReturnPricing!R327C5</stp>
        <tr r="E327" s="2"/>
      </tp>
      <tp>
        <v>7.55</v>
        <stp/>
        <stp>##V3_BDPV12</stp>
        <stp>KRO Equity</stp>
        <stp>Px Last</stp>
        <stp>[Pricing File.xlsm]TotalReturnPricing!R329C5</stp>
        <tr r="E329" s="2"/>
      </tp>
      <tp>
        <v>152.01</v>
        <stp/>
        <stp>##V3_BDPV12</stp>
        <stp>V Equity</stp>
        <stp>Px Ask</stp>
        <stp>[Pricing File.xlsm]TotalReturnPricing!R690C7</stp>
        <tr r="G690" s="2"/>
      </tp>
      <tp t="s">
        <v>#N/A Field Not Applicable</v>
        <stp/>
        <stp>##V3_BDPV12</stp>
        <stp>ALLY Equity</stp>
        <stp>OPT_DELTA</stp>
        <stp>[Pricing File.xlsm]TotalReturnPricing!R353C8</stp>
        <tr r="H353" s="2"/>
      </tp>
      <tp>
        <v>0.10920000000000001</v>
        <stp/>
        <stp>##V3_BDPV12</stp>
        <stp>HUSA Equity</stp>
        <stp>Px Last</stp>
        <stp>[Pricing File.xlsm]TotalReturnPricing!R125C5</stp>
        <tr r="E125" s="2"/>
      </tp>
      <tp t="s">
        <v>#N/A Field Not Applicable</v>
        <stp/>
        <stp>##V3_BDPV12</stp>
        <stp>BIOS Equity</stp>
        <stp>OPT_DELTA</stp>
        <stp>[Pricing File.xlsm]TotalReturnPricing!R149C8</stp>
        <tr r="H149" s="2"/>
      </tp>
      <tp t="s">
        <v>#N/A Field Not Applicable</v>
        <stp/>
        <stp>##V3_BDPV12</stp>
        <stp>CRUS Equity</stp>
        <stp>OPT_DELTA</stp>
        <stp>[Pricing File.xlsm]TotalReturnPricing!R599C8</stp>
        <tr r="H599" s="2"/>
      </tp>
      <tp t="s">
        <v>#N/A Field Not Applicable</v>
        <stp/>
        <stp>##V3_BDPV12</stp>
        <stp>FCFS Equity</stp>
        <stp>OPT_DELTA</stp>
        <stp>[Pricing File.xlsm]TotalReturnPricing!R579C8</stp>
        <tr r="H579" s="2"/>
      </tp>
      <tp t="s">
        <v>#N/A Field Not Applicable</v>
        <stp/>
        <stp>##V3_BDPV12</stp>
        <stp>HUBS Equity</stp>
        <stp>OPT_DELTA</stp>
        <stp>[Pricing File.xlsm]TotalReturnPricing!R629C8</stp>
        <tr r="H629" s="2"/>
      </tp>
      <tp t="s">
        <v>#N/A Field Not Applicable</v>
        <stp/>
        <stp>##V3_BDPV12</stp>
        <stp>LTRX Equity</stp>
        <stp>OPT_DELTA</stp>
        <stp>[Pricing File.xlsm]TotalReturnPricing!R142C8</stp>
        <tr r="H142" s="2"/>
      </tp>
      <tp t="s">
        <v>#N/A Field Not Applicable</v>
        <stp/>
        <stp>##V3_BDPV12</stp>
        <stp>LSTR Equity</stp>
        <stp>OPT_DELTA</stp>
        <stp>[Pricing File.xlsm]TotalReturnPricing!R658C8</stp>
        <tr r="H658" s="2"/>
      </tp>
      <tp t="s">
        <v>#N/A Field Not Applicable</v>
        <stp/>
        <stp>##V3_BDPV12</stp>
        <stp>MKTX Equity</stp>
        <stp>OPT_DELTA</stp>
        <stp>[Pricing File.xlsm]TotalReturnPricing!R772C8</stp>
        <tr r="H772" s="2"/>
      </tp>
      <tp>
        <v>202.51</v>
        <stp/>
        <stp>##V3_BDPV12</stp>
        <stp>CTAS Equity</stp>
        <stp>Px Last</stp>
        <stp>[Pricing File.xlsm]TotalReturnPricing!R734C5</stp>
        <tr r="E734" s="2"/>
      </tp>
      <tp t="s">
        <v>#N/A Field Not Applicable</v>
        <stp/>
        <stp>##V3_BDPV12</stp>
        <stp>PCAR Equity</stp>
        <stp>OPT_DELTA</stp>
        <stp>[Pricing File.xlsm]TotalReturnPricing!R618C8</stp>
        <tr r="H618" s="2"/>
      </tp>
      <tp t="s">
        <v>#N/A Field Not Applicable</v>
        <stp/>
        <stp>##V3_BDPV12</stp>
        <stp>PAYX Equity</stp>
        <stp>OPT_DELTA</stp>
        <stp>[Pricing File.xlsm]TotalReturnPricing!R582C8</stp>
        <tr r="H582" s="2"/>
      </tp>
      <tp t="s">
        <v>#N/A Field Not Applicable</v>
        <stp/>
        <stp>##V3_BDPV12</stp>
        <stp>PRTY Equity</stp>
        <stp>OPT_DELTA</stp>
        <stp>[Pricing File.xlsm]TotalReturnPricing!R263C8</stp>
        <tr r="H263" s="2"/>
      </tp>
      <tp>
        <v>67.36</v>
        <stp/>
        <stp>##V3_BDPV12</stp>
        <stp>TSCO Equity</stp>
        <stp>Px Last</stp>
        <stp>[Pricing File.xlsm]TotalReturnPricing!R573C5</stp>
        <tr r="E573" s="2"/>
      </tp>
      <tp t="s">
        <v>#N/A Field Not Applicable</v>
        <stp/>
        <stp>##V3_BDPV12</stp>
        <stp>SNPS Equity</stp>
        <stp>OPT_DELTA</stp>
        <stp>[Pricing File.xlsm]TotalReturnPricing!R639C8</stp>
        <tr r="H639" s="2"/>
      </tp>
      <tp t="s">
        <v>#N/A Field Not Applicable</v>
        <stp/>
        <stp>##V3_BDPV12</stp>
        <stp>STAY Equity</stp>
        <stp>OPT_DELTA</stp>
        <stp>[Pricing File.xlsm]TotalReturnPricing!R823C8</stp>
        <tr r="H823" s="2"/>
      </tp>
      <tp t="s">
        <v>#N/A Field Not Applicable</v>
        <stp/>
        <stp>##V3_BDPV12</stp>
        <stp>USB Equity</stp>
        <stp>OPT_DELTA</stp>
        <stp>[Pricing File.xlsm]TotalReturnPricing!R553C8</stp>
        <tr r="H553" s="2"/>
      </tp>
      <tp t="s">
        <v>#N/A Field Not Applicable</v>
        <stp/>
        <stp>##V3_BDPV12</stp>
        <stp>PBF Equity</stp>
        <stp>OPT_DELTA</stp>
        <stp>[Pricing File.xlsm]TotalReturnPricing!R347C8</stp>
        <tr r="H347" s="2"/>
      </tp>
      <tp t="s">
        <v>#N/A Field Not Applicable</v>
        <stp/>
        <stp>##V3_BDPV12</stp>
        <stp>SMH Equity</stp>
        <stp>OPT_DELTA</stp>
        <stp>[Pricing File.xlsm]TotalReturnPricing!R669C8</stp>
        <tr r="H669" s="2"/>
      </tp>
      <tp t="s">
        <v>#N/A Field Not Applicable</v>
        <stp/>
        <stp>##V3_BDPV12</stp>
        <stp>VSH Equity</stp>
        <stp>OPT_DELTA</stp>
        <stp>[Pricing File.xlsm]TotalReturnPricing!R299C8</stp>
        <tr r="H299" s="2"/>
      </tp>
      <tp t="s">
        <v>#N/A Field Not Applicable</v>
        <stp/>
        <stp>##V3_BDPV12</stp>
        <stp>PXD Equity</stp>
        <stp>OPT_DELTA</stp>
        <stp>[Pricing File.xlsm]TotalReturnPricing!R755C8</stp>
        <tr r="H755" s="2"/>
      </tp>
      <tp t="s">
        <v>#N/A Field Not Applicable</v>
        <stp/>
        <stp>##V3_BDPV12</stp>
        <stp>BAC Equity</stp>
        <stp>OPT_DELTA</stp>
        <stp>[Pricing File.xlsm]TotalReturnPricing!R362C8</stp>
        <tr r="H362" s="2"/>
      </tp>
      <tp t="s">
        <v>#N/A Field Not Applicable</v>
        <stp/>
        <stp>##V3_BDPV12</stp>
        <stp>FMC Equity</stp>
        <stp>OPT_DELTA</stp>
        <stp>[Pricing File.xlsm]TotalReturnPricing!R642C8</stp>
        <tr r="H642" s="2"/>
      </tp>
      <tp t="s">
        <v>#N/A Field Not Applicable</v>
        <stp/>
        <stp>##V3_BDPV12</stp>
        <stp>BKD Equity</stp>
        <stp>OPT_DELTA</stp>
        <stp>[Pricing File.xlsm]TotalReturnPricing!R265C8</stp>
        <tr r="H265" s="2"/>
      </tp>
      <tp t="s">
        <v>#N/A Field Not Applicable</v>
        <stp/>
        <stp>##V3_BDPV12</stp>
        <stp>CYH Equity</stp>
        <stp>OPT_DELTA</stp>
        <stp>[Pricing File.xlsm]TotalReturnPricing!R199C8</stp>
        <tr r="H199" s="2"/>
      </tp>
      <tp t="s">
        <v>#N/A Field Not Applicable</v>
        <stp/>
        <stp>##V3_BDPV12</stp>
        <stp>TUES Equity</stp>
        <stp>OPT_DELTA</stp>
        <stp>[Pricing File.xlsm]TotalReturnPricing!R139C8</stp>
        <tr r="H139" s="2"/>
      </tp>
      <tp t="s">
        <v>#N/A Field Not Applicable</v>
        <stp/>
        <stp>##V3_BDPV12</stp>
        <stp>ERI Equity</stp>
        <stp>OPT_DELTA</stp>
        <stp>[Pricing File.xlsm]TotalReturnPricing!R328C8</stp>
        <tr r="H328" s="2"/>
      </tp>
      <tp t="s">
        <v>#N/A Field Not Applicable</v>
        <stp/>
        <stp>##V3_BDPV12</stp>
        <stp>CNA Equity</stp>
        <stp>OPT_DELTA</stp>
        <stp>[Pricing File.xlsm]TotalReturnPricing!R530C8</stp>
        <tr r="H530" s="2"/>
      </tp>
      <tp t="s">
        <v>#N/A Field Not Applicable</v>
        <stp/>
        <stp>##V3_BDPV12</stp>
        <stp>NSC Equity</stp>
        <stp>OPT_DELTA</stp>
        <stp>[Pricing File.xlsm]TotalReturnPricing!R712C8</stp>
        <tr r="H712" s="2"/>
      </tp>
      <tp t="s">
        <v>#N/A Field Not Applicable</v>
        <stp/>
        <stp>##V3_BDPV12</stp>
        <stp>MOH Equity</stp>
        <stp>OPT_DELTA</stp>
        <stp>[Pricing File.xlsm]TotalReturnPricing!R619C8</stp>
        <tr r="H619" s="2"/>
      </tp>
      <tp t="s">
        <v>#N/A Field Not Applicable</v>
        <stp/>
        <stp>##V3_BDPV12</stp>
        <stp>HRI Equity</stp>
        <stp>OPT_DELTA</stp>
        <stp>[Pricing File.xlsm]TotalReturnPricing!R518C8</stp>
        <tr r="H518" s="2"/>
      </tp>
      <tp t="s">
        <v>#N/A N/A</v>
        <stp/>
        <stp>##V3_BDPV12</stp>
        <stp>TPGH Equity</stp>
        <stp>Px Last</stp>
        <stp>[Pricing File.xlsm]TotalReturnPricing!R840C5</stp>
        <tr r="E840" s="2"/>
      </tp>
      <tp>
        <v>168.7</v>
        <stp/>
        <stp>##V3_BDPV12</stp>
        <stp>OTB LN Equity</stp>
        <stp>Px Bid</stp>
        <stp>[Pricing File.xlsm]TotalReturnPricing!R784C6</stp>
        <tr r="F784" s="2"/>
      </tp>
      <tp>
        <v>15.25</v>
        <stp/>
        <stp>##V3_BDPV12</stp>
        <stp>LIF CN Equity</stp>
        <stp>Px Bid</stp>
        <stp>[Pricing File.xlsm]TotalReturnPricing!R290C6</stp>
        <tr r="F290" s="2"/>
      </tp>
      <tp>
        <v>0.95</v>
        <stp/>
        <stp>##V3_BDPV12</stp>
        <stp>GPOR Equity</stp>
        <stp>Px Last</stp>
        <stp>[Pricing File.xlsm]TotalReturnPricing!R260C5</stp>
        <tr r="E260" s="2"/>
      </tp>
      <tp>
        <v>5972</v>
        <stp/>
        <stp>##V3_BDPV12</stp>
        <stp>MAERSKB DC Equity</stp>
        <stp>Px Last</stp>
        <stp>[Pricing File.xlsm]TotalReturnPricing!R78C5</stp>
        <tr r="E78" s="2"/>
      </tp>
      <tp>
        <v>9.9499999999999993</v>
        <stp/>
        <stp>##V3_BDPV12</stp>
        <stp>MOS Equity</stp>
        <stp>Px Last</stp>
        <stp>[Pricing File.xlsm]TotalReturnPricing!R360C5</stp>
        <tr r="E360" s="2"/>
      </tp>
      <tp>
        <v>49.61</v>
        <stp/>
        <stp>##V3_BDPV12</stp>
        <stp>H Equity</stp>
        <stp>Px Last</stp>
        <stp>[Pricing File.xlsm]TotalReturnPricing!R563C5</stp>
        <tr r="E563" s="2"/>
      </tp>
      <tp>
        <v>1.04</v>
        <stp/>
        <stp>##V3_BDPV12</stp>
        <stp>EGY Equity</stp>
        <stp>Px Last</stp>
        <stp>[Pricing File.xlsm]TotalReturnPricing!R128C5</stp>
        <tr r="E128" s="2"/>
      </tp>
      <tp>
        <v>1.4204000000000001</v>
        <stp/>
        <stp>##V3_BDPV12</stp>
        <stp>SGD Curncy</stp>
        <stp>Px Bid</stp>
        <stp>[Pricing File.xlsm]TotalReturnPricing!R85C6</stp>
        <tr r="F85" s="2"/>
      </tp>
      <tp>
        <v>40.11</v>
        <stp/>
        <stp>##V3_BDPV12</stp>
        <stp>HXL Equity</stp>
        <stp>Px Last</stp>
        <stp>[Pricing File.xlsm]TotalReturnPricing!R545C5</stp>
        <tr r="E545" s="2"/>
      </tp>
      <tp>
        <v>6.6917999999999997</v>
        <stp/>
        <stp>##V3_BDPV12</stp>
        <stp>DKK Curncy</stp>
        <stp>Px Ask</stp>
        <stp>[Pricing File.xlsm]TotalReturnPricing!R79C7</stp>
        <tr r="G79" s="2"/>
      </tp>
      <tp>
        <v>136.33000000000001</v>
        <stp/>
        <stp>##V3_BDPV12</stp>
        <stp>ISK Curncy</stp>
        <stp>Px Ask</stp>
        <stp>[Pricing File.xlsm]TotalReturnPricing!R89C7</stp>
        <tr r="G89" s="2"/>
      </tp>
      <tp>
        <v>7.57</v>
        <stp/>
        <stp>##V3_BDPV12</stp>
        <stp>DVN Equity</stp>
        <stp>Px Last</stp>
        <stp>[Pricing File.xlsm]TotalReturnPricing!R429C5</stp>
        <tr r="E429" s="2"/>
      </tp>
      <tp>
        <v>37.963999999999999</v>
        <stp/>
        <stp>##V3_BDPV12</stp>
        <stp>NTDOY Equity</stp>
        <stp>Px Last</stp>
        <stp>[Pricing File.xlsm]TotalReturnPricing!R97C5</stp>
        <tr r="E97" s="2"/>
      </tp>
      <tp>
        <v>1.7</v>
        <stp/>
        <stp>##V3_BDPV12</stp>
        <stp>OPK Equity</stp>
        <stp>Px Last</stp>
        <stp>[Pricing File.xlsm]TotalReturnPricing!R182C5</stp>
        <tr r="E182" s="2"/>
      </tp>
      <tp>
        <v>1.1000000000000001</v>
        <stp/>
        <stp>##V3_BDPV12</stp>
        <stp>HTZ 210115C00013000 Equity</stp>
        <stp>Px Last</stp>
        <stp>[Pricing File.xlsm]TotalReturnPricing!R906C5</stp>
        <tr r="E906" s="2"/>
      </tp>
      <tp>
        <v>19.71</v>
        <stp/>
        <stp>##V3_BDPV12</stp>
        <stp>KSS Equity</stp>
        <stp>Px Last</stp>
        <stp>[Pricing File.xlsm]TotalReturnPricing!R486C5</stp>
        <tr r="E486" s="2"/>
      </tp>
      <tp>
        <v>10.09</v>
        <stp/>
        <stp>##V3_BDPV12</stp>
        <stp>HTZ 200417P00018000 Equity</stp>
        <stp>Px Last</stp>
        <stp>[Pricing File.xlsm]TotalReturnPricing!R876C5</stp>
        <tr r="E876" s="2"/>
      </tp>
      <tp>
        <v>13.78</v>
        <stp/>
        <stp>##V3_BDPV12</stp>
        <stp>ERI Equity</stp>
        <stp>Px Last</stp>
        <stp>[Pricing File.xlsm]TotalReturnPricing!R328C5</stp>
        <tr r="E328" s="2"/>
      </tp>
      <tp t="s">
        <v>#N/A Field Not Applicable</v>
        <stp/>
        <stp>##V3_BDPV12</stp>
        <stp>ACLS Equity</stp>
        <stp>OPT_DELTA</stp>
        <stp>[Pricing File.xlsm]TotalReturnPricing!R116C8</stp>
        <tr r="H116" s="2"/>
      </tp>
      <tp t="s">
        <v>#N/A Field Not Applicable</v>
        <stp/>
        <stp>##V3_BDPV12</stp>
        <stp>ASYS Equity</stp>
        <stp>OPT_DELTA</stp>
        <stp>[Pricing File.xlsm]TotalReturnPricing!R216C8</stp>
        <tr r="H216" s="2"/>
      </tp>
      <tp t="s">
        <v>#N/A Field Not Applicable</v>
        <stp/>
        <stp>##V3_BDPV12</stp>
        <stp>AXAS Equity</stp>
        <stp>OPT_DELTA</stp>
        <stp>[Pricing File.xlsm]TotalReturnPricing!R136C8</stp>
        <tr r="H136" s="2"/>
      </tp>
      <tp t="s">
        <v>#N/A Field Not Applicable</v>
        <stp/>
        <stp>##V3_BDPV12</stp>
        <stp>BGFV Equity</stp>
        <stp>OPT_DELTA</stp>
        <stp>[Pricing File.xlsm]TotalReturnPricing!R233C8</stp>
        <tr r="H233" s="2"/>
      </tp>
      <tp>
        <v>1.9</v>
        <stp/>
        <stp>##V3_BDPV12</stp>
        <stp>AXTI Equity</stp>
        <stp>Px Last</stp>
        <stp>[Pricing File.xlsm]TotalReturnPricing!R217C5</stp>
        <tr r="E217" s="2"/>
      </tp>
      <tp t="s">
        <v>#N/A Field Not Applicable</v>
        <stp/>
        <stp>##V3_BDPV12</stp>
        <stp>EGHT Equity</stp>
        <stp>OPT_DELTA</stp>
        <stp>[Pricing File.xlsm]TotalReturnPricing!R271C8</stp>
        <tr r="H271" s="2"/>
      </tp>
      <tp t="s">
        <v>#N/A Field Not Applicable</v>
        <stp/>
        <stp>##V3_BDPV12</stp>
        <stp>JBLU Equity</stp>
        <stp>OPT_DELTA</stp>
        <stp>[Pricing File.xlsm]TotalReturnPricing!R340C8</stp>
        <tr r="H340" s="2"/>
      </tp>
      <tp t="s">
        <v>#N/A Field Not Applicable</v>
        <stp/>
        <stp>##V3_BDPV12</stp>
        <stp>NDAQ Equity</stp>
        <stp>OPT_DELTA</stp>
        <stp>[Pricing File.xlsm]TotalReturnPricing!R634C8</stp>
        <tr r="H634" s="2"/>
      </tp>
      <tp t="s">
        <v>#N/A Field Not Applicable</v>
        <stp/>
        <stp>##V3_BDPV12</stp>
        <stp>PAGP Equity</stp>
        <stp>OPT_DELTA</stp>
        <stp>[Pricing File.xlsm]TotalReturnPricing!R385C8</stp>
        <tr r="H385" s="2"/>
      </tp>
      <tp t="s">
        <v>#N/A Field Not Applicable</v>
        <stp/>
        <stp>##V3_BDPV12</stp>
        <stp>PBCT Equity</stp>
        <stp>OPT_DELTA</stp>
        <stp>[Pricing File.xlsm]TotalReturnPricing!R301C8</stp>
        <tr r="H301" s="2"/>
      </tp>
      <tp>
        <v>17</v>
        <stp/>
        <stp>##V3_BDPV12</stp>
        <stp>LYFT 200717P00065000 Equity</stp>
        <stp>Px Last</stp>
        <stp>[Pricing File.xlsm]TotalReturnPricing!R895C5</stp>
        <tr r="E895" s="2"/>
      </tp>
      <tp t="s">
        <v>#N/A Field Not Applicable</v>
        <stp/>
        <stp>##V3_BDPV12</stp>
        <stp>QNST Equity</stp>
        <stp>OPT_DELTA</stp>
        <stp>[Pricing File.xlsm]TotalReturnPricing!R821C8</stp>
        <tr r="H821" s="2"/>
      </tp>
      <tp t="s">
        <v>#N/A Field Not Applicable</v>
        <stp/>
        <stp>##V3_BDPV12</stp>
        <stp>RCMT Equity</stp>
        <stp>OPT_DELTA</stp>
        <stp>[Pricing File.xlsm]TotalReturnPricing!R171C8</stp>
        <tr r="H171" s="2"/>
      </tp>
      <tp t="s">
        <v>#N/A Field Not Applicable</v>
        <stp/>
        <stp>##V3_BDPV12</stp>
        <stp>SERV Equity</stp>
        <stp>OPT_DELTA</stp>
        <stp>[Pricing File.xlsm]TotalReturnPricing!R483C8</stp>
        <tr r="H483" s="2"/>
      </tp>
      <tp t="s">
        <v>#N/A Field Not Applicable</v>
        <stp/>
        <stp>##V3_BDPV12</stp>
        <stp>SKYW Equity</stp>
        <stp>OPT_DELTA</stp>
        <stp>[Pricing File.xlsm]TotalReturnPricing!R442C8</stp>
        <tr r="H442" s="2"/>
      </tp>
      <tp>
        <v>1.1299999999999999</v>
        <stp/>
        <stp>##V3_BDPV12</stp>
        <stp>LYFT 210115C00045000 Equity</stp>
        <stp>Px Last</stp>
        <stp>[Pricing File.xlsm]TotalReturnPricing!R915C5</stp>
        <tr r="E915" s="2"/>
      </tp>
      <tp t="s">
        <v>#N/A Field Not Applicable</v>
        <stp/>
        <stp>##V3_BDPV12</stp>
        <stp>VMI Equity</stp>
        <stp>OPT_DELTA</stp>
        <stp>[Pricing File.xlsm]TotalReturnPricing!R747C8</stp>
        <tr r="H747" s="2"/>
      </tp>
      <tp t="s">
        <v>#N/A Field Not Applicable</v>
        <stp/>
        <stp>##V3_BDPV12</stp>
        <stp>TRN Equity</stp>
        <stp>OPT_DELTA</stp>
        <stp>[Pricing File.xlsm]TotalReturnPricing!R390C8</stp>
        <tr r="H390" s="2"/>
      </tp>
      <tp t="s">
        <v>#N/A Field Not Applicable</v>
        <stp/>
        <stp>##V3_BDPV12</stp>
        <stp>XPO Equity</stp>
        <stp>OPT_DELTA</stp>
        <stp>[Pricing File.xlsm]TotalReturnPricing!R581C8</stp>
        <tr r="H581" s="2"/>
      </tp>
      <tp t="s">
        <v>#N/A Field Not Applicable</v>
        <stp/>
        <stp>##V3_BDPV12</stp>
        <stp>ZEN Equity</stp>
        <stp>OPT_DELTA</stp>
        <stp>[Pricing File.xlsm]TotalReturnPricing!R410C8</stp>
        <tr r="H410" s="2"/>
      </tp>
      <tp t="s">
        <v>#N/A Field Not Applicable</v>
        <stp/>
        <stp>##V3_BDPV12</stp>
        <stp>GPI Equity</stp>
        <stp>OPT_DELTA</stp>
        <stp>[Pricing File.xlsm]TotalReturnPricing!R587C8</stp>
        <tr r="H587" s="2"/>
      </tp>
      <tp t="s">
        <v>#N/A Field Not Applicable</v>
        <stp/>
        <stp>##V3_BDPV12</stp>
        <stp>CRM Equity</stp>
        <stp>OPT_DELTA</stp>
        <stp>[Pricing File.xlsm]TotalReturnPricing!R673C8</stp>
        <tr r="H673" s="2"/>
      </tp>
      <tp t="s">
        <v>#N/A Field Not Applicable</v>
        <stp/>
        <stp>##V3_BDPV12</stp>
        <stp>CMI Equity</stp>
        <stp>OPT_DELTA</stp>
        <stp>[Pricing File.xlsm]TotalReturnPricing!R757C8</stp>
        <tr r="H757" s="2"/>
      </tp>
      <tp t="s">
        <v>#N/A Field Not Applicable</v>
        <stp/>
        <stp>##V3_BDPV12</stp>
        <stp>ERI Equity</stp>
        <stp>OPT_DELTA</stp>
        <stp>[Pricing File.xlsm]TotalReturnPricing!R327C8</stp>
        <tr r="H327" s="2"/>
      </tp>
      <tp t="s">
        <v>#N/A Field Not Applicable</v>
        <stp/>
        <stp>##V3_BDPV12</stp>
        <stp>IHG Equity</stp>
        <stp>OPT_DELTA</stp>
        <stp>[Pricing File.xlsm]TotalReturnPricing!R569C8</stp>
        <tr r="H569" s="2"/>
      </tp>
      <tp>
        <v>0.05</v>
        <stp/>
        <stp>##V3_BDPV12</stp>
        <stp>TRIP 200320C00031500 Equity</stp>
        <stp>Px Last</stp>
        <stp>[Pricing File.xlsm]TotalReturnPricing!R888C5</stp>
        <tr r="E888" s="2"/>
      </tp>
      <tp>
        <v>2.5499999999999998</v>
        <stp/>
        <stp>##V3_BDPV12</stp>
        <stp>TWMC Equity</stp>
        <stp>Px Last</stp>
        <stp>[Pricing File.xlsm]TotalReturnPricing!R138C5</stp>
        <tr r="E138" s="2"/>
      </tp>
      <tp t="s">
        <v>#N/A N/A</v>
        <stp/>
        <stp>##V3_BDPV12</stp>
        <stp>NYNY Equity</stp>
        <stp>Px Last</stp>
        <stp>[Pricing File.xlsm]TotalReturnPricing!R356C5</stp>
        <tr r="E356" s="2"/>
      </tp>
      <tp>
        <v>54.12</v>
        <stp/>
        <stp>##V3_BDPV12</stp>
        <stp>SYNA Equity</stp>
        <stp>Px Last</stp>
        <stp>[Pricing File.xlsm]TotalReturnPricing!R566C5</stp>
        <tr r="E566" s="2"/>
      </tp>
      <tp>
        <v>54.8</v>
        <stp/>
        <stp>##V3_BDPV12</stp>
        <stp>WYNN Equity</stp>
        <stp>Px Last</stp>
        <stp>[Pricing File.xlsm]TotalReturnPricing!R726C5</stp>
        <tr r="E726" s="2"/>
      </tp>
      <tp>
        <v>0.79430000000000001</v>
        <stp/>
        <stp>##V3_BDPV12</stp>
        <stp>NOG Equity</stp>
        <stp>Px Last</stp>
        <stp>[Pricing File.xlsm]TotalReturnPricing!R132C5</stp>
        <tr r="E132" s="2"/>
      </tp>
      <tp>
        <v>49.61</v>
        <stp/>
        <stp>##V3_BDPV12</stp>
        <stp>H Equity</stp>
        <stp>Px Last</stp>
        <stp>[Pricing File.xlsm]TotalReturnPricing!R562C5</stp>
        <tr r="E562" s="2"/>
      </tp>
      <tp>
        <v>7.73</v>
        <stp/>
        <stp>##V3_BDPV12</stp>
        <stp>S Equity</stp>
        <stp>Px Last</stp>
        <stp>[Pricing File.xlsm]TotalReturnPricing!R212C5</stp>
        <tr r="E212" s="2"/>
      </tp>
      <tp>
        <v>0.05</v>
        <stp/>
        <stp>##V3_BDPV12</stp>
        <stp>IGT 200320C00014000 Equity</stp>
        <stp>Px Last</stp>
        <stp>[Pricing File.xlsm]TotalReturnPricing!R875C5</stp>
        <tr r="E875" s="2"/>
      </tp>
      <tp>
        <v>84.45</v>
        <stp/>
        <stp>##V3_BDPV12</stp>
        <stp>HCA Equity</stp>
        <stp>Px Last</stp>
        <stp>[Pricing File.xlsm]TotalReturnPricing!R654C5</stp>
        <tr r="E654" s="2"/>
      </tp>
      <tp>
        <v>1.4000999999999999</v>
        <stp/>
        <stp>##V3_BDPV12</stp>
        <stp>CAD Curncy</stp>
        <stp>Px Bid</stp>
        <stp>[Pricing File.xlsm]TotalReturnPricing!R84C6</stp>
        <tr r="F84" s="2"/>
      </tp>
      <tp>
        <v>53.12</v>
        <stp/>
        <stp>##V3_BDPV12</stp>
        <stp>EXP Equity</stp>
        <stp>Px Last</stp>
        <stp>[Pricing File.xlsm]TotalReturnPricing!R679C5</stp>
        <tr r="E679" s="2"/>
      </tp>
      <tp>
        <v>8.75</v>
        <stp/>
        <stp>##V3_BDPV12</stp>
        <stp>IVZ Equity</stp>
        <stp>Px Last</stp>
        <stp>[Pricing File.xlsm]TotalReturnPricing!R435C5</stp>
        <tr r="E435" s="2"/>
      </tp>
      <tp>
        <v>11.4</v>
        <stp/>
        <stp>##V3_BDPV12</stp>
        <stp>HTZ 210115P00020000 Equity</stp>
        <stp>Px Last</stp>
        <stp>[Pricing File.xlsm]TotalReturnPricing!R887C5</stp>
        <tr r="E887" s="2"/>
      </tp>
      <tp>
        <v>126.44</v>
        <stp/>
        <stp>##V3_BDPV12</stp>
        <stp>NSC Equity</stp>
        <stp>Px Last</stp>
        <stp>[Pricing File.xlsm]TotalReturnPricing!R712C5</stp>
        <tr r="E712" s="2"/>
      </tp>
      <tp>
        <v>114.21</v>
        <stp/>
        <stp>##V3_BDPV12</stp>
        <stp>KSU Equity</stp>
        <stp>Px Last</stp>
        <stp>[Pricing File.xlsm]TotalReturnPricing!R697C5</stp>
        <tr r="E697" s="2"/>
      </tp>
      <tp>
        <v>10</v>
        <stp/>
        <stp>##V3_BDPV12</stp>
        <stp>HTZ 200717P00019000 Equity</stp>
        <stp>Px Last</stp>
        <stp>[Pricing File.xlsm]TotalReturnPricing!R877C5</stp>
        <tr r="E877" s="2"/>
      </tp>
      <tp>
        <v>54.7</v>
        <stp/>
        <stp>##V3_BDPV12</stp>
        <stp>EXPE Equity</stp>
        <stp>Px Last</stp>
        <stp>[Pricing File.xlsm]TotalReturnPricing!R746C5</stp>
        <tr r="E746" s="2"/>
      </tp>
      <tp>
        <v>58.74</v>
        <stp/>
        <stp>##V3_BDPV12</stp>
        <stp>EXPD Equity</stp>
        <stp>Px Last</stp>
        <stp>[Pricing File.xlsm]TotalReturnPricing!R576C5</stp>
        <tr r="E576" s="2"/>
      </tp>
      <tp t="s">
        <v>#N/A Field Not Applicable</v>
        <stp/>
        <stp>##V3_BDPV12</stp>
        <stp>CDNS Equity</stp>
        <stp>OPT_DELTA</stp>
        <stp>[Pricing File.xlsm]TotalReturnPricing!R457C8</stp>
        <tr r="H457" s="2"/>
      </tp>
      <tp t="s">
        <v>#N/A Field Not Applicable</v>
        <stp/>
        <stp>##V3_BDPV12</stp>
        <stp>CSBR Equity</stp>
        <stp>OPT_DELTA</stp>
        <stp>[Pricing File.xlsm]TotalReturnPricing!R146C8</stp>
        <tr r="H146" s="2"/>
      </tp>
      <tp t="s">
        <v>#N/A Field Not Applicable</v>
        <stp/>
        <stp>##V3_BDPV12</stp>
        <stp>CSGS Equity</stp>
        <stp>OPT_DELTA</stp>
        <stp>[Pricing File.xlsm]TotalReturnPricing!R487C8</stp>
        <tr r="H487" s="2"/>
      </tp>
      <tp t="s">
        <v>#N/A Field Not Applicable</v>
        <stp/>
        <stp>##V3_BDPV12</stp>
        <stp>CVRS Equity</stp>
        <stp>OPT_DELTA</stp>
        <stp>[Pricing File.xlsm]TotalReturnPricing!R137C8</stp>
        <tr r="H137" s="2"/>
      </tp>
      <tp t="s">
        <v>#N/A Field Not Applicable</v>
        <stp/>
        <stp>##V3_BDPV12</stp>
        <stp>DOOR Equity</stp>
        <stp>OPT_DELTA</stp>
        <stp>[Pricing File.xlsm]TotalReturnPricing!R646C8</stp>
        <tr r="H646" s="2"/>
      </tp>
      <tp>
        <v>0.45</v>
        <stp/>
        <stp>##V3_BDPV12</stp>
        <stp>EXPE 200717C00120000 Equity</stp>
        <stp>Px Last</stp>
        <stp>[Pricing File.xlsm]TotalReturnPricing!R905C5</stp>
        <tr r="E905" s="2"/>
      </tp>
      <tp t="s">
        <v>#N/A Field Not Applicable</v>
        <stp/>
        <stp>##V3_BDPV12</stp>
        <stp>MSFT Equity</stp>
        <stp>OPT_DELTA</stp>
        <stp>[Pricing File.xlsm]TotalReturnPricing!R630C8</stp>
        <tr r="H630" s="2"/>
      </tp>
      <tp>
        <v>0.12089999999999999</v>
        <stp/>
        <stp>##V3_BDPV12</stp>
        <stp>AXAS Equity</stp>
        <stp>Px Last</stp>
        <stp>[Pricing File.xlsm]TotalReturnPricing!R136C5</stp>
        <tr r="E136" s="2"/>
      </tp>
      <tp>
        <v>28.85</v>
        <stp/>
        <stp>##V3_BDPV12</stp>
        <stp>LYFT 200717P00052500 Equity</stp>
        <stp>Px Last</stp>
        <stp>[Pricing File.xlsm]TotalReturnPricing!R881C5</stp>
        <tr r="E881" s="2"/>
      </tp>
      <tp t="s">
        <v>#N/A Field Not Applicable</v>
        <stp/>
        <stp>##V3_BDPV12</stp>
        <stp>SKYW Equity</stp>
        <stp>OPT_DELTA</stp>
        <stp>[Pricing File.xlsm]TotalReturnPricing!R833C8</stp>
        <tr r="H833" s="2"/>
      </tp>
      <tp t="s">
        <v>#N/A Field Not Applicable</v>
        <stp/>
        <stp>##V3_BDPV12</stp>
        <stp>SSYS Equity</stp>
        <stp>OPT_DELTA</stp>
        <stp>[Pricing File.xlsm]TotalReturnPricing!R367C8</stp>
        <tr r="H367" s="2"/>
      </tp>
      <tp>
        <v>3</v>
        <stp/>
        <stp>##V3_BDPV12</stp>
        <stp>LYFT 210115C00030000 Equity</stp>
        <stp>Px Last</stp>
        <stp>[Pricing File.xlsm]TotalReturnPricing!R914C5</stp>
        <tr r="E914" s="2"/>
      </tp>
      <tp t="s">
        <v>#N/A Field Not Applicable</v>
        <stp/>
        <stp>##V3_BDPV12</stp>
        <stp>XLI Equity</stp>
        <stp>OPT_DELTA</stp>
        <stp>[Pricing File.xlsm]TotalReturnPricing!R846C8</stp>
        <tr r="H846" s="2"/>
      </tp>
      <tp t="s">
        <v>#N/A Field Not Applicable</v>
        <stp/>
        <stp>##V3_BDPV12</stp>
        <stp>RCL Equity</stp>
        <stp>OPT_DELTA</stp>
        <stp>[Pricing File.xlsm]TotalReturnPricing!R713C8</stp>
        <tr r="H713" s="2"/>
      </tp>
      <tp t="s">
        <v>#N/A Field Not Applicable</v>
        <stp/>
        <stp>##V3_BDPV12</stp>
        <stp>UNG Equity</stp>
        <stp>OPT_DELTA</stp>
        <stp>[Pricing File.xlsm]TotalReturnPricing!R188C8</stp>
        <tr r="H188" s="2"/>
      </tp>
      <tp t="s">
        <v>#N/A Field Not Applicable</v>
        <stp/>
        <stp>##V3_BDPV12</stp>
        <stp>RIO Equity</stp>
        <stp>OPT_DELTA</stp>
        <stp>[Pricing File.xlsm]TotalReturnPricing!R510C8</stp>
        <tr r="H510" s="2"/>
      </tp>
      <tp t="s">
        <v>#N/A Field Not Applicable</v>
        <stp/>
        <stp>##V3_BDPV12</stp>
        <stp>RHI Equity</stp>
        <stp>OPT_DELTA</stp>
        <stp>[Pricing File.xlsm]TotalReturnPricing!R496C8</stp>
        <tr r="H496" s="2"/>
      </tp>
      <tp t="s">
        <v>#N/A Field Not Applicable</v>
        <stp/>
        <stp>##V3_BDPV12</stp>
        <stp>SWN Equity</stp>
        <stp>OPT_DELTA</stp>
        <stp>[Pricing File.xlsm]TotalReturnPricing!R801C8</stp>
        <tr r="H801" s="2"/>
      </tp>
      <tp t="s">
        <v>#N/A Field Not Applicable</v>
        <stp/>
        <stp>##V3_BDPV12</stp>
        <stp>XON Equity</stp>
        <stp>OPT_DELTA</stp>
        <stp>[Pricing File.xlsm]TotalReturnPricing!R351C8</stp>
        <tr r="H351" s="2"/>
      </tp>
      <tp t="s">
        <v>#N/A Field Not Applicable</v>
        <stp/>
        <stp>##V3_BDPV12</stp>
        <stp>BTN Equity</stp>
        <stp>OPT_DELTA</stp>
        <stp>[Pricing File.xlsm]TotalReturnPricing!R191C8</stp>
        <tr r="H191" s="2"/>
      </tp>
      <tp t="s">
        <v>#N/A Field Not Applicable</v>
        <stp/>
        <stp>##V3_BDPV12</stp>
        <stp>GPI Equity</stp>
        <stp>OPT_DELTA</stp>
        <stp>[Pricing File.xlsm]TotalReturnPricing!R586C8</stp>
        <tr r="H586" s="2"/>
      </tp>
      <tp t="s">
        <v>#N/A Field Not Applicable</v>
        <stp/>
        <stp>##V3_BDPV12</stp>
        <stp>ABG Equity</stp>
        <stp>OPT_DELTA</stp>
        <stp>[Pricing File.xlsm]TotalReturnPricing!R558C8</stp>
        <tr r="H558" s="2"/>
      </tp>
      <tp t="s">
        <v>#N/A Field Not Applicable</v>
        <stp/>
        <stp>##V3_BDPV12</stp>
        <stp>CFG Equity</stp>
        <stp>OPT_DELTA</stp>
        <stp>[Pricing File.xlsm]TotalReturnPricing!R438C8</stp>
        <tr r="H438" s="2"/>
      </tp>
      <tp t="s">
        <v>#N/A Field Not Applicable</v>
        <stp/>
        <stp>##V3_BDPV12</stp>
        <stp>BEN Equity</stp>
        <stp>OPT_DELTA</stp>
        <stp>[Pricing File.xlsm]TotalReturnPricing!R511C8</stp>
        <tr r="H511" s="2"/>
      </tp>
      <tp t="s">
        <v>#N/A Field Not Applicable</v>
        <stp/>
        <stp>##V3_BDPV12</stp>
        <stp>MCK Equity</stp>
        <stp>OPT_DELTA</stp>
        <stp>[Pricing File.xlsm]TotalReturnPricing!R754C8</stp>
        <tr r="H754" s="2"/>
      </tp>
      <tp t="s">
        <v>#N/A Field Not Applicable</v>
        <stp/>
        <stp>##V3_BDPV12</stp>
        <stp>HAL Equity</stp>
        <stp>OPT_DELTA</stp>
        <stp>[Pricing File.xlsm]TotalReturnPricing!R493C8</stp>
        <tr r="H493" s="2"/>
      </tp>
      <tp t="s">
        <v>#N/A Field Not Applicable</v>
        <stp/>
        <stp>##V3_BDPV12</stp>
        <stp>MBI Equity</stp>
        <stp>OPT_DELTA</stp>
        <stp>[Pricing File.xlsm]TotalReturnPricing!R226C8</stp>
        <tr r="H226" s="2"/>
      </tp>
      <tp t="s">
        <v>#N/A Field Not Applicable</v>
        <stp/>
        <stp>##V3_BDPV12</stp>
        <stp>DGICA Equity</stp>
        <stp>OPT_DELTA</stp>
        <stp>[Pricing File.xlsm]TotalReturnPricing!R274C8</stp>
        <tr r="H274" s="2"/>
      </tp>
      <tp>
        <v>19.12</v>
        <stp/>
        <stp>##V3_BDPV12</stp>
        <stp>LYFT Equity</stp>
        <stp>Px Last</stp>
        <stp>[Pricing File.xlsm]TotalReturnPricing!R837C5</stp>
        <tr r="E837" s="2"/>
      </tp>
      <tp t="s">
        <v>#N/A Field Not Applicable</v>
        <stp/>
        <stp>##V3_BDPV12</stp>
        <stp>YELP Equity</stp>
        <stp>OPT_DELTA</stp>
        <stp>[Pricing File.xlsm]TotalReturnPricing!R424C8</stp>
        <tr r="H424" s="2"/>
      </tp>
      <tp>
        <v>65.900000000000006</v>
        <stp/>
        <stp>##V3_BDPV12</stp>
        <stp>WMH LN Equity</stp>
        <stp>Px Bid</stp>
        <stp>[Pricing File.xlsm]TotalReturnPricing!R810C6</stp>
        <tr r="F810" s="2"/>
      </tp>
      <tp>
        <v>17.574999999999999</v>
        <stp/>
        <stp>##V3_BDPV12</stp>
        <stp>VIV FP Equity</stp>
        <stp>Px Ask</stp>
        <stp>[Pricing File.xlsm]TotalReturnPricing!R61C7</stp>
        <tr r="G61" s="2"/>
      </tp>
      <tp>
        <v>4.37</v>
        <stp/>
        <stp>##V3_BDPV12</stp>
        <stp>GME Equity</stp>
        <stp>Px Last</stp>
        <stp>[Pricing File.xlsm]TotalReturnPricing!R338C5</stp>
        <tr r="E338" s="2"/>
      </tp>
      <tp>
        <v>20.69</v>
        <stp/>
        <stp>##V3_BDPV12</stp>
        <stp>MLI Equity</stp>
        <stp>Px Last</stp>
        <stp>[Pricing File.xlsm]TotalReturnPricing!R412C5</stp>
        <tr r="E412" s="2"/>
      </tp>
      <tp>
        <v>69.540000000000006</v>
        <stp/>
        <stp>##V3_BDPV12</stp>
        <stp>HLT Equity</stp>
        <stp>Px Last</stp>
        <stp>[Pricing File.xlsm]TotalReturnPricing!R847C5</stp>
        <tr r="E847" s="2"/>
      </tp>
      <tp>
        <v>72.59</v>
        <stp/>
        <stp>##V3_BDPV12</stp>
        <stp>LOW Equity</stp>
        <stp>Px Last</stp>
        <stp>[Pricing File.xlsm]TotalReturnPricing!R643C5</stp>
        <tr r="E643" s="2"/>
      </tp>
      <tp>
        <v>85.39</v>
        <stp/>
        <stp>##V3_BDPV12</stp>
        <stp>LEA Equity</stp>
        <stp>Px Last</stp>
        <stp>[Pricing File.xlsm]TotalReturnPricing!R743C5</stp>
        <tr r="E743" s="2"/>
      </tp>
      <tp>
        <v>5.01</v>
        <stp/>
        <stp>##V3_BDPV12</stp>
        <stp>IDT Equity</stp>
        <stp>Px Last</stp>
        <stp>[Pricing File.xlsm]TotalReturnPricing!R276C5</stp>
        <tr r="E276" s="2"/>
      </tp>
      <tp>
        <v>27.18</v>
        <stp/>
        <stp>##V3_BDPV12</stp>
        <stp>R Equity</stp>
        <stp>Px Last</stp>
        <stp>[Pricing File.xlsm]TotalReturnPricing!R631C5</stp>
        <tr r="E631" s="2"/>
      </tp>
      <tp>
        <v>76.06</v>
        <stp/>
        <stp>##V3_BDPV12</stp>
        <stp>LAD Equity</stp>
        <stp>Px Last</stp>
        <stp>[Pricing File.xlsm]TotalReturnPricing!R693C5</stp>
        <tr r="E693" s="2"/>
      </tp>
      <tp t="s">
        <v>#N/A N/A</v>
        <stp/>
        <stp>##V3_BDPV12</stp>
        <stp>NCI Equity</stp>
        <stp>Px Last</stp>
        <stp>[Pricing File.xlsm]TotalReturnPricing!R321C5</stp>
        <tr r="E321" s="2"/>
      </tp>
      <tp>
        <v>1.4007000000000001</v>
        <stp/>
        <stp>##V3_BDPV12</stp>
        <stp>CAD Curncy</stp>
        <stp>Px Ask</stp>
        <stp>[Pricing File.xlsm]TotalReturnPricing!R84C7</stp>
        <tr r="G84" s="2"/>
      </tp>
      <tp>
        <v>99.53</v>
        <stp/>
        <stp>##V3_BDPV12</stp>
        <stp>MTB Equity</stp>
        <stp>Px Last</stp>
        <stp>[Pricing File.xlsm]TotalReturnPricing!R752C5</stp>
        <tr r="E752" s="2"/>
      </tp>
      <tp>
        <v>6.11</v>
        <stp/>
        <stp>##V3_BDPV12</stp>
        <stp>HTZ Equity</stp>
        <stp>Px Last</stp>
        <stp>[Pricing File.xlsm]TotalReturnPricing!R297C5</stp>
        <tr r="E297" s="2"/>
      </tp>
      <tp>
        <v>12.28</v>
        <stp/>
        <stp>##V3_BDPV12</stp>
        <stp>NWL Equity</stp>
        <stp>Px Last</stp>
        <stp>[Pricing File.xlsm]TotalReturnPricing!R551C5</stp>
        <tr r="E551" s="2"/>
      </tp>
      <tp>
        <v>88.36</v>
        <stp/>
        <stp>##V3_BDPV12</stp>
        <stp>JPM Equity</stp>
        <stp>Px Last</stp>
        <stp>[Pricing File.xlsm]TotalReturnPricing!R675C5</stp>
        <tr r="E675" s="2"/>
      </tp>
      <tp>
        <v>0.62</v>
        <stp/>
        <stp>##V3_BDPV12</stp>
        <stp>HTZ 210115C00017000 Equity</stp>
        <stp>Px Last</stp>
        <stp>[Pricing File.xlsm]TotalReturnPricing!R854C5</stp>
        <tr r="E854" s="2"/>
      </tp>
      <tp>
        <v>126.44</v>
        <stp/>
        <stp>##V3_BDPV12</stp>
        <stp>NSC Equity</stp>
        <stp>Px Last</stp>
        <stp>[Pricing File.xlsm]TotalReturnPricing!R711C5</stp>
        <tr r="E711" s="2"/>
      </tp>
      <tp>
        <v>3.28</v>
        <stp/>
        <stp>##V3_BDPV12</stp>
        <stp>HTZ 200717P00020000 Equity</stp>
        <stp>Px Last</stp>
        <stp>[Pricing File.xlsm]TotalReturnPricing!R884C5</stp>
        <tr r="E884" s="2"/>
      </tp>
      <tp>
        <v>15.72</v>
        <stp/>
        <stp>##V3_BDPV12</stp>
        <stp>HRB Equity</stp>
        <stp>Px Last</stp>
        <stp>[Pricing File.xlsm]TotalReturnPricing!R407C5</stp>
        <tr r="E407" s="2"/>
      </tp>
      <tp t="s">
        <v>#N/A N/A</v>
        <stp/>
        <stp>##V3_BDPV12</stp>
        <stp>V 200117C00185000 Equity</stp>
        <stp>Px Bid</stp>
        <stp>[Pricing File.xlsm]TotalReturnPricing!R853C6</stp>
        <tr r="F853" s="2"/>
      </tp>
      <tp>
        <v>40.909999999999997</v>
        <stp/>
        <stp>##V3_BDPV12</stp>
        <stp>HURN Equity</stp>
        <stp>Px Last</stp>
        <stp>[Pricing File.xlsm]TotalReturnPricing!R488C5</stp>
        <tr r="E488" s="2"/>
      </tp>
      <tp t="s">
        <v>#N/A Field Not Applicable</v>
        <stp/>
        <stp>##V3_BDPV12</stp>
        <stp>CMLS Equity</stp>
        <stp>OPT_DELTA</stp>
        <stp>[Pricing File.xlsm]TotalReturnPricing!R124C8</stp>
        <tr r="H124" s="2"/>
      </tp>
      <tp t="s">
        <v>#N/A Field Not Applicable</v>
        <stp/>
        <stp>##V3_BDPV12</stp>
        <stp>CTAS Equity</stp>
        <stp>OPT_DELTA</stp>
        <stp>[Pricing File.xlsm]TotalReturnPricing!R734C8</stp>
        <tr r="H734" s="2"/>
      </tp>
      <tp t="s">
        <v>#N/A Field Not Applicable</v>
        <stp/>
        <stp>##V3_BDPV12</stp>
        <stp>CTRP Equity</stp>
        <stp>OPT_DELTA</stp>
        <stp>[Pricing File.xlsm]TotalReturnPricing!R577C8</stp>
        <tr r="H577" s="2"/>
      </tp>
      <tp t="s">
        <v>#N/A Field Not Applicable</v>
        <stp/>
        <stp>##V3_BDPV12</stp>
        <stp>CWST Equity</stp>
        <stp>OPT_DELTA</stp>
        <stp>[Pricing File.xlsm]TotalReturnPricing!R293C8</stp>
        <tr r="H293" s="2"/>
      </tp>
      <tp>
        <v>17.57</v>
        <stp/>
        <stp>##V3_BDPV12</stp>
        <stp>VIV FP Equity</stp>
        <stp>Px Bid</stp>
        <stp>[Pricing File.xlsm]TotalReturnPricing!R61C6</stp>
        <tr r="F61" s="2"/>
      </tp>
      <tp>
        <v>52.76</v>
        <stp/>
        <stp>##V3_BDPV12</stp>
        <stp>ATVI Equity</stp>
        <stp>Px Last</stp>
        <stp>[Pricing File.xlsm]TotalReturnPricing!R589C5</stp>
        <tr r="E589" s="2"/>
      </tp>
      <tp t="s">
        <v>#N/A Field Not Applicable</v>
        <stp/>
        <stp>##V3_BDPV12</stp>
        <stp>SCHW Equity</stp>
        <stp>OPT_DELTA</stp>
        <stp>[Pricing File.xlsm]TotalReturnPricing!R490C8</stp>
        <tr r="H490" s="2"/>
      </tp>
      <tp t="s">
        <v>#N/A Field Not Applicable</v>
        <stp/>
        <stp>##V3_BDPV12</stp>
        <stp>SABR Equity</stp>
        <stp>OPT_DELTA</stp>
        <stp>[Pricing File.xlsm]TotalReturnPricing!R845C8</stp>
        <tr r="H845" s="2"/>
      </tp>
      <tp t="s">
        <v>#N/A Field Not Applicable</v>
        <stp/>
        <stp>##V3_BDPV12</stp>
        <stp>WEN Equity</stp>
        <stp>OPT_DELTA</stp>
        <stp>[Pricing File.xlsm]TotalReturnPricing!R282C8</stp>
        <tr r="H282" s="2"/>
      </tp>
      <tp t="s">
        <v>#N/A Field Not Applicable</v>
        <stp/>
        <stp>##V3_BDPV12</stp>
        <stp>RHI Equity</stp>
        <stp>OPT_DELTA</stp>
        <stp>[Pricing File.xlsm]TotalReturnPricing!R495C8</stp>
        <tr r="H495" s="2"/>
      </tp>
      <tp t="s">
        <v>#N/A Field Not Applicable</v>
        <stp/>
        <stp>##V3_BDPV12</stp>
        <stp>IWM Equity</stp>
        <stp>OPT_DELTA</stp>
        <stp>[Pricing File.xlsm]TotalReturnPricing!R831C8</stp>
        <tr r="H831" s="2"/>
      </tp>
      <tp t="s">
        <v>#N/A Field Not Applicable</v>
        <stp/>
        <stp>##V3_BDPV12</stp>
        <stp>DRI Equity</stp>
        <stp>OPT_DELTA</stp>
        <stp>[Pricing File.xlsm]TotalReturnPricing!R665C8</stp>
        <tr r="H665" s="2"/>
      </tp>
      <tp t="s">
        <v>#N/A Field Not Applicable</v>
        <stp/>
        <stp>##V3_BDPV12</stp>
        <stp>CCL Equity</stp>
        <stp>OPT_DELTA</stp>
        <stp>[Pricing File.xlsm]TotalReturnPricing!R610C8</stp>
        <tr r="H610" s="2"/>
      </tp>
      <tp t="s">
        <v>#N/A Field Not Applicable</v>
        <stp/>
        <stp>##V3_BDPV12</stp>
        <stp>ICE Equity</stp>
        <stp>OPT_DELTA</stp>
        <stp>[Pricing File.xlsm]TotalReturnPricing!R609C8</stp>
        <tr r="H609" s="2"/>
      </tp>
      <tp t="s">
        <v>#N/A Field Not Applicable</v>
        <stp/>
        <stp>##V3_BDPV12</stp>
        <stp>VCYT Equity</stp>
        <stp>OPT_DELTA</stp>
        <stp>[Pricing File.xlsm]TotalReturnPricing!R213C8</stp>
        <tr r="H213" s="2"/>
      </tp>
      <tp>
        <v>9.26</v>
        <stp/>
        <stp>##V3_BDPV12</stp>
        <stp>CVNA 210115C00060000 Equity</stp>
        <stp>Px Last</stp>
        <stp>[Pricing File.xlsm]TotalReturnPricing!R918C5</stp>
        <tr r="E918" s="2"/>
      </tp>
      <tp>
        <v>7.48</v>
        <stp/>
        <stp>##V3_BDPV12</stp>
        <stp>GES Equity</stp>
        <stp>Px Last</stp>
        <stp>[Pricing File.xlsm]TotalReturnPricing!R249C5</stp>
        <tr r="E249" s="2"/>
      </tp>
      <tp>
        <v>152.01</v>
        <stp/>
        <stp>##V3_BDPV12</stp>
        <stp>V Equity</stp>
        <stp>Px Last</stp>
        <stp>[Pricing File.xlsm]TotalReturnPricing!R690C5</stp>
        <tr r="E690" s="2"/>
      </tp>
      <tp t="s">
        <v>#N/A N/A</v>
        <stp/>
        <stp>##V3_BDPV12</stp>
        <stp>NCI Equity</stp>
        <stp>Px Last</stp>
        <stp>[Pricing File.xlsm]TotalReturnPricing!R320C5</stp>
        <tr r="E320" s="2"/>
      </tp>
      <tp>
        <v>0.53580000000000005</v>
        <stp/>
        <stp>##V3_BDPV12</stp>
        <stp>JCP Equity</stp>
        <stp>Px Last</stp>
        <stp>[Pricing File.xlsm]TotalReturnPricing!R174C5</stp>
        <tr r="E174" s="2"/>
      </tp>
      <tp>
        <v>16.239999999999998</v>
        <stp/>
        <stp>##V3_BDPV12</stp>
        <stp>GBX Equity</stp>
        <stp>Px Last</stp>
        <stp>[Pricing File.xlsm]TotalReturnPricing!R499C5</stp>
        <tr r="E499" s="2"/>
      </tp>
      <tp t="s">
        <v>#N/A N/A</v>
        <stp/>
        <stp>##V3_BDPV12</stp>
        <stp>FBR Equity</stp>
        <stp>Px Last</stp>
        <stp>[Pricing File.xlsm]TotalReturnPricing!R228C5</stp>
        <tr r="E228" s="2"/>
      </tp>
      <tp>
        <v>136.06</v>
        <stp/>
        <stp>##V3_BDPV12</stp>
        <stp>ISK Curncy</stp>
        <stp>Px Bid</stp>
        <stp>[Pricing File.xlsm]TotalReturnPricing!R89C6</stp>
        <tr r="F89" s="2"/>
      </tp>
      <tp>
        <v>6.6902999999999997</v>
        <stp/>
        <stp>##V3_BDPV12</stp>
        <stp>DKK Curncy</stp>
        <stp>Px Bid</stp>
        <stp>[Pricing File.xlsm]TotalReturnPricing!R79C6</stp>
        <tr r="F79" s="2"/>
      </tp>
      <tp>
        <v>1.4209000000000001</v>
        <stp/>
        <stp>##V3_BDPV12</stp>
        <stp>SGD Curncy</stp>
        <stp>Px Ask</stp>
        <stp>[Pricing File.xlsm]TotalReturnPricing!R85C7</stp>
        <tr r="G85" s="2"/>
      </tp>
      <tp>
        <v>10.28</v>
        <stp/>
        <stp>##V3_BDPV12</stp>
        <stp>NWS Equity</stp>
        <stp>Px Last</stp>
        <stp>[Pricing File.xlsm]TotalReturnPricing!R270C5</stp>
        <tr r="E270" s="2"/>
      </tp>
      <tp>
        <v>0.25</v>
        <stp/>
        <stp>##V3_BDPV12</stp>
        <stp>HTZ 210115C00025000 Equity</stp>
        <stp>Px Last</stp>
        <stp>[Pricing File.xlsm]TotalReturnPricing!R855C5</stp>
        <tr r="E855" s="2"/>
      </tp>
      <tp>
        <v>53.75</v>
        <stp/>
        <stp>##V3_BDPV12</stp>
        <stp>OSK Equity</stp>
        <stp>Px Last</stp>
        <stp>[Pricing File.xlsm]TotalReturnPricing!R621C5</stp>
        <tr r="E621" s="2"/>
      </tp>
      <tp t="s">
        <v>#N/A N/A</v>
        <stp/>
        <stp>##V3_BDPV12</stp>
        <stp>V 200117C00185000 Equity</stp>
        <stp>Px Last</stp>
        <stp>[Pricing File.xlsm]TotalReturnPricing!R853C5</stp>
        <tr r="E853" s="2"/>
      </tp>
      <tp t="s">
        <v>#N/A Field Not Applicable</v>
        <stp/>
        <stp>##V3_BDPV12</stp>
        <stp>AAWW Equity</stp>
        <stp>OPT_DELTA</stp>
        <stp>[Pricing File.xlsm]TotalReturnPricing!R111C8</stp>
        <tr r="H111" s="2"/>
      </tp>
      <tp t="s">
        <v>#N/A N/A</v>
        <stp/>
        <stp>##V3_BDPV12</stp>
        <stp>CTRP Equity</stp>
        <stp>Px Last</stp>
        <stp>[Pricing File.xlsm]TotalReturnPricing!R578C5</stp>
        <tr r="E578" s="2"/>
      </tp>
      <tp>
        <v>18.309999999999999</v>
        <stp/>
        <stp>##V3_BDPV12</stp>
        <stp>MYRG Equity</stp>
        <stp>Px Last</stp>
        <stp>[Pricing File.xlsm]TotalReturnPricing!R415C5</stp>
        <tr r="E415" s="2"/>
      </tp>
      <tp t="s">
        <v>#N/A Field Not Applicable</v>
        <stp/>
        <stp>##V3_BDPV12</stp>
        <stp>FSLR Equity</stp>
        <stp>OPT_DELTA</stp>
        <stp>[Pricing File.xlsm]TotalReturnPricing!R504C8</stp>
        <tr r="H504" s="2"/>
      </tp>
      <tp>
        <v>88.02</v>
        <stp/>
        <stp>##V3_BDPV12</stp>
        <stp>ALGT Equity</stp>
        <stp>Px Last</stp>
        <stp>[Pricing File.xlsm]TotalReturnPricing!R63C5</stp>
        <tr r="E63" s="2"/>
      </tp>
      <tp t="s">
        <v>#N/A Field Not Applicable</v>
        <stp/>
        <stp>##V3_BDPV12</stp>
        <stp>LQDT Equity</stp>
        <stp>OPT_DELTA</stp>
        <stp>[Pricing File.xlsm]TotalReturnPricing!R192C8</stp>
        <tr r="H192" s="2"/>
      </tp>
      <tp t="s">
        <v>#N/A Field Not Applicable</v>
        <stp/>
        <stp>##V3_BDPV12</stp>
        <stp>RRTS Equity</stp>
        <stp>OPT_DELTA</stp>
        <stp>[Pricing File.xlsm]TotalReturnPricing!R195C8</stp>
        <tr r="H195" s="2"/>
      </tp>
      <tp>
        <v>110.01</v>
        <stp/>
        <stp>##V3_BDPV12</stp>
        <stp>HUBS Equity</stp>
        <stp>Px Last</stp>
        <stp>[Pricing File.xlsm]TotalReturnPricing!R629C5</stp>
        <tr r="E629" s="2"/>
      </tp>
      <tp t="s">
        <v>#N/A Field Not Applicable</v>
        <stp/>
        <stp>##V3_BDPV12</stp>
        <stp>SCHW Equity</stp>
        <stp>OPT_DELTA</stp>
        <stp>[Pricing File.xlsm]TotalReturnPricing!R491C8</stp>
        <tr r="H491" s="2"/>
      </tp>
      <tp>
        <v>32.799999999999997</v>
        <stp/>
        <stp>##V3_BDPV12</stp>
        <stp>LYFT 210115P00055000 Equity</stp>
        <stp>Px Last</stp>
        <stp>[Pricing File.xlsm]TotalReturnPricing!R886C5</stp>
        <tr r="E886" s="2"/>
      </tp>
      <tp>
        <v>1.1599999999999999</v>
        <stp/>
        <stp>##V3_BDPV12</stp>
        <stp>TUES Equity</stp>
        <stp>Px Last</stp>
        <stp>[Pricing File.xlsm]TotalReturnPricing!R139C5</stp>
        <tr r="E139" s="2"/>
      </tp>
      <tp t="s">
        <v>#N/A Field Not Applicable</v>
        <stp/>
        <stp>##V3_BDPV12</stp>
        <stp>UNH Equity</stp>
        <stp>OPT_DELTA</stp>
        <stp>[Pricing File.xlsm]TotalReturnPricing!R765C8</stp>
        <tr r="H765" s="2"/>
      </tp>
      <tp t="s">
        <v>#N/A Field Not Applicable</v>
        <stp/>
        <stp>##V3_BDPV12</stp>
        <stp>RPM Equity</stp>
        <stp>OPT_DELTA</stp>
        <stp>[Pricing File.xlsm]TotalReturnPricing!R550C8</stp>
        <tr r="H550" s="2"/>
      </tp>
      <tp t="s">
        <v>#N/A Field Not Applicable</v>
        <stp/>
        <stp>##V3_BDPV12</stp>
        <stp>CBL Equity</stp>
        <stp>OPT_DELTA</stp>
        <stp>[Pricing File.xlsm]TotalReturnPricing!R221C8</stp>
        <tr r="H221" s="2"/>
      </tp>
      <tp t="s">
        <v>#N/A Field Not Applicable</v>
        <stp/>
        <stp>##V3_BDPV12</stp>
        <stp>AMN Equity</stp>
        <stp>OPT_DELTA</stp>
        <stp>[Pricing File.xlsm]TotalReturnPricing!R463C8</stp>
        <tr r="H463" s="2"/>
      </tp>
      <tp t="s">
        <v>#N/A Field Not Applicable</v>
        <stp/>
        <stp>##V3_BDPV12</stp>
        <stp>AAL Equity</stp>
        <stp>OPT_DELTA</stp>
        <stp>[Pricing File.xlsm]TotalReturnPricing!R541C8</stp>
        <tr r="H541" s="2"/>
      </tp>
      <tp t="s">
        <v>#N/A Field Not Applicable</v>
        <stp/>
        <stp>##V3_BDPV12</stp>
        <stp>GME Equity</stp>
        <stp>OPT_DELTA</stp>
        <stp>[Pricing File.xlsm]TotalReturnPricing!R338C8</stp>
        <tr r="H338" s="2"/>
      </tp>
      <tp t="s">
        <v>#N/A Field Not Applicable</v>
        <stp/>
        <stp>##V3_BDPV12</stp>
        <stp>APD Equity</stp>
        <stp>OPT_DELTA</stp>
        <stp>[Pricing File.xlsm]TotalReturnPricing!R739C8</stp>
        <tr r="H739" s="2"/>
      </tp>
      <tp t="s">
        <v>#N/A Field Not Applicable</v>
        <stp/>
        <stp>##V3_BDPV12</stp>
        <stp>NWL Equity</stp>
        <stp>OPT_DELTA</stp>
        <stp>[Pricing File.xlsm]TotalReturnPricing!R551C8</stp>
        <tr r="H551" s="2"/>
      </tp>
      <tp t="s">
        <v>#N/A Field Not Applicable</v>
        <stp/>
        <stp>##V3_BDPV12</stp>
        <stp>JWN Equity</stp>
        <stp>OPT_DELTA</stp>
        <stp>[Pricing File.xlsm]TotalReturnPricing!R533C8</stp>
        <tr r="H533" s="2"/>
      </tp>
      <tp t="s">
        <v>#N/A Field Not Applicable</v>
        <stp/>
        <stp>##V3_BDPV12</stp>
        <stp>IBM Equity</stp>
        <stp>OPT_DELTA</stp>
        <stp>[Pricing File.xlsm]TotalReturnPricing!R740C8</stp>
        <tr r="H740" s="2"/>
      </tp>
      <tp>
        <v>8.41</v>
        <stp/>
        <stp>##V3_BDPV12</stp>
        <stp>AXDX Equity</stp>
        <stp>Px Last</stp>
        <stp>[Pricing File.xlsm]TotalReturnPricing!R384C5</stp>
        <tr r="E384" s="2"/>
      </tp>
      <tp t="s">
        <v>#N/A Field Not Applicable</v>
        <stp/>
        <stp>##V3_BDPV12</stp>
        <stp>USCR Equity</stp>
        <stp>OPT_DELTA</stp>
        <stp>[Pricing File.xlsm]TotalReturnPricing!R824C8</stp>
        <tr r="H824" s="2"/>
      </tp>
      <tp>
        <v>0.68</v>
        <stp/>
        <stp>##V3_BDPV12</stp>
        <stp>GRPN Equity</stp>
        <stp>Px Last</stp>
        <stp>[Pricing File.xlsm]TotalReturnPricing!R45C5</stp>
        <tr r="E45" s="2"/>
      </tp>
      <tp t="s">
        <v>#N/A N/A</v>
        <stp/>
        <stp>##V3_BDPV12</stp>
        <stp>ATHN Equity</stp>
        <stp>Px Last</stp>
        <stp>[Pricing File.xlsm]TotalReturnPricing!R738C5</stp>
        <tr r="E738" s="2"/>
      </tp>
      <tp>
        <v>5.64</v>
        <stp/>
        <stp>##V3_BDPV12</stp>
        <stp>CVNA 210115C00080000 Equity</stp>
        <stp>Px Last</stp>
        <stp>[Pricing File.xlsm]TotalReturnPricing!R919C5</stp>
        <tr r="E919" s="2"/>
      </tp>
      <tp>
        <v>4.5999999999999996</v>
        <stp/>
        <stp>##V3_BDPV12</stp>
        <stp>CVNA 210115C00075000 Equity</stp>
        <stp>Px Last</stp>
        <stp>[Pricing File.xlsm]TotalReturnPricing!R859C5</stp>
        <tr r="E859" s="2"/>
      </tp>
      <tp>
        <v>29.75</v>
        <stp/>
        <stp>##V3_BDPV12</stp>
        <stp>UMI BB Equity</stp>
        <stp>Px Bid</stp>
        <stp>[Pricing File.xlsm]TotalReturnPricing!R123C6</stp>
        <tr r="F123" s="2"/>
      </tp>
      <tp t="s">
        <v>#N/A N/A</v>
        <stp/>
        <stp>##V3_BDPV12</stp>
        <stp>NYNY Equity</stp>
        <stp>Px Last</stp>
        <stp>[Pricing File.xlsm]TotalReturnPricing!R355C5</stp>
        <tr r="E355" s="2"/>
      </tp>
      <tp>
        <v>31.81</v>
        <stp/>
        <stp>##V3_BDPV12</stp>
        <stp>T Equity</stp>
        <stp>Px Last</stp>
        <stp>[Pricing File.xlsm]TotalReturnPricing!R477C5</stp>
        <tr r="E477" s="2"/>
      </tp>
      <tp>
        <v>101.49</v>
        <stp/>
        <stp>##V3_BDPV12</stp>
        <stp>IFF Equity</stp>
        <stp>Px Last</stp>
        <stp>[Pricing File.xlsm]TotalReturnPricing!R730C5</stp>
        <tr r="E730" s="2"/>
      </tp>
      <tp t="s">
        <v>#N/A N/A</v>
        <stp/>
        <stp>##V3_BDPV12</stp>
        <stp>NFX Equity</stp>
        <stp>Px Last</stp>
        <stp>[Pricing File.xlsm]TotalReturnPricing!R397C5</stp>
        <tr r="E397" s="2"/>
      </tp>
      <tp>
        <v>95.25</v>
        <stp/>
        <stp>##V3_BDPV12</stp>
        <stp>AAP Equity</stp>
        <stp>Px Last</stp>
        <stp>[Pricing File.xlsm]TotalReturnPricing!R108C5</stp>
        <tr r="E108" s="2"/>
      </tp>
      <tp>
        <v>35.14</v>
        <stp/>
        <stp>##V3_BDPV12</stp>
        <stp>MAS Equity</stp>
        <stp>Px Last</stp>
        <stp>[Pricing File.xlsm]TotalReturnPricing!R464C5</stp>
        <tr r="E464" s="2"/>
      </tp>
      <tp>
        <v>23.63</v>
        <stp/>
        <stp>##V3_BDPV12</stp>
        <stp>GC CN Equity</stp>
        <stp>Px Bid</stp>
        <stp>[Pricing File.xlsm]TotalReturnPricing!R55C6</stp>
        <tr r="F55" s="2"/>
      </tp>
      <tp>
        <v>121.28</v>
        <stp/>
        <stp>##V3_BDPV12</stp>
        <stp>MCK Equity</stp>
        <stp>Px Last</stp>
        <stp>[Pricing File.xlsm]TotalReturnPricing!R754C5</stp>
        <tr r="E754" s="2"/>
      </tp>
      <tp>
        <v>99.08</v>
        <stp/>
        <stp>##V3_BDPV12</stp>
        <stp>IBM Equity</stp>
        <stp>Px Last</stp>
        <stp>[Pricing File.xlsm]TotalReturnPricing!R740C5</stp>
        <tr r="E740" s="2"/>
      </tp>
      <tp>
        <v>46.39</v>
        <stp/>
        <stp>##V3_BDPV12</stp>
        <stp>ABG Equity</stp>
        <stp>Px Last</stp>
        <stp>[Pricing File.xlsm]TotalReturnPricing!R558C5</stp>
        <tr r="E558" s="2"/>
      </tp>
      <tp>
        <v>19.87</v>
        <stp/>
        <stp>##V3_BDPV12</stp>
        <stp>XLF Equity</stp>
        <stp>Px Ask</stp>
        <stp>[Pricing File.xlsm]TotalReturnPricing!R47C7</stp>
        <tr r="G47" s="2"/>
      </tp>
      <tp>
        <v>1.6</v>
        <stp/>
        <stp>##V3_BDPV12</stp>
        <stp>LXU Equity</stp>
        <stp>Px Last</stp>
        <stp>[Pricing File.xlsm]TotalReturnPricing!R205C5</stp>
        <tr r="E205" s="2"/>
      </tp>
      <tp t="s">
        <v>#N/A N/A</v>
        <stp/>
        <stp>##V3_BDPV12</stp>
        <stp>Z 200221P00054000 Equity</stp>
        <stp>Px Last</stp>
        <stp>[Pricing File.xlsm]TotalReturnPricing!R907C5</stp>
        <tr r="E907" s="2"/>
      </tp>
      <tp>
        <v>10.07</v>
        <stp/>
        <stp>##V3_BDPV12</stp>
        <stp>HTZ 200320P00017000 Equity</stp>
        <stp>Px Last</stp>
        <stp>[Pricing File.xlsm]TotalReturnPricing!R901C5</stp>
        <tr r="E901" s="2"/>
      </tp>
      <tp>
        <v>17.190000000000001</v>
        <stp/>
        <stp>##V3_BDPV12</stp>
        <stp>JWN Equity</stp>
        <stp>Px Last</stp>
        <stp>[Pricing File.xlsm]TotalReturnPricing!R533C5</stp>
        <tr r="E533" s="2"/>
      </tp>
      <tp>
        <v>40.39</v>
        <stp/>
        <stp>##V3_BDPV12</stp>
        <stp>LVS Equity</stp>
        <stp>Px Last</stp>
        <stp>[Pricing File.xlsm]TotalReturnPricing!R595C5</stp>
        <tr r="E595" s="2"/>
      </tp>
      <tp>
        <v>50.12</v>
        <stp/>
        <stp>##V3_BDPV12</stp>
        <stp>IWM 200320P00155000 Equity</stp>
        <stp>Px Last</stp>
        <stp>[Pricing File.xlsm]TotalReturnPricing!R870C5</stp>
        <tr r="E870" s="2"/>
      </tp>
      <tp>
        <v>1.61</v>
        <stp/>
        <stp>##V3_BDPV12</stp>
        <stp>ORN Equity</stp>
        <stp>Px Last</stp>
        <stp>[Pricing File.xlsm]TotalReturnPricing!R196C5</stp>
        <tr r="E196" s="2"/>
      </tp>
      <tp t="s">
        <v>#N/A N/A</v>
        <stp/>
        <stp>##V3_BDPV12</stp>
        <stp>Z 200221P00054000 Equity</stp>
        <stp>Px Bid</stp>
        <stp>[Pricing File.xlsm]TotalReturnPricing!R907C6</stp>
        <tr r="F907" s="2"/>
      </tp>
      <tp>
        <v>0.68</v>
        <stp/>
        <stp>##V3_BDPV12</stp>
        <stp>GRPN Equity</stp>
        <stp>Px Last</stp>
        <stp>[Pricing File.xlsm]TotalReturnPricing!R159C5</stp>
        <tr r="E159" s="2"/>
      </tp>
      <tp t="s">
        <v>#N/A Field Not Applicable</v>
        <stp/>
        <stp>##V3_BDPV12</stp>
        <stp>BBBY Equity</stp>
        <stp>OPT_DELTA</stp>
        <stp>[Pricing File.xlsm]TotalReturnPricing!R408C8</stp>
        <tr r="H408" s="2"/>
      </tp>
      <tp t="s">
        <v>#N/A Field Not Applicable</v>
        <stp/>
        <stp>##V3_BDPV12</stp>
        <stp>CSGP Equity</stp>
        <stp>OPT_DELTA</stp>
        <stp>[Pricing File.xlsm]TotalReturnPricing!R781C8</stp>
        <tr r="H781" s="2"/>
      </tp>
      <tp>
        <v>51.27</v>
        <stp/>
        <stp>##V3_BDPV12</stp>
        <stp>CRUS Equity</stp>
        <stp>Px Last</stp>
        <stp>[Pricing File.xlsm]TotalReturnPricing!R599C5</stp>
        <tr r="E599" s="2"/>
      </tp>
      <tp>
        <v>88.74</v>
        <stp/>
        <stp>##V3_BDPV12</stp>
        <stp>LSTR Equity</stp>
        <stp>Px Last</stp>
        <stp>[Pricing File.xlsm]TotalReturnPricing!R658C5</stp>
        <tr r="E658" s="2"/>
      </tp>
      <tp>
        <v>2.65</v>
        <stp/>
        <stp>##V3_BDPV12</stp>
        <stp>OSTK Equity</stp>
        <stp>Px Last</stp>
        <stp>[Pricing File.xlsm]TotalReturnPricing!R778C5</stp>
        <tr r="E778" s="2"/>
      </tp>
      <tp t="s">
        <v>#N/A Field Not Applicable</v>
        <stp/>
        <stp>##V3_BDPV12</stp>
        <stp>EPAY Equity</stp>
        <stp>OPT_DELTA</stp>
        <stp>[Pricing File.xlsm]TotalReturnPricing!R828C8</stp>
        <tr r="H828" s="2"/>
      </tp>
      <tp>
        <v>12.47</v>
        <stp/>
        <stp>##V3_BDPV12</stp>
        <stp>TRWH Equity</stp>
        <stp>Px Last</stp>
        <stp>[Pricing File.xlsm]TotalReturnPricing!R189C5</stp>
        <tr r="E189" s="2"/>
      </tp>
      <tp>
        <v>1.5411999999999999</v>
        <stp/>
        <stp>##V3_BDPV12</stp>
        <stp>TRVG Equity</stp>
        <stp>Px Last</stp>
        <stp>[Pricing File.xlsm]TotalReturnPricing!R359C5</stp>
        <tr r="E359" s="2"/>
      </tp>
      <tp t="s">
        <v>#N/A Field Not Applicable</v>
        <stp/>
        <stp>##V3_BDPV12</stp>
        <stp>GHDX Equity</stp>
        <stp>OPT_DELTA</stp>
        <stp>[Pricing File.xlsm]TotalReturnPricing!R419C8</stp>
        <tr r="H419" s="2"/>
      </tp>
      <tp>
        <v>88.02</v>
        <stp/>
        <stp>##V3_BDPV12</stp>
        <stp>ALGT Equity</stp>
        <stp>Px Last</stp>
        <stp>[Pricing File.xlsm]TotalReturnPricing!R44C5</stp>
        <tr r="E44" s="2"/>
      </tp>
      <tp t="s">
        <v>#N/A Field Not Applicable</v>
        <stp/>
        <stp>##V3_BDPV12</stp>
        <stp>HMSY Equity</stp>
        <stp>OPT_DELTA</stp>
        <stp>[Pricing File.xlsm]TotalReturnPricing!R318C8</stp>
        <tr r="H318" s="2"/>
      </tp>
      <tp t="s">
        <v>#N/A Field Not Applicable</v>
        <stp/>
        <stp>##V3_BDPV12</stp>
        <stp>IMMU Equity</stp>
        <stp>OPT_DELTA</stp>
        <stp>[Pricing File.xlsm]TotalReturnPricing!R214C8</stp>
        <tr r="H214" s="2"/>
      </tp>
      <tp t="s">
        <v>#N/A Field Not Applicable</v>
        <stp/>
        <stp>##V3_BDPV12</stp>
        <stp>OCLR Equity</stp>
        <stp>OPT_DELTA</stp>
        <stp>[Pricing File.xlsm]TotalReturnPricing!R223C8</stp>
        <tr r="H223" s="2"/>
      </tp>
      <tp>
        <v>3.875E-3</v>
        <stp/>
        <stp>##V3_BDPV12</stp>
        <stp>LSCG Equity</stp>
        <stp>Px Last</stp>
        <stp>[Pricing File.xlsm]TotalReturnPricing!R118C5</stp>
        <tr r="E118" s="2"/>
      </tp>
      <tp t="s">
        <v>#N/A Field Not Applicable</v>
        <stp/>
        <stp>##V3_BDPV12</stp>
        <stp>SGRY Equity</stp>
        <stp>OPT_DELTA</stp>
        <stp>[Pricing File.xlsm]TotalReturnPricing!R818C8</stp>
        <tr r="H818" s="2"/>
      </tp>
      <tp t="s">
        <v>#N/A Field Not Applicable</v>
        <stp/>
        <stp>##V3_BDPV12</stp>
        <stp>SAH Equity</stp>
        <stp>OPT_DELTA</stp>
        <stp>[Pricing File.xlsm]TotalReturnPricing!R312C8</stp>
        <tr r="H312" s="2"/>
      </tp>
      <tp t="s">
        <v>#N/A Field Not Applicable</v>
        <stp/>
        <stp>##V3_BDPV12</stp>
        <stp>RLH Equity</stp>
        <stp>OPT_DELTA</stp>
        <stp>[Pricing File.xlsm]TotalReturnPricing!R202C8</stp>
        <tr r="H202" s="2"/>
      </tp>
      <tp t="s">
        <v>#N/A Field Not Applicable</v>
        <stp/>
        <stp>##V3_BDPV12</stp>
        <stp>WMB Equity</stp>
        <stp>OPT_DELTA</stp>
        <stp>[Pricing File.xlsm]TotalReturnPricing!R418C8</stp>
        <tr r="H418" s="2"/>
      </tp>
      <tp t="s">
        <v>#N/A Field Not Applicable</v>
        <stp/>
        <stp>##V3_BDPV12</stp>
        <stp>WSM Equity</stp>
        <stp>OPT_DELTA</stp>
        <stp>[Pricing File.xlsm]TotalReturnPricing!R517C8</stp>
        <tr r="H517" s="2"/>
      </tp>
      <tp t="s">
        <v>#N/A Field Not Applicable</v>
        <stp/>
        <stp>##V3_BDPV12</stp>
        <stp>GPN Equity</stp>
        <stp>OPT_DELTA</stp>
        <stp>[Pricing File.xlsm]TotalReturnPricing!R684C8</stp>
        <tr r="H684" s="2"/>
      </tp>
      <tp t="s">
        <v>#N/A Field Not Applicable</v>
        <stp/>
        <stp>##V3_BDPV12</stp>
        <stp>BAC Equity</stp>
        <stp>OPT_DELTA</stp>
        <stp>[Pricing File.xlsm]TotalReturnPricing!R799C8</stp>
        <tr r="H799" s="2"/>
      </tp>
      <tp t="s">
        <v>#N/A Field Not Applicable</v>
        <stp/>
        <stp>##V3_BDPV12</stp>
        <stp>FRO Equity</stp>
        <stp>OPT_DELTA</stp>
        <stp>[Pricing File.xlsm]TotalReturnPricing!R175C8</stp>
        <tr r="H175" s="2"/>
      </tp>
      <tp t="s">
        <v>#N/A Field Not Applicable</v>
        <stp/>
        <stp>##V3_BDPV12</stp>
        <stp>ALK Equity</stp>
        <stp>OPT_DELTA</stp>
        <stp>[Pricing File.xlsm]TotalReturnPricing!R671C8</stp>
        <tr r="H671" s="2"/>
      </tp>
      <tp t="s">
        <v>#N/A Field Not Applicable</v>
        <stp/>
        <stp>##V3_BDPV12</stp>
        <stp>CLH Equity</stp>
        <stp>OPT_DELTA</stp>
        <stp>[Pricing File.xlsm]TotalReturnPricing!R572C8</stp>
        <tr r="H572" s="2"/>
      </tp>
      <tp t="s">
        <v>#N/A Field Not Applicable</v>
        <stp/>
        <stp>##V3_BDPV12</stp>
        <stp>OSK Equity</stp>
        <stp>OPT_DELTA</stp>
        <stp>[Pricing File.xlsm]TotalReturnPricing!R621C8</stp>
        <tr r="H621" s="2"/>
      </tp>
      <tp t="s">
        <v>#N/A Field Not Applicable</v>
        <stp/>
        <stp>##V3_BDPV12</stp>
        <stp>CAH Equity</stp>
        <stp>OPT_DELTA</stp>
        <stp>[Pricing File.xlsm]TotalReturnPricing!R822C8</stp>
        <tr r="H822" s="2"/>
      </tp>
      <tp t="s">
        <v>#N/A Field Not Applicable</v>
        <stp/>
        <stp>##V3_BDPV12</stp>
        <stp>HFC Equity</stp>
        <stp>OPT_DELTA</stp>
        <stp>[Pricing File.xlsm]TotalReturnPricing!R399C8</stp>
        <tr r="H399" s="2"/>
      </tp>
      <tp t="s">
        <v>#N/A Field Not Applicable</v>
        <stp/>
        <stp>##V3_BDPV12</stp>
        <stp>ONB Equity</stp>
        <stp>OPT_DELTA</stp>
        <stp>[Pricing File.xlsm]TotalReturnPricing!R288C8</stp>
        <tr r="H288" s="2"/>
      </tp>
      <tp t="s">
        <v>#N/A Field Not Applicable</v>
        <stp/>
        <stp>##V3_BDPV12</stp>
        <stp>UTHR Equity</stp>
        <stp>OPT_DELTA</stp>
        <stp>[Pricing File.xlsm]TotalReturnPricing!R723C8</stp>
        <tr r="H723" s="2"/>
      </tp>
      <tp>
        <v>97.55</v>
        <stp/>
        <stp>##V3_BDPV12</stp>
        <stp>TROW Equity</stp>
        <stp>Px Last</stp>
        <stp>[Pricing File.xlsm]TotalReturnPricing!R659C5</stp>
        <tr r="E659" s="2"/>
      </tp>
      <tp>
        <v>6.31</v>
        <stp/>
        <stp>##V3_BDPV12</stp>
        <stp>HLT 200417C00075000 Equity</stp>
        <stp>Px Last</stp>
        <stp>[Pricing File.xlsm]TotalReturnPricing!R913C5</stp>
        <tr r="E913" s="2"/>
      </tp>
      <tp>
        <v>372.24</v>
        <stp/>
        <stp>##V3_BDPV12</stp>
        <stp>NEU Equity</stp>
        <stp>Px Last</stp>
        <stp>[Pricing File.xlsm]TotalReturnPricing!R786C5</stp>
        <tr r="E786" s="2"/>
      </tp>
      <tp>
        <v>4.03</v>
        <stp/>
        <stp>##V3_BDPV12</stp>
        <stp>ADT Equity</stp>
        <stp>Px Last</stp>
        <stp>[Pricing File.xlsm]TotalReturnPricing!R809C5</stp>
        <tr r="E809" s="2"/>
      </tp>
      <tp>
        <v>31.81</v>
        <stp/>
        <stp>##V3_BDPV12</stp>
        <stp>T Equity</stp>
        <stp>Px Last</stp>
        <stp>[Pricing File.xlsm]TotalReturnPricing!R476C5</stp>
        <tr r="E476" s="2"/>
      </tp>
      <tp>
        <v>76.06</v>
        <stp/>
        <stp>##V3_BDPV12</stp>
        <stp>LAD Equity</stp>
        <stp>Px Last</stp>
        <stp>[Pricing File.xlsm]TotalReturnPricing!R694C5</stp>
        <tr r="E694" s="2"/>
      </tp>
      <tp>
        <v>149.75</v>
        <stp/>
        <stp>##V3_BDPV12</stp>
        <stp>IAC Equity</stp>
        <stp>Px Last</stp>
        <stp>[Pricing File.xlsm]TotalReturnPricing!R701C5</stp>
        <tr r="E701" s="2"/>
      </tp>
      <tp>
        <v>14.01</v>
        <stp/>
        <stp>##V3_BDPV12</stp>
        <stp>KBR Equity</stp>
        <stp>Px Last</stp>
        <stp>[Pricing File.xlsm]TotalReturnPricing!R273C5</stp>
        <tr r="E273" s="2"/>
      </tp>
      <tp>
        <v>0.36499999999999999</v>
        <stp/>
        <stp>##V3_BDPV12</stp>
        <stp>NBR Equity</stp>
        <stp>Px Last</stp>
        <stp>[Pricing File.xlsm]TotalReturnPricing!R206C5</stp>
        <tr r="E206" s="2"/>
      </tp>
      <tp>
        <v>7.7659000000000002</v>
        <stp/>
        <stp>##V3_BDPV12</stp>
        <stp>HKD Curncy</stp>
        <stp>Px Bid</stp>
        <stp>[Pricing File.xlsm]TotalReturnPricing!R80C6</stp>
        <tr r="F80" s="2"/>
      </tp>
      <tp>
        <v>7.82</v>
        <stp/>
        <stp>##V3_BDPV12</stp>
        <stp>MTG Equity</stp>
        <stp>Px Last</stp>
        <stp>[Pricing File.xlsm]TotalReturnPricing!R235C5</stp>
        <tr r="E235" s="2"/>
      </tp>
      <tp>
        <v>7.26</v>
        <stp/>
        <stp>##V3_BDPV12</stp>
        <stp>HTZ 200320P00019000 Equity</stp>
        <stp>Px Last</stp>
        <stp>[Pricing File.xlsm]TotalReturnPricing!R890C5</stp>
        <tr r="E890" s="2"/>
      </tp>
      <tp>
        <v>103.62</v>
        <stp/>
        <stp>##V3_BDPV12</stp>
        <stp>IWM Equity</stp>
        <stp>Px Last</stp>
        <stp>[Pricing File.xlsm]TotalReturnPricing!R831C5</stp>
        <tr r="E831" s="2"/>
      </tp>
      <tp>
        <v>40.39</v>
        <stp/>
        <stp>##V3_BDPV12</stp>
        <stp>LVS Equity</stp>
        <stp>Px Last</stp>
        <stp>[Pricing File.xlsm]TotalReturnPricing!R594C5</stp>
        <tr r="E594" s="2"/>
      </tp>
      <tp>
        <v>180.35</v>
        <stp/>
        <stp>##V3_BDPV12</stp>
        <stp>APD Equity</stp>
        <stp>Px Last</stp>
        <stp>[Pricing File.xlsm]TotalReturnPricing!R739C5</stp>
        <tr r="E739" s="2"/>
      </tp>
      <tp>
        <v>9.6199999999999992</v>
        <stp/>
        <stp>##V3_BDPV12</stp>
        <stp>HST Equity</stp>
        <stp>Px Last</stp>
        <stp>[Pricing File.xlsm]TotalReturnPricing!R310C5</stp>
        <tr r="E310" s="2"/>
      </tp>
      <tp>
        <v>0.12</v>
        <stp/>
        <stp>##V3_BDPV12</stp>
        <stp>HTZ 200717C00020000 Equity</stp>
        <stp>Px Last</stp>
        <stp>[Pricing File.xlsm]TotalReturnPricing!R903C5</stp>
        <tr r="E903" s="2"/>
      </tp>
      <tp>
        <v>0.05</v>
        <stp/>
        <stp>##V3_BDPV12</stp>
        <stp>EXPE 200320C00110000 Equity</stp>
        <stp>Px Last</stp>
        <stp>[Pricing File.xlsm]TotalReturnPricing!R892C5</stp>
        <tr r="E892" s="2"/>
      </tp>
      <tp>
        <v>92.72</v>
        <stp/>
        <stp>##V3_BDPV12</stp>
        <stp>PYPL Equity</stp>
        <stp>Px Last</stp>
        <stp>[Pricing File.xlsm]TotalReturnPricing!R583C5</stp>
        <tr r="E583" s="2"/>
      </tp>
      <tp t="s">
        <v>#N/A Field Not Applicable</v>
        <stp/>
        <stp>##V3_BDPV12</stp>
        <stp>ADUS Equity</stp>
        <stp>OPT_DELTA</stp>
        <stp>[Pricing File.xlsm]TotalReturnPricing!R443C8</stp>
        <tr r="H443" s="2"/>
      </tp>
      <tp t="s">
        <v>#N/A Field Not Applicable</v>
        <stp/>
        <stp>##V3_BDPV12</stp>
        <stp>AMAT Equity</stp>
        <stp>OPT_DELTA</stp>
        <stp>[Pricing File.xlsm]TotalReturnPricing!R514C8</stp>
        <tr r="H514" s="2"/>
      </tp>
      <tp t="s">
        <v>#N/A N/A</v>
        <stp/>
        <stp>##V3_BDPV12</stp>
        <stp>EXPE 200221C00105000 Equity</stp>
        <stp>Px Last</stp>
        <stp>[Pricing File.xlsm]TotalReturnPricing!R882C5</stp>
        <tr r="E882" s="2"/>
      </tp>
      <tp t="s">
        <v>#N/A Field Not Applicable</v>
        <stp/>
        <stp>##V3_BDPV12</stp>
        <stp>CHRW Equity</stp>
        <stp>OPT_DELTA</stp>
        <stp>[Pricing File.xlsm]TotalReturnPricing!R607C8</stp>
        <tr r="H607" s="2"/>
      </tp>
      <tp t="s">
        <v>#N/A Field Not Applicable</v>
        <stp/>
        <stp>##V3_BDPV12</stp>
        <stp>CRMT Equity</stp>
        <stp>OPT_DELTA</stp>
        <stp>[Pricing File.xlsm]TotalReturnPricing!R474C8</stp>
        <tr r="H474" s="2"/>
      </tp>
      <tp t="s">
        <v>#N/A Field Not Applicable</v>
        <stp/>
        <stp>##V3_BDPV12</stp>
        <stp>DESP Equity</stp>
        <stp>OPT_DELTA</stp>
        <stp>[Pricing File.xlsm]TotalReturnPricing!R800C8</stp>
        <tr r="H800" s="2"/>
      </tp>
      <tp>
        <v>72.45</v>
        <stp/>
        <stp>##V3_BDPV12</stp>
        <stp>VRTS Equity</stp>
        <stp>Px Last</stp>
        <stp>[Pricing File.xlsm]TotalReturnPricing!R718C5</stp>
        <tr r="E718" s="2"/>
      </tp>
      <tp>
        <v>27.54</v>
        <stp/>
        <stp>##V3_BDPV12</stp>
        <stp>ASTE Equity</stp>
        <stp>Px Last</stp>
        <stp>[Pricing File.xlsm]TotalReturnPricing!R549C5</stp>
        <tr r="E549" s="2"/>
      </tp>
      <tp>
        <v>8.1</v>
        <stp/>
        <stp>##V3_BDPV12</stp>
        <stp>PRTA Equity</stp>
        <stp>Px Last</stp>
        <stp>[Pricing File.xlsm]TotalReturnPricing!R598C5</stp>
        <tr r="E598" s="2"/>
      </tp>
      <tp t="s">
        <v>#N/A Field Not Applicable</v>
        <stp/>
        <stp>##V3_BDPV12</stp>
        <stp>EBAY Equity</stp>
        <stp>OPT_DELTA</stp>
        <stp>[Pricing File.xlsm]TotalReturnPricing!R449C8</stp>
        <tr r="H449" s="2"/>
      </tp>
      <tp t="s">
        <v>#N/A Field Not Applicable</v>
        <stp/>
        <stp>##V3_BDPV12</stp>
        <stp>GASS Equity</stp>
        <stp>OPT_DELTA</stp>
        <stp>[Pricing File.xlsm]TotalReturnPricing!R153C8</stp>
        <tr r="H153" s="2"/>
      </tp>
      <tp t="s">
        <v>#N/A Field Not Applicable</v>
        <stp/>
        <stp>##V3_BDPV12</stp>
        <stp>INFY Equity</stp>
        <stp>OPT_DELTA</stp>
        <stp>[Pricing File.xlsm]TotalReturnPricing!R279C8</stp>
        <tr r="H279" s="2"/>
      </tp>
      <tp t="s">
        <v>#N/A Field Not Applicable</v>
        <stp/>
        <stp>##V3_BDPV12</stp>
        <stp>JBHT Equity</stp>
        <stp>OPT_DELTA</stp>
        <stp>[Pricing File.xlsm]TotalReturnPricing!R674C8</stp>
        <tr r="H674" s="2"/>
      </tp>
      <tp>
        <v>1.5</v>
        <stp/>
        <stp>##V3_BDPV12</stp>
        <stp>YRCW Equity</stp>
        <stp>Px Last</stp>
        <stp>[Pricing File.xlsm]TotalReturnPricing!R248C5</stp>
        <tr r="E248" s="2"/>
      </tp>
      <tp>
        <v>35.04</v>
        <stp/>
        <stp>##V3_BDPV12</stp>
        <stp>ARCH Equity</stp>
        <stp>Px Last</stp>
        <stp>[Pricing File.xlsm]TotalReturnPricing!R628C5</stp>
        <tr r="E628" s="2"/>
      </tp>
      <tp>
        <v>33.200000000000003</v>
        <stp/>
        <stp>##V3_BDPV12</stp>
        <stp>LYFT 210115P00052500 Equity</stp>
        <stp>Px Last</stp>
        <stp>[Pricing File.xlsm]TotalReturnPricing!R885C5</stp>
        <tr r="E885" s="2"/>
      </tp>
      <tp t="s">
        <v>#N/A Field Not Applicable</v>
        <stp/>
        <stp>##V3_BDPV12</stp>
        <stp>RRC Equity</stp>
        <stp>OPT_DELTA</stp>
        <stp>[Pricing File.xlsm]TotalReturnPricing!R348C8</stp>
        <tr r="H348" s="2"/>
      </tp>
      <tp t="s">
        <v>#N/A Field Not Applicable</v>
        <stp/>
        <stp>##V3_BDPV12</stp>
        <stp>SEM Equity</stp>
        <stp>OPT_DELTA</stp>
        <stp>[Pricing File.xlsm]TotalReturnPricing!R286C8</stp>
        <tr r="H286" s="2"/>
      </tp>
      <tp t="s">
        <v>#N/A Field Not Applicable</v>
        <stp/>
        <stp>##V3_BDPV12</stp>
        <stp>SAH Equity</stp>
        <stp>OPT_DELTA</stp>
        <stp>[Pricing File.xlsm]TotalReturnPricing!R313C8</stp>
        <tr r="H313" s="2"/>
      </tp>
      <tp t="s">
        <v>#N/A Field Not Applicable</v>
        <stp/>
        <stp>##V3_BDPV12</stp>
        <stp>UAL Equity</stp>
        <stp>OPT_DELTA</stp>
        <stp>[Pricing File.xlsm]TotalReturnPricing!R617C8</stp>
        <tr r="H617" s="2"/>
      </tp>
      <tp t="s">
        <v>#N/A Field Not Applicable</v>
        <stp/>
        <stp>##V3_BDPV12</stp>
        <stp>WSM Equity</stp>
        <stp>OPT_DELTA</stp>
        <stp>[Pricing File.xlsm]TotalReturnPricing!R516C8</stp>
        <tr r="H516" s="2"/>
      </tp>
      <tp t="s">
        <v>#N/A Field Not Applicable</v>
        <stp/>
        <stp>##V3_BDPV12</stp>
        <stp>TWI Equity</stp>
        <stp>OPT_DELTA</stp>
        <stp>[Pricing File.xlsm]TotalReturnPricing!R252C8</stp>
        <tr r="H252" s="2"/>
      </tp>
      <tp t="s">
        <v>#N/A Field Not Applicable</v>
        <stp/>
        <stp>##V3_BDPV12</stp>
        <stp>CHK Equity</stp>
        <stp>OPT_DELTA</stp>
        <stp>[Pricing File.xlsm]TotalReturnPricing!R170C8</stp>
        <tr r="H170" s="2"/>
      </tp>
      <tp t="s">
        <v>#N/A Field Not Applicable</v>
        <stp/>
        <stp>##V3_BDPV12</stp>
        <stp>FLL Equity</stp>
        <stp>OPT_DELTA</stp>
        <stp>[Pricing File.xlsm]TotalReturnPricing!R147C8</stp>
        <tr r="H147" s="2"/>
      </tp>
      <tp t="s">
        <v>#N/A Field Not Applicable</v>
        <stp/>
        <stp>##V3_BDPV12</stp>
        <stp>CCK Equity</stp>
        <stp>OPT_DELTA</stp>
        <stp>[Pricing File.xlsm]TotalReturnPricing!R580C8</stp>
        <tr r="H580" s="2"/>
      </tp>
      <tp t="s">
        <v>#N/A Field Not Applicable</v>
        <stp/>
        <stp>##V3_BDPV12</stp>
        <stp>MYL Equity</stp>
        <stp>OPT_DELTA</stp>
        <stp>[Pricing File.xlsm]TotalReturnPricing!R467C8</stp>
        <tr r="H467" s="2"/>
      </tp>
      <tp t="s">
        <v>#N/A Field Not Applicable</v>
        <stp/>
        <stp>##V3_BDPV12</stp>
        <stp>MLI Equity</stp>
        <stp>OPT_DELTA</stp>
        <stp>[Pricing File.xlsm]TotalReturnPricing!R412C8</stp>
        <tr r="H412" s="2"/>
      </tp>
      <tp t="s">
        <v>#N/A Field Not Applicable</v>
        <stp/>
        <stp>##V3_BDPV12</stp>
        <stp>IVC Equity</stp>
        <stp>OPT_DELTA</stp>
        <stp>[Pricing File.xlsm]TotalReturnPricing!R278C8</stp>
        <tr r="H278" s="2"/>
      </tp>
      <tp t="s">
        <v>#N/A Field Not Applicable</v>
        <stp/>
        <stp>##V3_BDPV12</stp>
        <stp>UBER Equity</stp>
        <stp>OPT_DELTA</stp>
        <stp>[Pricing File.xlsm]TotalReturnPricing!R842C8</stp>
        <tr r="H842" s="2"/>
      </tp>
      <tp>
        <v>16.809999999999999</v>
        <stp/>
        <stp>##V3_BDPV12</stp>
        <stp>TRIP Equity</stp>
        <stp>Px Last</stp>
        <stp>[Pricing File.xlsm]TotalReturnPricing!R468C5</stp>
        <tr r="E468" s="2"/>
      </tp>
      <tp t="s">
        <v>#N/A Field Not Applicable</v>
        <stp/>
        <stp>##V3_BDPV12</stp>
        <stp>YRCW Equity</stp>
        <stp>OPT_DELTA</stp>
        <stp>[Pricing File.xlsm]TotalReturnPricing!R247C8</stp>
        <tr r="H247" s="2"/>
      </tp>
      <tp>
        <v>445.07</v>
        <stp/>
        <stp>##V3_BDPV12</stp>
        <stp>TSLA Equity</stp>
        <stp>Px Last</stp>
        <stp>[Pricing File.xlsm]TotalReturnPricing!R819C5</stp>
        <tr r="E819" s="2"/>
      </tp>
      <tp>
        <v>23.25</v>
        <stp/>
        <stp>##V3_BDPV12</stp>
        <stp>ALM LN Equity</stp>
        <stp>Px Bid</stp>
        <stp>[Pricing File.xlsm]TotalReturnPricing!R101C6</stp>
        <tr r="F101" s="2"/>
      </tp>
      <tp>
        <v>1.94</v>
        <stp/>
        <stp>##V3_BDPV12</stp>
        <stp>HLX Equity</stp>
        <stp>Px Last</stp>
        <stp>[Pricing File.xlsm]TotalReturnPricing!R183C5</stp>
        <tr r="E183" s="2"/>
      </tp>
      <tp>
        <v>28.78</v>
        <stp/>
        <stp>##V3_BDPV12</stp>
        <stp>KNX Equity</stp>
        <stp>Px Last</stp>
        <stp>[Pricing File.xlsm]TotalReturnPricing!R440C5</stp>
        <tr r="E440" s="2"/>
      </tp>
      <tp>
        <v>16.84</v>
        <stp/>
        <stp>##V3_BDPV12</stp>
        <stp>MHO Equity</stp>
        <stp>Px Last</stp>
        <stp>[Pricing File.xlsm]TotalReturnPricing!R376C5</stp>
        <tr r="E376" s="2"/>
      </tp>
      <tp>
        <v>1.8</v>
        <stp/>
        <stp>##V3_BDPV12</stp>
        <stp>CHS Equity</stp>
        <stp>Px Last</stp>
        <stp>[Pricing File.xlsm]TotalReturnPricing!R218C5</stp>
        <tr r="E218" s="2"/>
      </tp>
      <tp>
        <v>36.72</v>
        <stp/>
        <stp>##V3_BDPV12</stp>
        <stp>LEN Equity</stp>
        <stp>Px Last</stp>
        <stp>[Pricing File.xlsm]TotalReturnPricing!R557C5</stp>
        <tr r="E557" s="2"/>
      </tp>
      <tp>
        <v>28.67</v>
        <stp/>
        <stp>##V3_BDPV12</stp>
        <stp>Z Equity</stp>
        <stp>Px Last</stp>
        <stp>[Pricing File.xlsm]TotalReturnPricing!R505C5</stp>
        <tr r="E505" s="2"/>
      </tp>
      <tp>
        <v>5.35</v>
        <stp/>
        <stp>##V3_BDPV12</stp>
        <stp>IGT Equity</stp>
        <stp>Px Last</stp>
        <stp>[Pricing File.xlsm]TotalReturnPricing!R322C5</stp>
        <tr r="E322" s="2"/>
      </tp>
      <tp>
        <v>18.510000000000002</v>
        <stp/>
        <stp>##V3_BDPV12</stp>
        <stp>CFG Equity</stp>
        <stp>Px Last</stp>
        <stp>[Pricing File.xlsm]TotalReturnPricing!R438C5</stp>
        <tr r="E438" s="2"/>
      </tp>
      <tp>
        <v>5.94</v>
        <stp/>
        <stp>##V3_BDPV12</stp>
        <stp>HAL Equity</stp>
        <stp>Px Last</stp>
        <stp>[Pricing File.xlsm]TotalReturnPricing!R493C5</stp>
        <tr r="E493" s="2"/>
      </tp>
      <tp>
        <v>20.440000000000001</v>
        <stp/>
        <stp>##V3_BDPV12</stp>
        <stp>BAC Equity</stp>
        <stp>Px Last</stp>
        <stp>[Pricing File.xlsm]TotalReturnPricing!R799C5</stp>
        <tr r="E799" s="2"/>
      </tp>
      <tp>
        <v>84.45</v>
        <stp/>
        <stp>##V3_BDPV12</stp>
        <stp>HCA Equity</stp>
        <stp>Px Last</stp>
        <stp>[Pricing File.xlsm]TotalReturnPricing!R653C5</stp>
        <tr r="E653" s="2"/>
      </tp>
      <tp>
        <v>6.18</v>
        <stp/>
        <stp>##V3_BDPV12</stp>
        <stp>MBI Equity</stp>
        <stp>Px Last</stp>
        <stp>[Pricing File.xlsm]TotalReturnPricing!R226C5</stp>
        <tr r="E226" s="2"/>
      </tp>
      <tp t="s">
        <v>#N/A N/A</v>
        <stp/>
        <stp>##V3_BDPV12</stp>
        <stp>BBT Equity</stp>
        <stp>Px Last</stp>
        <stp>[Pricing File.xlsm]TotalReturnPricing!R519C5</stp>
        <tr r="E519" s="2"/>
      </tp>
      <tp>
        <v>2.54</v>
        <stp/>
        <stp>##V3_BDPV12</stp>
        <stp>CYH Equity</stp>
        <stp>Px Last</stp>
        <stp>[Pricing File.xlsm]TotalReturnPricing!R198C5</stp>
        <tr r="E198" s="2"/>
      </tp>
      <tp>
        <v>7.7670000000000003</v>
        <stp/>
        <stp>##V3_BDPV12</stp>
        <stp>HKD Curncy</stp>
        <stp>Px Ask</stp>
        <stp>[Pricing File.xlsm]TotalReturnPricing!R80C7</stp>
        <tr r="G80" s="2"/>
      </tp>
      <tp>
        <v>20.03</v>
        <stp/>
        <stp>##V3_BDPV12</stp>
        <stp>LZB Equity</stp>
        <stp>Px Last</stp>
        <stp>[Pricing File.xlsm]TotalReturnPricing!R427C5</stp>
        <tr r="E427" s="2"/>
      </tp>
      <tp>
        <v>37.520000000000003</v>
        <stp/>
        <stp>##V3_BDPV12</stp>
        <stp>LUV Equity</stp>
        <stp>Px Last</stp>
        <stp>[Pricing File.xlsm]TotalReturnPricing!R567C5</stp>
        <tr r="E567" s="2"/>
      </tp>
      <tp t="s">
        <v>#N/A N/A</v>
        <stp/>
        <stp>##V3_BDPV12</stp>
        <stp>ITG Equity</stp>
        <stp>Px Last</stp>
        <stp>[Pricing File.xlsm]TotalReturnPricing!R342C5</stp>
        <tr r="E342" s="2"/>
      </tp>
      <tp>
        <v>9.7799999999999994</v>
        <stp/>
        <stp>##V3_BDPV12</stp>
        <stp>MTW Equity</stp>
        <stp>Px Last</stp>
        <stp>[Pricing File.xlsm]TotalReturnPricing!R176C5</stp>
        <tr r="E176" s="2"/>
      </tp>
      <tp>
        <v>240.12</v>
        <stp/>
        <stp>##V3_BDPV12</stp>
        <stp>IVV Equity</stp>
        <stp>Px Last</stp>
        <stp>[Pricing File.xlsm]TotalReturnPricing!R832C5</stp>
        <tr r="E832" s="2"/>
      </tp>
      <tp>
        <v>4.9000000000000004</v>
        <stp/>
        <stp>##V3_BDPV12</stp>
        <stp>HTZ 200717P00021000 Equity</stp>
        <stp>Px Last</stp>
        <stp>[Pricing File.xlsm]TotalReturnPricing!R900C5</stp>
        <tr r="E900" s="2"/>
      </tp>
      <tp t="s">
        <v>#N/A Field Not Applicable</v>
        <stp/>
        <stp>##V3_BDPV12</stp>
        <stp>ALLT Equity</stp>
        <stp>OPT_DELTA</stp>
        <stp>[Pricing File.xlsm]TotalReturnPricing!R167C8</stp>
        <tr r="H167" s="2"/>
      </tp>
      <tp t="s">
        <v>#N/A Field Not Applicable</v>
        <stp/>
        <stp>##V3_BDPV12</stp>
        <stp>BGCP Equity</stp>
        <stp>OPT_DELTA</stp>
        <stp>[Pricing File.xlsm]TotalReturnPricing!R243C8</stp>
        <tr r="H243" s="2"/>
      </tp>
      <tp t="s">
        <v>#N/A Field Not Applicable</v>
        <stp/>
        <stp>##V3_BDPV12</stp>
        <stp>CCMP Equity</stp>
        <stp>OPT_DELTA</stp>
        <stp>[Pricing File.xlsm]TotalReturnPricing!R633C8</stp>
        <tr r="H633" s="2"/>
      </tp>
      <tp t="s">
        <v>#N/A Field Not Applicable</v>
        <stp/>
        <stp>##V3_BDPV12</stp>
        <stp>DRYS Equity</stp>
        <stp>OPT_DELTA</stp>
        <stp>[Pricing File.xlsm]TotalReturnPricing!R130C8</stp>
        <tr r="H130" s="2"/>
      </tp>
      <tp t="s">
        <v>#N/A Field Not Applicable</v>
        <stp/>
        <stp>##V3_BDPV12</stp>
        <stp>EEFT Equity</stp>
        <stp>OPT_DELTA</stp>
        <stp>[Pricing File.xlsm]TotalReturnPricing!R687C8</stp>
        <tr r="H687" s="2"/>
      </tp>
      <tp t="s">
        <v>#N/A Field Not Applicable</v>
        <stp/>
        <stp>##V3_BDPV12</stp>
        <stp>EXAS Equity</stp>
        <stp>OPT_DELTA</stp>
        <stp>[Pricing File.xlsm]TotalReturnPricing!R460C8</stp>
        <tr r="H460" s="2"/>
      </tp>
      <tp t="s">
        <v>#N/A Field Not Applicable</v>
        <stp/>
        <stp>##V3_BDPV12</stp>
        <stp>LYFT Equity</stp>
        <stp>OPT_DELTA</stp>
        <stp>[Pricing File.xlsm]TotalReturnPricing!R837C8</stp>
        <tr r="H837" s="2"/>
      </tp>
      <tp t="s">
        <v>#N/A Field Not Applicable</v>
        <stp/>
        <stp>##V3_BDPV12</stp>
        <stp>SABR Equity</stp>
        <stp>OPT_DELTA</stp>
        <stp>[Pricing File.xlsm]TotalReturnPricing!R341C8</stp>
        <tr r="H341" s="2"/>
      </tp>
      <tp t="s">
        <v>#N/A Field Not Applicable</v>
        <stp/>
        <stp>##V3_BDPV12</stp>
        <stp>SCHW Equity</stp>
        <stp>OPT_DELTA</stp>
        <stp>[Pricing File.xlsm]TotalReturnPricing!R844C8</stp>
        <tr r="H844" s="2"/>
      </tp>
      <tp t="s">
        <v>#N/A Field Not Applicable</v>
        <stp/>
        <stp>##V3_BDPV12</stp>
        <stp>TXN Equity</stp>
        <stp>OPT_DELTA</stp>
        <stp>[Pricing File.xlsm]TotalReturnPricing!R656C8</stp>
        <tr r="H656" s="2"/>
      </tp>
      <tp t="s">
        <v>#N/A Field Not Applicable</v>
        <stp/>
        <stp>##V3_BDPV12</stp>
        <stp>TRK Equity</stp>
        <stp>OPT_DELTA</stp>
        <stp>[Pricing File.xlsm]TotalReturnPricing!R333C8</stp>
        <tr r="H333" s="2"/>
      </tp>
      <tp t="s">
        <v>#N/A Field Not Applicable</v>
        <stp/>
        <stp>##V3_BDPV12</stp>
        <stp>XOM Equity</stp>
        <stp>OPT_DELTA</stp>
        <stp>[Pricing File.xlsm]TotalReturnPricing!R655C8</stp>
        <tr r="H655" s="2"/>
      </tp>
      <tp t="s">
        <v>#N/A Field Not Applicable</v>
        <stp/>
        <stp>##V3_BDPV12</stp>
        <stp>CVA Equity</stp>
        <stp>OPT_DELTA</stp>
        <stp>[Pricing File.xlsm]TotalReturnPricing!R259C8</stp>
        <tr r="H259" s="2"/>
      </tp>
      <tp t="s">
        <v>#N/A Field Not Applicable</v>
        <stp/>
        <stp>##V3_BDPV12</stp>
        <stp>CYH Equity</stp>
        <stp>OPT_DELTA</stp>
        <stp>[Pricing File.xlsm]TotalReturnPricing!R200C8</stp>
        <tr r="H200" s="2"/>
      </tp>
      <tp t="s">
        <v>#N/A Field Not Applicable</v>
        <stp/>
        <stp>##V3_BDPV12</stp>
        <stp>FCN Equity</stp>
        <stp>OPT_DELTA</stp>
        <stp>[Pricing File.xlsm]TotalReturnPricing!R416C8</stp>
        <tr r="H416" s="2"/>
      </tp>
      <tp t="s">
        <v>#N/A Field Not Applicable</v>
        <stp/>
        <stp>##V3_BDPV12</stp>
        <stp>CAH Equity</stp>
        <stp>OPT_DELTA</stp>
        <stp>[Pricing File.xlsm]TotalReturnPricing!R640C8</stp>
        <tr r="H640" s="2"/>
      </tp>
      <tp t="s">
        <v>#N/A Field Not Applicable</v>
        <stp/>
        <stp>##V3_BDPV12</stp>
        <stp>BLK Equity</stp>
        <stp>OPT_DELTA</stp>
        <stp>[Pricing File.xlsm]TotalReturnPricing!R783C8</stp>
        <tr r="H783" s="2"/>
      </tp>
      <tp t="s">
        <v>#N/A Field Not Applicable</v>
        <stp/>
        <stp>##V3_BDPV12</stp>
        <stp>AZO Equity</stp>
        <stp>OPT_DELTA</stp>
        <stp>[Pricing File.xlsm]TotalReturnPricing!R787C8</stp>
        <tr r="H787" s="2"/>
      </tp>
      <tp t="s">
        <v>#N/A Field Not Applicable</v>
        <stp/>
        <stp>##V3_BDPV12</stp>
        <stp>AYI Equity</stp>
        <stp>OPT_DELTA</stp>
        <stp>[Pricing File.xlsm]TotalReturnPricing!R771C8</stp>
        <tr r="H771" s="2"/>
      </tp>
      <tp t="s">
        <v>#N/A Field Not Applicable</v>
        <stp/>
        <stp>##V3_BDPV12</stp>
        <stp>NCI Equity</stp>
        <stp>OPT_DELTA</stp>
        <stp>[Pricing File.xlsm]TotalReturnPricing!R321C8</stp>
        <tr r="H321" s="2"/>
      </tp>
      <tp t="s">
        <v>#N/A Field Not Applicable</v>
        <stp/>
        <stp>##V3_BDPV12</stp>
        <stp>JPM Equity</stp>
        <stp>OPT_DELTA</stp>
        <stp>[Pricing File.xlsm]TotalReturnPricing!R675C8</stp>
        <tr r="H675" s="2"/>
      </tp>
      <tp t="s">
        <v>#N/A Field Not Applicable</v>
        <stp/>
        <stp>##V3_BDPV12</stp>
        <stp>MPO Equity</stp>
        <stp>OPT_DELTA</stp>
        <stp>[Pricing File.xlsm]TotalReturnPricing!R257C8</stp>
        <tr r="H257" s="2"/>
      </tp>
      <tp t="s">
        <v>#N/A Field Not Applicable</v>
        <stp/>
        <stp>##V3_BDPV12</stp>
        <stp>ORN Equity</stp>
        <stp>OPT_DELTA</stp>
        <stp>[Pricing File.xlsm]TotalReturnPricing!R196C8</stp>
        <tr r="H196" s="2"/>
      </tp>
      <tp>
        <v>54.95</v>
        <stp/>
        <stp>##V3_BDPV12</stp>
        <stp>KMX Equity</stp>
        <stp>Px Last</stp>
        <stp>[Pricing File.xlsm]TotalReturnPricing!R611C5</stp>
        <tr r="E611" s="2"/>
      </tp>
      <tp t="s">
        <v>#N/A Field Not Applicable</v>
        <stp/>
        <stp>##V3_BDPV12</stp>
        <stp>SEK AU Equity</stp>
        <stp>OPT_DELTA</stp>
        <stp>[Pricing File.xlsm]TotalReturnPricing!R295C8</stp>
        <tr r="H295" s="2"/>
      </tp>
      <tp>
        <v>36.700000000000003</v>
        <stp/>
        <stp>##V3_BDPV12</stp>
        <stp>KEX Equity</stp>
        <stp>Px Last</stp>
        <stp>[Pricing File.xlsm]TotalReturnPricing!R591C5</stp>
        <tr r="E591" s="2"/>
      </tp>
      <tp>
        <v>19.86</v>
        <stp/>
        <stp>##V3_BDPV12</stp>
        <stp>XLF Equity</stp>
        <stp>Px Bid</stp>
        <stp>[Pricing File.xlsm]TotalReturnPricing!R47C6</stp>
        <tr r="F47" s="2"/>
      </tp>
      <tp>
        <v>41.19</v>
        <stp/>
        <stp>##V3_BDPV12</stp>
        <stp>C Equity</stp>
        <stp>Px Last</stp>
        <stp>[Pricing File.xlsm]TotalReturnPricing!R614C5</stp>
        <tr r="E614" s="2"/>
      </tp>
      <tp>
        <v>30.46</v>
        <stp/>
        <stp>##V3_BDPV12</stp>
        <stp>W Equity</stp>
        <stp>Px Last</stp>
        <stp>[Pricing File.xlsm]TotalReturnPricing!R644C5</stp>
        <tr r="E644" s="2"/>
      </tp>
      <tp>
        <v>5.35</v>
        <stp/>
        <stp>##V3_BDPV12</stp>
        <stp>IGT Equity</stp>
        <stp>Px Last</stp>
        <stp>[Pricing File.xlsm]TotalReturnPricing!R323C5</stp>
        <tr r="E323" s="2"/>
      </tp>
      <tp>
        <v>12.65</v>
        <stp/>
        <stp>##V3_BDPV12</stp>
        <stp>CCU Equity</stp>
        <stp>Px Last</stp>
        <stp>[Pricing File.xlsm]TotalReturnPricing!R379C5</stp>
        <tr r="E379" s="2"/>
      </tp>
      <tp>
        <v>15.04</v>
        <stp/>
        <stp>##V3_BDPV12</stp>
        <stp>MYL Equity</stp>
        <stp>Px Last</stp>
        <stp>[Pricing File.xlsm]TotalReturnPricing!R467C5</stp>
        <tr r="E467" s="2"/>
      </tp>
      <tp>
        <v>2.54</v>
        <stp/>
        <stp>##V3_BDPV12</stp>
        <stp>CYH Equity</stp>
        <stp>Px Last</stp>
        <stp>[Pricing File.xlsm]TotalReturnPricing!R199C5</stp>
        <tr r="E199" s="2"/>
      </tp>
      <tp>
        <v>30.9</v>
        <stp/>
        <stp>##V3_BDPV12</stp>
        <stp>NYT Equity</stp>
        <stp>Px Last</stp>
        <stp>[Pricing File.xlsm]TotalReturnPricing!R324C5</stp>
        <tr r="E324" s="2"/>
      </tp>
      <tp>
        <v>24.09</v>
        <stp/>
        <stp>##V3_BDPV12</stp>
        <stp>GC CN Equity</stp>
        <stp>Px Ask</stp>
        <stp>[Pricing File.xlsm]TotalReturnPricing!R55C7</stp>
        <tr r="G55" s="2"/>
      </tp>
      <tp t="s">
        <v>#N/A N/A</v>
        <stp/>
        <stp>##V3_BDPV12</stp>
        <stp>ITG Equity</stp>
        <stp>Px Last</stp>
        <stp>[Pricing File.xlsm]TotalReturnPricing!R343C5</stp>
        <tr r="E343" s="2"/>
      </tp>
      <tp>
        <v>0.05</v>
        <stp/>
        <stp>##V3_BDPV12</stp>
        <stp>HTZ 200320C00021000 Equity</stp>
        <stp>Px Last</stp>
        <stp>[Pricing File.xlsm]TotalReturnPricing!R902C5</stp>
        <tr r="E902" s="2"/>
      </tp>
      <tp>
        <v>8.86</v>
        <stp/>
        <stp>##V3_BDPV12</stp>
        <stp>CVA Equity</stp>
        <stp>Px Last</stp>
        <stp>[Pricing File.xlsm]TotalReturnPricing!R259C5</stp>
        <tr r="E259" s="2"/>
      </tp>
      <tp>
        <v>17</v>
        <stp/>
        <stp>##V3_BDPV12</stp>
        <stp>LVS 200417P00057500 Equity</stp>
        <stp>Px Last</stp>
        <stp>[Pricing File.xlsm]TotalReturnPricing!R910C5</stp>
        <tr r="E910" s="2"/>
      </tp>
      <tp t="s">
        <v>#N/A N/A</v>
        <stp/>
        <stp>##V3_BDPV12</stp>
        <stp>MPO Equity</stp>
        <stp>Px Last</stp>
        <stp>[Pricing File.xlsm]TotalReturnPricing!R257C5</stp>
        <tr r="E257" s="2"/>
      </tp>
      <tp>
        <v>104.66</v>
        <stp/>
        <stp>##V3_BDPV12</stp>
        <stp>CRL Equity</stp>
        <stp>Px Last</stp>
        <stp>[Pricing File.xlsm]TotalReturnPricing!R689C5</stp>
        <tr r="E689" s="2"/>
      </tp>
      <tp>
        <v>3.98</v>
        <stp/>
        <stp>##V3_BDPV12</stp>
        <stp>MRC Equity</stp>
        <stp>Px Last</stp>
        <stp>[Pricing File.xlsm]TotalReturnPricing!R287C5</stp>
        <tr r="E287" s="2"/>
      </tp>
      <tp t="s">
        <v>#N/A Field Not Applicable</v>
        <stp/>
        <stp>##V3_BDPV12</stp>
        <stp>USB3MTA Index</stp>
        <stp>OPT_DELTA</stp>
        <stp>[Pricing File.xlsm]TotalReturnPricing!R129C8</stp>
        <tr r="H129" s="2"/>
      </tp>
      <tp>
        <v>5.32</v>
        <stp/>
        <stp>##V3_BDPV12</stp>
        <stp>X Equity</stp>
        <stp>Px Ask</stp>
        <stp>[Pricing File.xlsm]TotalReturnPricing!R368C7</stp>
        <tr r="G368" s="2"/>
      </tp>
      <tp t="s">
        <v>#N/A Field Not Applicable</v>
        <stp/>
        <stp>##V3_BDPV12</stp>
        <stp>ARRS Equity</stp>
        <stp>OPT_DELTA</stp>
        <stp>[Pricing File.xlsm]TotalReturnPricing!R391C8</stp>
        <tr r="H391" s="2"/>
      </tp>
      <tp t="s">
        <v>#N/A N/A</v>
        <stp/>
        <stp>##V3_BDPV12</stp>
        <stp>EXPE 200221C00110000 Equity</stp>
        <stp>Px Last</stp>
        <stp>[Pricing File.xlsm]TotalReturnPricing!R880C5</stp>
        <tr r="E880" s="2"/>
      </tp>
      <tp t="s">
        <v>#N/A Field Not Applicable</v>
        <stp/>
        <stp>##V3_BDPV12</stp>
        <stp>CLCT Equity</stp>
        <stp>OPT_DELTA</stp>
        <stp>[Pricing File.xlsm]TotalReturnPricing!R366C8</stp>
        <tr r="H366" s="2"/>
      </tp>
      <tp t="s">
        <v>#N/A Field Not Applicable</v>
        <stp/>
        <stp>##V3_BDPV12</stp>
        <stp>COHU Equity</stp>
        <stp>OPT_DELTA</stp>
        <stp>[Pricing File.xlsm]TotalReturnPricing!R317C8</stp>
        <tr r="H317" s="2"/>
      </tp>
      <tp t="s">
        <v>#N/A Field Not Applicable</v>
        <stp/>
        <stp>##V3_BDPV12</stp>
        <stp>DNOW Equity</stp>
        <stp>OPT_DELTA</stp>
        <stp>[Pricing File.xlsm]TotalReturnPricing!R285C8</stp>
        <tr r="H285" s="2"/>
      </tp>
      <tp t="s">
        <v>#N/A Field Not Applicable</v>
        <stp/>
        <stp>##V3_BDPV12</stp>
        <stp>EGOV Equity</stp>
        <stp>OPT_DELTA</stp>
        <stp>[Pricing File.xlsm]TotalReturnPricing!R284C8</stp>
        <tr r="H284" s="2"/>
      </tp>
      <tp t="s">
        <v>#N/A Field Not Applicable</v>
        <stp/>
        <stp>##V3_BDPV12</stp>
        <stp>EVER Equity</stp>
        <stp>OPT_DELTA</stp>
        <stp>[Pricing File.xlsm]TotalReturnPricing!R830C8</stp>
        <tr r="H830" s="2"/>
      </tp>
      <tp t="s">
        <v>#N/A Field Not Applicable</v>
        <stp/>
        <stp>##V3_BDPV12</stp>
        <stp>GPOR Equity</stp>
        <stp>OPT_DELTA</stp>
        <stp>[Pricing File.xlsm]TotalReturnPricing!R260C8</stp>
        <tr r="H260" s="2"/>
      </tp>
      <tp t="s">
        <v>#N/A Field Not Applicable</v>
        <stp/>
        <stp>##V3_BDPV12</stp>
        <stp>INTU Equity</stp>
        <stp>OPT_DELTA</stp>
        <stp>[Pricing File.xlsm]TotalReturnPricing!R737C8</stp>
        <tr r="H737" s="2"/>
      </tp>
      <tp t="s">
        <v>#N/A Field Not Applicable</v>
        <stp/>
        <stp>##V3_BDPV12</stp>
        <stp>MMYT Equity</stp>
        <stp>OPT_DELTA</stp>
        <stp>[Pricing File.xlsm]TotalReturnPricing!R426C8</stp>
        <tr r="H426" s="2"/>
      </tp>
      <tp>
        <v>28.83</v>
        <stp/>
        <stp>##V3_BDPV12</stp>
        <stp>EPAY Equity</stp>
        <stp>Px Last</stp>
        <stp>[Pricing File.xlsm]TotalReturnPricing!R828C5</stp>
        <tr r="E828" s="2"/>
      </tp>
      <tp>
        <v>42.41</v>
        <stp/>
        <stp>##V3_BDPV12</stp>
        <stp>EXAS Equity</stp>
        <stp>Px Last</stp>
        <stp>[Pricing File.xlsm]TotalReturnPricing!R460C5</stp>
        <tr r="E460" s="2"/>
      </tp>
      <tp t="s">
        <v>#N/A Field Not Applicable</v>
        <stp/>
        <stp>##V3_BDPV12</stp>
        <stp>SGMS Equity</stp>
        <stp>OPT_DELTA</stp>
        <stp>[Pricing File.xlsm]TotalReturnPricing!R461C8</stp>
        <tr r="H461" s="2"/>
      </tp>
      <tp t="s">
        <v>#N/A Field Not Applicable</v>
        <stp/>
        <stp>##V3_BDPV12</stp>
        <stp>SHOP Equity</stp>
        <stp>OPT_DELTA</stp>
        <stp>[Pricing File.xlsm]TotalReturnPricing!R672C8</stp>
        <tr r="H672" s="2"/>
      </tp>
      <tp t="s">
        <v>#N/A Field Not Applicable</v>
        <stp/>
        <stp>##V3_BDPV12</stp>
        <stp>STMP Equity</stp>
        <stp>OPT_DELTA</stp>
        <stp>[Pricing File.xlsm]TotalReturnPricing!R742C8</stp>
        <tr r="H742" s="2"/>
      </tp>
      <tp t="s">
        <v>#N/A Field Not Applicable</v>
        <stp/>
        <stp>##V3_BDPV12</stp>
        <stp>SLM Equity</stp>
        <stp>OPT_DELTA</stp>
        <stp>[Pricing File.xlsm]TotalReturnPricing!R234C8</stp>
        <tr r="H234" s="2"/>
      </tp>
      <tp t="s">
        <v>#N/A Field Not Applicable</v>
        <stp/>
        <stp>##V3_BDPV12</stp>
        <stp>SUM Equity</stp>
        <stp>OPT_DELTA</stp>
        <stp>[Pricing File.xlsm]TotalReturnPricing!R394C8</stp>
        <tr r="H394" s="2"/>
      </tp>
      <tp t="s">
        <v>#N/A Field Not Applicable</v>
        <stp/>
        <stp>##V3_BDPV12</stp>
        <stp>URI Equity</stp>
        <stp>OPT_DELTA</stp>
        <stp>[Pricing File.xlsm]TotalReturnPricing!R720C8</stp>
        <tr r="H720" s="2"/>
      </tp>
      <tp t="s">
        <v>#N/A Field Not Applicable</v>
        <stp/>
        <stp>##V3_BDPV12</stp>
        <stp>EMN Equity</stp>
        <stp>OPT_DELTA</stp>
        <stp>[Pricing File.xlsm]TotalReturnPricing!R667C8</stp>
        <tr r="H667" s="2"/>
      </tp>
      <tp t="s">
        <v>#N/A Field Not Applicable</v>
        <stp/>
        <stp>##V3_BDPV12</stp>
        <stp>FII Equity</stp>
        <stp>OPT_DELTA</stp>
        <stp>[Pricing File.xlsm]TotalReturnPricing!R400C8</stp>
        <tr r="H400" s="2"/>
      </tp>
      <tp t="s">
        <v>#N/A Field Not Applicable</v>
        <stp/>
        <stp>##V3_BDPV12</stp>
        <stp>CRI Equity</stp>
        <stp>OPT_DELTA</stp>
        <stp>[Pricing File.xlsm]TotalReturnPricing!R670C8</stp>
        <tr r="H670" s="2"/>
      </tp>
      <tp t="s">
        <v>#N/A Field Not Applicable</v>
        <stp/>
        <stp>##V3_BDPV12</stp>
        <stp>CAH Equity</stp>
        <stp>OPT_DELTA</stp>
        <stp>[Pricing File.xlsm]TotalReturnPricing!R641C8</stp>
        <tr r="H641" s="2"/>
      </tp>
      <tp t="s">
        <v>#N/A Field Not Applicable</v>
        <stp/>
        <stp>##V3_BDPV12</stp>
        <stp>BAH Equity</stp>
        <stp>OPT_DELTA</stp>
        <stp>[Pricing File.xlsm]TotalReturnPricing!R431C8</stp>
        <tr r="H431" s="2"/>
      </tp>
      <tp t="s">
        <v>#N/A Field Not Applicable</v>
        <stp/>
        <stp>##V3_BDPV12</stp>
        <stp>ACN Equity</stp>
        <stp>OPT_DELTA</stp>
        <stp>[Pricing File.xlsm]TotalReturnPricing!R727C8</stp>
        <tr r="H727" s="2"/>
      </tp>
      <tp t="s">
        <v>#N/A Field Not Applicable</v>
        <stp/>
        <stp>##V3_BDPV12</stp>
        <stp>LEN Equity</stp>
        <stp>OPT_DELTA</stp>
        <stp>[Pricing File.xlsm]TotalReturnPricing!R557C8</stp>
        <tr r="H557" s="2"/>
      </tp>
      <tp t="s">
        <v>#N/A Field Not Applicable</v>
        <stp/>
        <stp>##V3_BDPV12</stp>
        <stp>CMI Equity</stp>
        <stp>OPT_DELTA</stp>
        <stp>[Pricing File.xlsm]TotalReturnPricing!R820C8</stp>
        <tr r="H820" s="2"/>
      </tp>
      <tp t="s">
        <v>#N/A Field Not Applicable</v>
        <stp/>
        <stp>##V3_BDPV12</stp>
        <stp>HXL Equity</stp>
        <stp>OPT_DELTA</stp>
        <stp>[Pricing File.xlsm]TotalReturnPricing!R545C8</stp>
        <tr r="H545" s="2"/>
      </tp>
      <tp t="s">
        <v>#N/A Field Not Applicable</v>
        <stp/>
        <stp>##V3_BDPV12</stp>
        <stp>NCI Equity</stp>
        <stp>OPT_DELTA</stp>
        <stp>[Pricing File.xlsm]TotalReturnPricing!R320C8</stp>
        <tr r="H320" s="2"/>
      </tp>
      <tp t="s">
        <v>#N/A Field Not Applicable</v>
        <stp/>
        <stp>##V3_BDPV12</stp>
        <stp>OPK Equity</stp>
        <stp>OPT_DELTA</stp>
        <stp>[Pricing File.xlsm]TotalReturnPricing!R182C8</stp>
        <tr r="H182" s="2"/>
      </tp>
      <tp t="s">
        <v>#N/A Field Not Applicable</v>
        <stp/>
        <stp>##V3_BDPV12</stp>
        <stp>MHO Equity</stp>
        <stp>OPT_DELTA</stp>
        <stp>[Pricing File.xlsm]TotalReturnPricing!R376C8</stp>
        <tr r="H376" s="2"/>
      </tp>
      <tp>
        <v>22.13</v>
        <stp/>
        <stp>##V3_BDPV12</stp>
        <stp>UPM FH Equity</stp>
        <stp>Px Bid</stp>
        <stp>[Pricing File.xlsm]TotalReturnPricing!R103C6</stp>
        <tr r="F103" s="2"/>
      </tp>
      <tp>
        <v>15.51</v>
        <stp/>
        <stp>##V3_BDPV12</stp>
        <stp>SEK AU Equity</stp>
        <stp>Px Bid</stp>
        <stp>[Pricing File.xlsm]TotalReturnPricing!R295C6</stp>
        <tr r="F295" s="2"/>
      </tp>
      <tp>
        <v>30.05</v>
        <stp/>
        <stp>##V3_BDPV12</stp>
        <stp>WMS Equity</stp>
        <stp>Px Last</stp>
        <stp>[Pricing File.xlsm]TotalReturnPricing!R332C5</stp>
        <tr r="E332" s="2"/>
      </tp>
      <tp>
        <v>88</v>
        <stp/>
        <stp>##V3_BDPV12</stp>
        <stp>WIX Equity</stp>
        <stp>Px Last</stp>
        <stp>[Pricing File.xlsm]TotalReturnPricing!R632C5</stp>
        <tr r="E632" s="2"/>
      </tp>
      <tp t="s">
        <v>#N/A N/A</v>
        <stp/>
        <stp>##V3_BDPV12</stp>
        <stp>PIR Equity</stp>
        <stp>Px Last</stp>
        <stp>[Pricing File.xlsm]TotalReturnPricing!R165C5</stp>
        <tr r="E165" s="2"/>
      </tp>
      <tp>
        <v>12.35</v>
        <stp/>
        <stp>##V3_BDPV12</stp>
        <stp>WEN Equity</stp>
        <stp>Px Last</stp>
        <stp>[Pricing File.xlsm]TotalReturnPricing!R282C5</stp>
        <tr r="E282" s="2"/>
      </tp>
      <tp>
        <v>15.34</v>
        <stp/>
        <stp>##V3_BDPV12</stp>
        <stp>SEM Equity</stp>
        <stp>Px Last</stp>
        <stp>[Pricing File.xlsm]TotalReturnPricing!R286C5</stp>
        <tr r="E286" s="2"/>
      </tp>
      <tp t="s">
        <v>#N/A N/A</v>
        <stp/>
        <stp>##V3_BDPV12</stp>
        <stp>WEX 200221C00220000 Equity</stp>
        <stp>Px Last</stp>
        <stp>[Pricing File.xlsm]TotalReturnPricing!R852C5</stp>
        <tr r="E852" s="2"/>
      </tp>
      <tp>
        <v>3.97</v>
        <stp/>
        <stp>##V3_BDPV12</stp>
        <stp>UAL 200417C00045000 Equity</stp>
        <stp>Px Last</stp>
        <stp>[Pricing File.xlsm]TotalReturnPricing!R923C5</stp>
        <tr r="E923" s="2"/>
      </tp>
      <tp t="s">
        <v>#N/A N/A</v>
        <stp/>
        <stp>##V3_BDPV12</stp>
        <stp>WCG Equity</stp>
        <stp>Px Last</stp>
        <stp>[Pricing File.xlsm]TotalReturnPricing!R762C5</stp>
        <tr r="E762" s="2"/>
      </tp>
      <tp>
        <v>23.71</v>
        <stp/>
        <stp>##V3_BDPV12</stp>
        <stp>WBS Equity</stp>
        <stp>Px Last</stp>
        <stp>[Pricing File.xlsm]TotalReturnPricing!R552C5</stp>
        <tr r="E552" s="2"/>
      </tp>
      <tp>
        <v>31.65</v>
        <stp/>
        <stp>##V3_BDPV12</stp>
        <stp>MS Equity</stp>
        <stp>Px Last</stp>
        <stp>[Pricing File.xlsm]TotalReturnPricing!R522C5</stp>
        <tr r="E522" s="2"/>
      </tp>
      <tp>
        <v>7.96</v>
        <stp/>
        <stp>##V3_BDPV12</stp>
        <stp>LC Equity</stp>
        <stp>Px Last</stp>
        <stp>[Pricing File.xlsm]TotalReturnPricing!R792C5</stp>
        <tr r="E792" s="2"/>
      </tp>
      <tp>
        <v>17.850000000000001</v>
        <stp/>
        <stp>##V3_BDPV12</stp>
        <stp>SYF Equity</stp>
        <stp>Px Last</stp>
        <stp>[Pricing File.xlsm]TotalReturnPricing!R406C5</stp>
        <tr r="E406" s="2"/>
      </tp>
      <tp>
        <v>14.82</v>
        <stp/>
        <stp>##V3_BDPV12</stp>
        <stp>SYX Equity</stp>
        <stp>Px Last</stp>
        <stp>[Pricing File.xlsm]TotalReturnPricing!R306C5</stp>
        <tr r="E306" s="2"/>
      </tp>
      <tp>
        <v>59.72</v>
        <stp/>
        <stp>##V3_BDPV12</stp>
        <stp>PXD Equity</stp>
        <stp>Px Last</stp>
        <stp>[Pricing File.xlsm]TotalReturnPricing!R755C5</stp>
        <tr r="E755" s="2"/>
      </tp>
      <tp>
        <v>6.66</v>
        <stp/>
        <stp>##V3_BDPV12</stp>
        <stp>GE Equity</stp>
        <stp>Px Last</stp>
        <stp>[Pricing File.xlsm]TotalReturnPricing!R372C5</stp>
        <tr r="E372" s="2"/>
      </tp>
      <tp>
        <v>37.97</v>
        <stp/>
        <stp>##V3_BDPV12</stp>
        <stp>NTDOY Equity</stp>
        <stp>Px Bid</stp>
        <stp>[Pricing File.xlsm]TotalReturnPricing!R97C6</stp>
        <tr r="F97" s="2"/>
      </tp>
      <tp>
        <v>83.23</v>
        <stp/>
        <stp>##V3_BDPV12</stp>
        <stp>URI Equity</stp>
        <stp>Px Last</stp>
        <stp>[Pricing File.xlsm]TotalReturnPricing!R720C5</stp>
        <tr r="E720" s="2"/>
      </tp>
      <tp t="s">
        <v>#N/A N/A</v>
        <stp/>
        <stp>##V3_BDPV12</stp>
        <stp>V 200117C00185000 Equity</stp>
        <stp>Px Ask</stp>
        <stp>[Pricing File.xlsm]TotalReturnPricing!R853C7</stp>
        <tr r="G853" s="2"/>
      </tp>
      <tp>
        <v>112.75</v>
        <stp/>
        <stp>##V3_BDPV12</stp>
        <stp>SNPS Equity</stp>
        <stp>Px Last</stp>
        <stp>[Pricing File.xlsm]TotalReturnPricing!R639C5</stp>
        <tr r="E639" s="2"/>
      </tp>
      <tp t="s">
        <v>#N/A Field Not Applicable</v>
        <stp/>
        <stp>##V3_BDPV12</stp>
        <stp>AMZN Equity</stp>
        <stp>OPT_DELTA</stp>
        <stp>[Pricing File.xlsm]TotalReturnPricing!R793C8</stp>
        <tr r="H793" s="2"/>
      </tp>
      <tp>
        <v>24.99</v>
        <stp/>
        <stp>##V3_BDPV12</stp>
        <stp>ENSG Equity</stp>
        <stp>Px Last</stp>
        <stp>[Pricing File.xlsm]TotalReturnPricing!R349C5</stp>
        <tr r="E349" s="2"/>
      </tp>
      <tp>
        <v>62.41</v>
        <stp/>
        <stp>##V3_BDPV12</stp>
        <stp>TARO Equity</stp>
        <stp>Px Last</stp>
        <stp>[Pricing File.xlsm]TotalReturnPricing!R716C5</stp>
        <tr r="E716" s="2"/>
      </tp>
      <tp>
        <v>53</v>
        <stp/>
        <stp>##V3_BDPV12</stp>
        <stp>ADUS Equity</stp>
        <stp>Px Last</stp>
        <stp>[Pricing File.xlsm]TotalReturnPricing!R443C5</stp>
        <tr r="E443" s="2"/>
      </tp>
      <tp t="s">
        <v>#N/A Field Not Applicable</v>
        <stp/>
        <stp>##V3_BDPV12</stp>
        <stp>GIII Equity</stp>
        <stp>OPT_DELTA</stp>
        <stp>[Pricing File.xlsm]TotalReturnPricing!R374C8</stp>
        <tr r="H374" s="2"/>
      </tp>
      <tp>
        <v>26.6</v>
        <stp/>
        <stp>##V3_BDPV12</stp>
        <stp>SAVE 200320P00037500 Equity</stp>
        <stp>Px Last</stp>
        <stp>[Pricing File.xlsm]TotalReturnPricing!R873C5</stp>
        <tr r="E873" s="2"/>
      </tp>
      <tp t="s">
        <v>#N/A Field Not Applicable</v>
        <stp/>
        <stp>##V3_BDPV12</stp>
        <stp>JAKK Equity</stp>
        <stp>OPT_DELTA</stp>
        <stp>[Pricing File.xlsm]TotalReturnPricing!R156C8</stp>
        <tr r="H156" s="2"/>
      </tp>
      <tp t="s">
        <v>#N/A Field Not Applicable</v>
        <stp/>
        <stp>##V3_BDPV12</stp>
        <stp>QTWO Equity</stp>
        <stp>OPT_DELTA</stp>
        <stp>[Pricing File.xlsm]TotalReturnPricing!R472C8</stp>
        <tr r="H472" s="2"/>
      </tp>
      <tp>
        <v>111.34</v>
        <stp/>
        <stp>##V3_BDPV12</stp>
        <stp>DECK Equity</stp>
        <stp>Px Last</stp>
        <stp>[Pricing File.xlsm]TotalReturnPricing!R602C5</stp>
        <tr r="E602" s="2"/>
      </tp>
      <tp>
        <v>1.45</v>
        <stp/>
        <stp>##V3_BDPV12</stp>
        <stp>ABEO Equity</stp>
        <stp>Px Last</stp>
        <stp>[Pricing File.xlsm]TotalReturnPricing!R115C5</stp>
        <tr r="E115" s="2"/>
      </tp>
      <tp t="s">
        <v>#N/A Field Not Applicable</v>
        <stp/>
        <stp>##V3_BDPV12</stp>
        <stp>UFS Equity</stp>
        <stp>OPT_DELTA</stp>
        <stp>[Pricing File.xlsm]TotalReturnPricing!R465C8</stp>
        <tr r="H465" s="2"/>
      </tp>
      <tp t="s">
        <v>#N/A Field Not Applicable</v>
        <stp/>
        <stp>##V3_BDPV12</stp>
        <stp>TER Equity</stp>
        <stp>OPT_DELTA</stp>
        <stp>[Pricing File.xlsm]TotalReturnPricing!R434C8</stp>
        <tr r="H434" s="2"/>
      </tp>
      <tp t="s">
        <v>#N/A Field Not Applicable</v>
        <stp/>
        <stp>##V3_BDPV12</stp>
        <stp>UNP Equity</stp>
        <stp>OPT_DELTA</stp>
        <stp>[Pricing File.xlsm]TotalReturnPricing!R696C8</stp>
        <tr r="H696" s="2"/>
      </tp>
      <tp t="s">
        <v>#N/A Field Not Applicable</v>
        <stp/>
        <stp>##V3_BDPV12</stp>
        <stp>UHS Equity</stp>
        <stp>OPT_DELTA</stp>
        <stp>[Pricing File.xlsm]TotalReturnPricing!R705C8</stp>
        <tr r="H705" s="2"/>
      </tp>
      <tp t="s">
        <v>#N/A Field Not Applicable</v>
        <stp/>
        <stp>##V3_BDPV12</stp>
        <stp>PTR Equity</stp>
        <stp>OPT_DELTA</stp>
        <stp>[Pricing File.xlsm]TotalReturnPricing!R604C8</stp>
        <tr r="H604" s="2"/>
      </tp>
      <tp t="s">
        <v>#N/A Field Not Applicable</v>
        <stp/>
        <stp>##V3_BDPV12</stp>
        <stp>DFS Equity</stp>
        <stp>OPT_DELTA</stp>
        <stp>[Pricing File.xlsm]TotalReturnPricing!R585C8</stp>
        <tr r="H585" s="2"/>
      </tp>
      <tp t="s">
        <v>#N/A Field Not Applicable</v>
        <stp/>
        <stp>##V3_BDPV12</stp>
        <stp>TTWO Equity</stp>
        <stp>OPT_DELTA</stp>
        <stp>[Pricing File.xlsm]TotalReturnPricing!R652C8</stp>
        <tr r="H652" s="2"/>
      </tp>
      <tp t="s">
        <v>#N/A Field Not Applicable</v>
        <stp/>
        <stp>##V3_BDPV12</stp>
        <stp>DKS Equity</stp>
        <stp>OPT_DELTA</stp>
        <stp>[Pricing File.xlsm]TotalReturnPricing!R455C8</stp>
        <tr r="H455" s="2"/>
      </tp>
      <tp t="s">
        <v>#N/A Field Not Applicable</v>
        <stp/>
        <stp>##V3_BDPV12</stp>
        <stp>EPR Equity</stp>
        <stp>OPT_DELTA</stp>
        <stp>[Pricing File.xlsm]TotalReturnPricing!R624C8</stp>
        <tr r="H624" s="2"/>
      </tp>
      <tp t="s">
        <v>#N/A Field Not Applicable</v>
        <stp/>
        <stp>##V3_BDPV12</stp>
        <stp>EQT Equity</stp>
        <stp>OPT_DELTA</stp>
        <stp>[Pricing File.xlsm]TotalReturnPricing!R612C8</stp>
        <tr r="H612" s="2"/>
      </tp>
      <tp t="s">
        <v>#N/A Field Not Applicable</v>
        <stp/>
        <stp>##V3_BDPV12</stp>
        <stp>FLS Equity</stp>
        <stp>OPT_DELTA</stp>
        <stp>[Pricing File.xlsm]TotalReturnPricing!R515C8</stp>
        <tr r="H515" s="2"/>
      </tp>
      <tp t="s">
        <v>#N/A Field Not Applicable</v>
        <stp/>
        <stp>##V3_BDPV12</stp>
        <stp>DDS Equity</stp>
        <stp>OPT_DELTA</stp>
        <stp>[Pricing File.xlsm]TotalReturnPricing!R645C8</stp>
        <tr r="H645" s="2"/>
      </tp>
      <tp t="s">
        <v>#N/A Field Not Applicable</v>
        <stp/>
        <stp>##V3_BDPV12</stp>
        <stp>ARW Equity</stp>
        <stp>OPT_DELTA</stp>
        <stp>[Pricing File.xlsm]TotalReturnPricing!R661C8</stp>
        <tr r="H661" s="2"/>
      </tp>
      <tp t="s">
        <v>#N/A Field Not Applicable</v>
        <stp/>
        <stp>##V3_BDPV12</stp>
        <stp>LVS Equity</stp>
        <stp>OPT_DELTA</stp>
        <stp>[Pricing File.xlsm]TotalReturnPricing!R595C8</stp>
        <tr r="H595" s="2"/>
      </tp>
      <tp t="s">
        <v>#N/A Field Not Applicable</v>
        <stp/>
        <stp>##V3_BDPV12</stp>
        <stp>TRWH Equity</stp>
        <stp>OPT_DELTA</stp>
        <stp>[Pricing File.xlsm]TotalReturnPricing!R835C8</stp>
        <tr r="H835" s="2"/>
      </tp>
      <tp t="s">
        <v>#N/A Field Not Applicable</v>
        <stp/>
        <stp>##V3_BDPV12</stp>
        <stp>IGT Equity</stp>
        <stp>OPT_DELTA</stp>
        <stp>[Pricing File.xlsm]TotalReturnPricing!R322C8</stp>
        <tr r="H322" s="2"/>
      </tp>
      <tp>
        <v>7.37</v>
        <stp/>
        <stp>##V3_BDPV12</stp>
        <stp>INFY Equity</stp>
        <stp>Px Last</stp>
        <stp>[Pricing File.xlsm]TotalReturnPricing!R279C5</stp>
        <tr r="E279" s="2"/>
      </tp>
      <tp>
        <v>30.56</v>
        <stp/>
        <stp>##V3_BDPV12</stp>
        <stp>SCHW Equity</stp>
        <stp>Px Last</stp>
        <stp>[Pricing File.xlsm]TotalReturnPricing!R844C5</stp>
        <tr r="E844" s="2"/>
      </tp>
      <tp>
        <v>17.18</v>
        <stp/>
        <stp>##V3_BDPV12</stp>
        <stp>ACHC Equity</stp>
        <stp>Px Last</stp>
        <stp>[Pricing File.xlsm]TotalReturnPricing!R534C5</stp>
        <tr r="E534" s="2"/>
      </tp>
      <tp>
        <v>0.32</v>
        <stp/>
        <stp>##V3_BDPV12</stp>
        <stp>JAKK Equity</stp>
        <stp>Px Last</stp>
        <stp>[Pricing File.xlsm]TotalReturnPricing!R156C5</stp>
        <tr r="E156" s="2"/>
      </tp>
      <tp t="s">
        <v>#N/A N/A</v>
        <stp/>
        <stp>##V3_BDPV12</stp>
        <stp>SEMG Equity</stp>
        <stp>Px Last</stp>
        <stp>[Pricing File.xlsm]TotalReturnPricing!R382C5</stp>
        <tr r="E382" s="2"/>
      </tp>
      <tp>
        <v>4.54</v>
        <stp/>
        <stp>##V3_BDPV12</stp>
        <stp>GNMK Equity</stp>
        <stp>Px Last</stp>
        <stp>[Pricing File.xlsm]TotalReturnPricing!R239C5</stp>
        <tr r="E239" s="2"/>
      </tp>
      <tp t="s">
        <v>#N/A N/A</v>
        <stp/>
        <stp>##V3_BDPV12</stp>
        <stp>CELG Equity</stp>
        <stp>Px Last</stp>
        <stp>[Pricing File.xlsm]TotalReturnPricing!R732C5</stp>
        <tr r="E732" s="2"/>
      </tp>
      <tp>
        <v>1084.33</v>
        <stp/>
        <stp>##V3_BDPV12</stp>
        <stp>GOOG Equity</stp>
        <stp>Px Last</stp>
        <stp>[Pricing File.xlsm]TotalReturnPricing!R788C5</stp>
        <tr r="E788" s="2"/>
      </tp>
      <tp>
        <v>10.56</v>
        <stp/>
        <stp>##V3_BDPV12</stp>
        <stp>SIG Equity</stp>
        <stp>Px Last</stp>
        <stp>[Pricing File.xlsm]TotalReturnPricing!R597C5</stp>
        <tr r="E597" s="2"/>
      </tp>
      <tp>
        <v>43.44</v>
        <stp/>
        <stp>##V3_BDPV12</stp>
        <stp>RHI Equity</stp>
        <stp>Px Last</stp>
        <stp>[Pricing File.xlsm]TotalReturnPricing!R496C5</stp>
        <tr r="E496" s="2"/>
      </tp>
      <tp>
        <v>0.28999999999999998</v>
        <stp/>
        <stp>##V3_BDPV12</stp>
        <stp>UAL 200619C00097500 Equity</stp>
        <stp>Px Last</stp>
        <stp>[Pricing File.xlsm]TotalReturnPricing!R867C5</stp>
        <tr r="E867" s="2"/>
      </tp>
      <tp>
        <v>0.45</v>
        <stp/>
        <stp>##V3_BDPV12</stp>
        <stp>UAL 200619C00090000 Equity</stp>
        <stp>Px Last</stp>
        <stp>[Pricing File.xlsm]TotalReturnPricing!R872C5</stp>
        <tr r="E872" s="2"/>
      </tp>
      <tp>
        <v>14.34</v>
        <stp/>
        <stp>##V3_BDPV12</stp>
        <stp>TEX Equity</stp>
        <stp>Px Last</stp>
        <stp>[Pricing File.xlsm]TotalReturnPricing!R470C5</stp>
        <tr r="E470" s="2"/>
      </tp>
      <tp>
        <v>4.3150000000000004</v>
        <stp/>
        <stp>##V3_BDPV12</stp>
        <stp>AF FP Equity</stp>
        <stp>Px Bid</stp>
        <stp>[Pricing File.xlsm]TotalReturnPricing!R70C6</stp>
        <tr r="F70" s="2"/>
      </tp>
      <tp>
        <v>2.67</v>
        <stp/>
        <stp>##V3_BDPV12</stp>
        <stp>TRUE Equity</stp>
        <stp>Px Bid</stp>
        <stp>[Pricing File.xlsm]TotalReturnPricing!R41C6</stp>
        <tr r="F41" s="2"/>
      </tp>
      <tp>
        <v>6.1</v>
        <stp/>
        <stp>##V3_BDPV12</stp>
        <stp>VG Equity</stp>
        <stp>Px Last</stp>
        <stp>[Pricing File.xlsm]TotalReturnPricing!R193C5</stp>
        <tr r="E193" s="2"/>
      </tp>
      <tp>
        <v>2.83</v>
        <stp/>
        <stp>##V3_BDPV12</stp>
        <stp>UAL 200417P00020000 Equity</stp>
        <stp>Px Last</stp>
        <stp>[Pricing File.xlsm]TotalReturnPricing!R922C5</stp>
        <tr r="E922" s="2"/>
      </tp>
      <tp>
        <v>2.4300000000000002</v>
        <stp/>
        <stp>##V3_BDPV12</stp>
        <stp>UAL 200417C00050000 Equity</stp>
        <stp>Px Last</stp>
        <stp>[Pricing File.xlsm]TotalReturnPricing!R912C5</stp>
        <tr r="E912" s="2"/>
      </tp>
      <tp>
        <v>121.91</v>
        <stp/>
        <stp>##V3_BDPV12</stp>
        <stp>LH Equity</stp>
        <stp>Px Last</stp>
        <stp>[Pricing File.xlsm]TotalReturnPricing!R753C5</stp>
        <tr r="E753" s="2"/>
      </tp>
      <tp>
        <v>8.59</v>
        <stp/>
        <stp>##V3_BDPV12</stp>
        <stp>PCYO Equity</stp>
        <stp>Px Ask</stp>
        <stp>[Pricing File.xlsm]TotalReturnPricing!R98C7</stp>
        <tr r="G98" s="2"/>
      </tp>
      <tp>
        <v>6.66</v>
        <stp/>
        <stp>##V3_BDPV12</stp>
        <stp>GE Equity</stp>
        <stp>Px Last</stp>
        <stp>[Pricing File.xlsm]TotalReturnPricing!R373C5</stp>
        <tr r="E373" s="2"/>
      </tp>
      <tp>
        <v>30.64</v>
        <stp/>
        <stp>##V3_BDPV12</stp>
        <stp>PTR Equity</stp>
        <stp>Px Last</stp>
        <stp>[Pricing File.xlsm]TotalReturnPricing!R604C5</stp>
        <tr r="E604" s="2"/>
      </tp>
      <tp>
        <v>23.66</v>
        <stp/>
        <stp>##V3_BDPV12</stp>
        <stp>FL Equity</stp>
        <stp>Px Last</stp>
        <stp>[Pricing File.xlsm]TotalReturnPricing!R523C5</stp>
        <tr r="E523" s="2"/>
      </tp>
      <tp>
        <v>18.73</v>
        <stp/>
        <stp>##V3_BDPV12</stp>
        <stp>VPG Equity</stp>
        <stp>Px Last</stp>
        <stp>[Pricing File.xlsm]TotalReturnPricing!R302C5</stp>
        <tr r="E302" s="2"/>
      </tp>
      <tp>
        <v>39.36</v>
        <stp/>
        <stp>##V3_BDPV12</stp>
        <stp>TPX Equity</stp>
        <stp>Px Last</stp>
        <stp>[Pricing File.xlsm]TotalReturnPricing!R590C5</stp>
        <tr r="E590" s="2"/>
      </tp>
      <tp>
        <v>239.85</v>
        <stp/>
        <stp>##V3_BDPV12</stp>
        <stp>SPY Equity</stp>
        <stp>Px Last</stp>
        <stp>[Pricing File.xlsm]TotalReturnPricing!R827C5</stp>
        <tr r="E827" s="2"/>
      </tp>
      <tp>
        <v>16.420000000000002</v>
        <stp/>
        <stp>##V3_BDPV12</stp>
        <stp>TRN Equity</stp>
        <stp>Px Last</stp>
        <stp>[Pricing File.xlsm]TotalReturnPricing!R390C5</stp>
        <tr r="E390" s="2"/>
      </tp>
      <tp>
        <v>18.23</v>
        <stp/>
        <stp>##V3_BDPV12</stp>
        <stp>AC CN Equity</stp>
        <stp>Px Last</stp>
        <stp>[Pricing File.xlsm]TotalReturnPricing!R59C5</stp>
        <tr r="E59" s="2"/>
      </tp>
      <tp t="s">
        <v>#N/A Field Not Applicable</v>
        <stp/>
        <stp>##V3_BDPV12</stp>
        <stp>ASTE Equity</stp>
        <stp>OPT_DELTA</stp>
        <stp>[Pricing File.xlsm]TotalReturnPricing!R549C8</stp>
        <tr r="H549" s="2"/>
      </tp>
      <tp>
        <v>21.76</v>
        <stp/>
        <stp>##V3_BDPV12</stp>
        <stp>PFSI Equity</stp>
        <stp>Px Last</stp>
        <stp>[Pricing File.xlsm]TotalReturnPricing!R300C5</stp>
        <tr r="E300" s="2"/>
      </tp>
      <tp>
        <v>26.49</v>
        <stp/>
        <stp>##V3_BDPV12</stp>
        <stp>SERV Equity</stp>
        <stp>Px Last</stp>
        <stp>[Pricing File.xlsm]TotalReturnPricing!R483C5</stp>
        <tr r="E483" s="2"/>
      </tp>
      <tp>
        <v>8.5399999999999991</v>
        <stp/>
        <stp>##V3_BDPV12</stp>
        <stp>PGTI Equity</stp>
        <stp>Px Last</stp>
        <stp>[Pricing File.xlsm]TotalReturnPricing!R251C5</stp>
        <tr r="E251" s="2"/>
      </tp>
      <tp>
        <v>224.04</v>
        <stp/>
        <stp>##V3_BDPV12</stp>
        <stp>ANTM Equity</stp>
        <stp>Px Last</stp>
        <stp>[Pricing File.xlsm]TotalReturnPricing!R708C5</stp>
        <tr r="E708" s="2"/>
      </tp>
      <tp>
        <v>1.355E-2</v>
        <stp/>
        <stp>##V3_BDPV12</stp>
        <stp>PFTI Equity</stp>
        <stp>Px Last</stp>
        <stp>[Pricing File.xlsm]TotalReturnPricing!R120C5</stp>
        <tr r="E120" s="2"/>
      </tp>
      <tp t="s">
        <v>#N/A Field Not Applicable</v>
        <stp/>
        <stp>##V3_BDPV12</stp>
        <stp>EGBN Equity</stp>
        <stp>OPT_DELTA</stp>
        <stp>[Pricing File.xlsm]TotalReturnPricing!R592C8</stp>
        <tr r="H592" s="2"/>
      </tp>
      <tp>
        <v>8.51</v>
        <stp/>
        <stp>##V3_BDPV12</stp>
        <stp>COWN Equity</stp>
        <stp>Px Last</stp>
        <stp>[Pricing File.xlsm]TotalReturnPricing!R289C5</stp>
        <tr r="E289" s="2"/>
      </tp>
      <tp>
        <v>11.66</v>
        <stp/>
        <stp>##V3_BDPV12</stp>
        <stp>SAVE Equity</stp>
        <stp>Px Last</stp>
        <stp>[Pricing File.xlsm]TotalReturnPricing!R107C5</stp>
        <tr r="E107" s="2"/>
      </tp>
      <tp>
        <v>8.6</v>
        <stp/>
        <stp>##V3_BDPV12</stp>
        <stp>PCYO Equity</stp>
        <stp>Px Last</stp>
        <stp>[Pricing File.xlsm]TotalReturnPricing!R98C5</stp>
        <tr r="E98" s="2"/>
      </tp>
      <tp t="s">
        <v>#N/A N/A</v>
        <stp/>
        <stp>##V3_BDPV12</stp>
        <stp>WJA CN Equity</stp>
        <stp>Px Ask</stp>
        <stp>[Pricing File.xlsm]TotalReturnPricing!R54C7</stp>
        <tr r="G54" s="2"/>
      </tp>
      <tp t="s">
        <v>#N/A Field Not Applicable</v>
        <stp/>
        <stp>##V3_BDPV12</stp>
        <stp>NUAN Equity</stp>
        <stp>OPT_DELTA</stp>
        <stp>[Pricing File.xlsm]TotalReturnPricing!R292C8</stp>
        <tr r="H292" s="2"/>
      </tp>
      <tp>
        <v>8.43</v>
        <stp/>
        <stp>##V3_BDPV12</stp>
        <stp>HBAN Equity</stp>
        <stp>Px Last</stp>
        <stp>[Pricing File.xlsm]TotalReturnPricing!R254C5</stp>
        <tr r="E254" s="2"/>
      </tp>
      <tp t="s">
        <v>#N/A Field Not Applicable</v>
        <stp/>
        <stp>##V3_BDPV12</stp>
        <stp>PLCE Equity</stp>
        <stp>OPT_DELTA</stp>
        <stp>[Pricing File.xlsm]TotalReturnPricing!R699C8</stp>
        <tr r="H699" s="2"/>
      </tp>
      <tp t="s">
        <v>#N/A Field Not Applicable</v>
        <stp/>
        <stp>##V3_BDPV12</stp>
        <stp>QGEN Equity</stp>
        <stp>OPT_DELTA</stp>
        <stp>[Pricing File.xlsm]TotalReturnPricing!R432C8</stp>
        <tr r="H432" s="2"/>
      </tp>
      <tp>
        <v>29.76</v>
        <stp/>
        <stp>##V3_BDPV12</stp>
        <stp>UMI BB Equity</stp>
        <stp>Px Ask</stp>
        <stp>[Pricing File.xlsm]TotalReturnPricing!R123C7</stp>
        <tr r="G123" s="2"/>
      </tp>
      <tp>
        <v>5.25</v>
        <stp/>
        <stp>##V3_BDPV12</stp>
        <stp>TBBK Equity</stp>
        <stp>Px Last</stp>
        <stp>[Pricing File.xlsm]TotalReturnPricing!R204C5</stp>
        <tr r="E204" s="2"/>
      </tp>
      <tp t="s">
        <v>#N/A Field Not Applicable</v>
        <stp/>
        <stp>##V3_BDPV12</stp>
        <stp>RRR Equity</stp>
        <stp>OPT_DELTA</stp>
        <stp>[Pricing File.xlsm]TotalReturnPricing!R365C8</stp>
        <tr r="H365" s="2"/>
      </tp>
      <tp t="s">
        <v>#N/A Field Not Applicable</v>
        <stp/>
        <stp>##V3_BDPV12</stp>
        <stp>PIR Equity</stp>
        <stp>OPT_DELTA</stp>
        <stp>[Pricing File.xlsm]TotalReturnPricing!R165C8</stp>
        <tr r="H165" s="2"/>
      </tp>
      <tp t="s">
        <v>#N/A Field Not Applicable</v>
        <stp/>
        <stp>##V3_BDPV12</stp>
        <stp>STT Equity</stp>
        <stp>OPT_DELTA</stp>
        <stp>[Pricing File.xlsm]TotalReturnPricing!R683C8</stp>
        <tr r="H683" s="2"/>
      </tp>
      <tp t="s">
        <v>#N/A Field Not Applicable</v>
        <stp/>
        <stp>##V3_BDPV12</stp>
        <stp>XHR Equity</stp>
        <stp>OPT_DELTA</stp>
        <stp>[Pricing File.xlsm]TotalReturnPricing!R325C8</stp>
        <tr r="H325" s="2"/>
      </tp>
      <tp t="s">
        <v>#N/A Field Not Applicable</v>
        <stp/>
        <stp>##V3_BDPV12</stp>
        <stp>TWLO Equity</stp>
        <stp>OPT_DELTA</stp>
        <stp>[Pricing File.xlsm]TotalReturnPricing!R403C8</stp>
        <tr r="H403" s="2"/>
      </tp>
      <tp t="s">
        <v>#N/A Field Not Applicable</v>
        <stp/>
        <stp>##V3_BDPV12</stp>
        <stp>CZR Equity</stp>
        <stp>OPT_DELTA</stp>
        <stp>[Pricing File.xlsm]TotalReturnPricing!R245C8</stp>
        <tr r="H245" s="2"/>
      </tp>
      <tp t="s">
        <v>#N/A Field Not Applicable</v>
        <stp/>
        <stp>##V3_BDPV12</stp>
        <stp>DKS Equity</stp>
        <stp>OPT_DELTA</stp>
        <stp>[Pricing File.xlsm]TotalReturnPricing!R454C8</stp>
        <tr r="H454" s="2"/>
      </tp>
      <tp t="s">
        <v>#N/A Field Not Applicable</v>
        <stp/>
        <stp>##V3_BDPV12</stp>
        <stp>TSCO Equity</stp>
        <stp>OPT_DELTA</stp>
        <stp>[Pricing File.xlsm]TotalReturnPricing!R573C8</stp>
        <tr r="H573" s="2"/>
      </tp>
      <tp t="s">
        <v>#N/A Field Not Applicable</v>
        <stp/>
        <stp>##V3_BDPV12</stp>
        <stp>GPS Equity</stp>
        <stp>OPT_DELTA</stp>
        <stp>[Pricing File.xlsm]TotalReturnPricing!R364C8</stp>
        <tr r="H364" s="2"/>
      </tp>
      <tp t="s">
        <v>#N/A Field Not Applicable</v>
        <stp/>
        <stp>##V3_BDPV12</stp>
        <stp>CAR Equity</stp>
        <stp>OPT_DELTA</stp>
        <stp>[Pricing File.xlsm]TotalReturnPricing!R425C8</stp>
        <tr r="H425" s="2"/>
      </tp>
      <tp t="s">
        <v>#N/A Field Not Applicable</v>
        <stp/>
        <stp>##V3_BDPV12</stp>
        <stp>AMT Equity</stp>
        <stp>OPT_DELTA</stp>
        <stp>[Pricing File.xlsm]TotalReturnPricing!R733C8</stp>
        <tr r="H733" s="2"/>
      </tp>
      <tp t="s">
        <v>#N/A Field Not Applicable</v>
        <stp/>
        <stp>##V3_BDPV12</stp>
        <stp>LVS Equity</stp>
        <stp>OPT_DELTA</stp>
        <stp>[Pricing File.xlsm]TotalReturnPricing!R594C8</stp>
        <tr r="H594" s="2"/>
      </tp>
      <tp t="s">
        <v>#N/A Field Not Applicable</v>
        <stp/>
        <stp>##V3_BDPV12</stp>
        <stp>MAS Equity</stp>
        <stp>OPT_DELTA</stp>
        <stp>[Pricing File.xlsm]TotalReturnPricing!R464C8</stp>
        <tr r="H464" s="2"/>
      </tp>
      <tp t="s">
        <v>#N/A Field Not Applicable</v>
        <stp/>
        <stp>##V3_BDPV12</stp>
        <stp>IGT Equity</stp>
        <stp>OPT_DELTA</stp>
        <stp>[Pricing File.xlsm]TotalReturnPricing!R323C8</stp>
        <tr r="H323" s="2"/>
      </tp>
      <tp>
        <v>5.87</v>
        <stp/>
        <stp>##V3_BDPV12</stp>
        <stp>ZNGA Equity</stp>
        <stp>Px Last</stp>
        <stp>[Pricing File.xlsm]TotalReturnPricing!R158C5</stp>
        <tr r="E158" s="2"/>
      </tp>
      <tp>
        <v>71.52</v>
        <stp/>
        <stp>##V3_BDPV12</stp>
        <stp>LOGM Equity</stp>
        <stp>Px Last</stp>
        <stp>[Pricing File.xlsm]TotalReturnPricing!R709C5</stp>
        <tr r="E709" s="2"/>
      </tp>
      <tp t="s">
        <v>#N/A Field Not Applicable</v>
        <stp/>
        <stp>##V3_BDPV12</stp>
        <stp>WIFI Equity</stp>
        <stp>OPT_DELTA</stp>
        <stp>[Pricing File.xlsm]TotalReturnPricing!R275C8</stp>
        <tr r="H275" s="2"/>
      </tp>
      <tp>
        <v>75.38</v>
        <stp/>
        <stp>##V3_BDPV12</stp>
        <stp>JBHT Equity</stp>
        <stp>Px Last</stp>
        <stp>[Pricing File.xlsm]TotalReturnPricing!R674C5</stp>
        <tr r="E674" s="2"/>
      </tp>
      <tp>
        <v>11.76</v>
        <stp/>
        <stp>##V3_BDPV12</stp>
        <stp>EGHT Equity</stp>
        <stp>Px Last</stp>
        <stp>[Pricing File.xlsm]TotalReturnPricing!R271C5</stp>
        <tr r="E271" s="2"/>
      </tp>
      <tp>
        <v>7.02</v>
        <stp/>
        <stp>##V3_BDPV12</stp>
        <stp>SGMS Equity</stp>
        <stp>Px Last</stp>
        <stp>[Pricing File.xlsm]TotalReturnPricing!R461C5</stp>
        <tr r="E461" s="2"/>
      </tp>
      <tp>
        <v>64.48</v>
        <stp/>
        <stp>##V3_BDPV12</stp>
        <stp>QCOM Equity</stp>
        <stp>Px Last</stp>
        <stp>[Pricing File.xlsm]TotalReturnPricing!R555C5</stp>
        <tr r="E555" s="2"/>
      </tp>
      <tp>
        <v>6.79</v>
        <stp/>
        <stp>##V3_BDPV12</stp>
        <stp>SLM Equity</stp>
        <stp>Px Last</stp>
        <stp>[Pricing File.xlsm]TotalReturnPricing!R234C5</stp>
        <tr r="E234" s="2"/>
      </tp>
      <tp>
        <v>1.3</v>
        <stp/>
        <stp>##V3_BDPV12</stp>
        <stp>RIG Equity</stp>
        <stp>Px Last</stp>
        <stp>[Pricing File.xlsm]TotalReturnPricing!R215C5</stp>
        <tr r="E215" s="2"/>
      </tp>
      <tp>
        <v>2.76</v>
        <stp/>
        <stp>##V3_BDPV12</stp>
        <stp>WIT Equity</stp>
        <stp>Px Last</stp>
        <stp>[Pricing File.xlsm]TotalReturnPricing!R180C5</stp>
        <tr r="E180" s="2"/>
      </tp>
      <tp>
        <v>43.44</v>
        <stp/>
        <stp>##V3_BDPV12</stp>
        <stp>RHI Equity</stp>
        <stp>Px Last</stp>
        <stp>[Pricing File.xlsm]TotalReturnPricing!R495C5</stp>
        <tr r="E495" s="2"/>
      </tp>
      <tp>
        <v>8.5500000000000007</v>
        <stp/>
        <stp>##V3_BDPV12</stp>
        <stp>PCYO Equity</stp>
        <stp>Px Bid</stp>
        <stp>[Pricing File.xlsm]TotalReturnPricing!R98C6</stp>
        <tr r="F98" s="2"/>
      </tp>
      <tp>
        <v>10.58</v>
        <stp/>
        <stp>##V3_BDPV12</stp>
        <stp>PBF Equity</stp>
        <stp>Px Last</stp>
        <stp>[Pricing File.xlsm]TotalReturnPricing!R347C5</stp>
        <tr r="E347" s="2"/>
      </tp>
      <tp>
        <v>4.319</v>
        <stp/>
        <stp>##V3_BDPV12</stp>
        <stp>AF FP Equity</stp>
        <stp>Px Ask</stp>
        <stp>[Pricing File.xlsm]TotalReturnPricing!R70C7</stp>
        <tr r="G70" s="2"/>
      </tp>
      <tp>
        <v>2.68</v>
        <stp/>
        <stp>##V3_BDPV12</stp>
        <stp>TRUE Equity</stp>
        <stp>Px Ask</stp>
        <stp>[Pricing File.xlsm]TotalReturnPricing!R41C7</stp>
        <tr r="G41" s="2"/>
      </tp>
      <tp>
        <v>27.23</v>
        <stp/>
        <stp>##V3_BDPV12</stp>
        <stp>MC Equity</stp>
        <stp>Px Last</stp>
        <stp>[Pricing File.xlsm]TotalReturnPricing!R480C5</stp>
        <tr r="E480" s="2"/>
      </tp>
      <tp t="s">
        <v>#N/A N/A</v>
        <stp/>
        <stp>##V3_BDPV12</stp>
        <stp>MB Equity</stp>
        <stp>Px Last</stp>
        <stp>[Pricing File.xlsm]TotalReturnPricing!R370C5</stp>
        <tr r="E370" s="2"/>
      </tp>
      <tp t="s">
        <v>#N/A N/A</v>
        <stp/>
        <stp>##V3_BDPV12</stp>
        <stp>HK Equity</stp>
        <stp>Px Last</stp>
        <stp>[Pricing File.xlsm]TotalReturnPricing!R190C5</stp>
        <tr r="E190" s="2"/>
      </tp>
      <tp>
        <v>12.03</v>
        <stp/>
        <stp>##V3_BDPV12</stp>
        <stp>SUM Equity</stp>
        <stp>Px Last</stp>
        <stp>[Pricing File.xlsm]TotalReturnPricing!R394C5</stp>
        <tr r="E394" s="2"/>
      </tp>
      <tp>
        <v>187.45</v>
        <stp/>
        <stp>##V3_BDPV12</stp>
        <stp>CP Equity</stp>
        <stp>Px Last</stp>
        <stp>[Pricing File.xlsm]TotalReturnPricing!R750C5</stp>
        <tr r="E750" s="2"/>
      </tp>
      <tp>
        <v>129.61000000000001</v>
        <stp/>
        <stp>##V3_BDPV12</stp>
        <stp>BA Equity</stp>
        <stp>Px Last</stp>
        <stp>[Pricing File.xlsm]TotalReturnPricing!R420C5</stp>
        <tr r="E420" s="2"/>
      </tp>
      <tp t="s">
        <v>#N/A N/A</v>
        <stp/>
        <stp>##V3_BDPV12</stp>
        <stp>TRK Equity</stp>
        <stp>Px Last</stp>
        <stp>[Pricing File.xlsm]TotalReturnPricing!R333C5</stp>
        <tr r="E333" s="2"/>
      </tp>
      <tp>
        <v>6.15</v>
        <stp/>
        <stp>##V3_BDPV12</stp>
        <stp>RRR Equity</stp>
        <stp>Px Last</stp>
        <stp>[Pricing File.xlsm]TotalReturnPricing!R365C5</stp>
        <tr r="E365" s="2"/>
      </tp>
      <tp>
        <v>19.55</v>
        <stp/>
        <stp>##V3_BDPV12</stp>
        <stp>GLPI Equity</stp>
        <stp>Px Last</stp>
        <stp>[Pricing File.xlsm]TotalReturnPricing!R459C5</stp>
        <tr r="E459" s="2"/>
      </tp>
      <tp t="s">
        <v>#N/A Field Not Applicable</v>
        <stp/>
        <stp>##V3_BDPV12</stp>
        <stp>ALGN Equity</stp>
        <stp>OPT_DELTA</stp>
        <stp>[Pricing File.xlsm]TotalReturnPricing!R751C8</stp>
        <tr r="H751" s="2"/>
      </tp>
      <tp t="s">
        <v>#N/A Field Not Applicable</v>
        <stp/>
        <stp>##V3_BDPV12</stp>
        <stp>ALXN Equity</stp>
        <stp>OPT_DELTA</stp>
        <stp>[Pricing File.xlsm]TotalReturnPricing!R731C8</stp>
        <tr r="H731" s="2"/>
      </tp>
      <tp t="s">
        <v>#N/A Field Not Applicable</v>
        <stp/>
        <stp>##V3_BDPV12</stp>
        <stp>ARII Equity</stp>
        <stp>OPT_DELTA</stp>
        <stp>[Pricing File.xlsm]TotalReturnPricing!R456C8</stp>
        <tr r="H456" s="2"/>
      </tp>
      <tp t="s">
        <v>#N/A Field Not Applicable</v>
        <stp/>
        <stp>##V3_BDPV12</stp>
        <stp>ASGN Equity</stp>
        <stp>OPT_DELTA</stp>
        <stp>[Pricing File.xlsm]TotalReturnPricing!R531C8</stp>
        <tr r="H531" s="2"/>
      </tp>
      <tp>
        <v>19.260000000000002</v>
        <stp/>
        <stp>##V3_BDPV12</stp>
        <stp>HMSY Equity</stp>
        <stp>Px Last</stp>
        <stp>[Pricing File.xlsm]TotalReturnPricing!R318C5</stp>
        <tr r="E318" s="2"/>
      </tp>
      <tp>
        <v>6.72</v>
        <stp/>
        <stp>##V3_BDPV12</stp>
        <stp>DESP Equity</stp>
        <stp>Px Last</stp>
        <stp>[Pricing File.xlsm]TotalReturnPricing!R800C5</stp>
        <tr r="E800" s="2"/>
      </tp>
      <tp t="s">
        <v>#N/A Field Not Applicable</v>
        <stp/>
        <stp>##V3_BDPV12</stp>
        <stp>BCEI Equity</stp>
        <stp>OPT_DELTA</stp>
        <stp>[Pricing File.xlsm]TotalReturnPricing!R396C8</stp>
        <tr r="H396" s="2"/>
      </tp>
      <tp>
        <v>5.19</v>
        <stp/>
        <stp>##V3_BDPV12</stp>
        <stp>MDRX Equity</stp>
        <stp>Px Last</stp>
        <stp>[Pricing File.xlsm]TotalReturnPricing!R241C5</stp>
        <tr r="E241" s="2"/>
      </tp>
      <tp>
        <v>60.53</v>
        <stp/>
        <stp>##V3_BDPV12</stp>
        <stp>CERN Equity</stp>
        <stp>Px Last</stp>
        <stp>[Pricing File.xlsm]TotalReturnPricing!R600C5</stp>
        <tr r="E600" s="2"/>
      </tp>
      <tp t="s">
        <v>#N/A Field Not Applicable</v>
        <stp/>
        <stp>##V3_BDPV12</stp>
        <stp>EHTH Equity</stp>
        <stp>OPT_DELTA</stp>
        <stp>[Pricing File.xlsm]TotalReturnPricing!R307C8</stp>
        <tr r="H307" s="2"/>
      </tp>
      <tp t="s">
        <v>#N/A Field Not Applicable</v>
        <stp/>
        <stp>##V3_BDPV12</stp>
        <stp>GOOG Equity</stp>
        <stp>OPT_DELTA</stp>
        <stp>[Pricing File.xlsm]TotalReturnPricing!R788C8</stp>
        <tr r="H788" s="2"/>
      </tp>
      <tp t="s">
        <v>#N/A Field Not Applicable</v>
        <stp/>
        <stp>##V3_BDPV12</stp>
        <stp>GOGO Equity</stp>
        <stp>OPT_DELTA</stp>
        <stp>[Pricing File.xlsm]TotalReturnPricing!R240C8</stp>
        <tr r="H240" s="2"/>
      </tp>
      <tp t="s">
        <v>#N/A Field Not Applicable</v>
        <stp/>
        <stp>##V3_BDPV12</stp>
        <stp>ILMN Equity</stp>
        <stp>OPT_DELTA</stp>
        <stp>[Pricing File.xlsm]TotalReturnPricing!R761C8</stp>
        <tr r="H761" s="2"/>
      </tp>
      <tp t="s">
        <v>#N/A Field Not Applicable</v>
        <stp/>
        <stp>##V3_BDPV12</stp>
        <stp>LOGI Equity</stp>
        <stp>OPT_DELTA</stp>
        <stp>[Pricing File.xlsm]TotalReturnPricing!R446C8</stp>
        <tr r="H446" s="2"/>
      </tp>
      <tp t="s">
        <v>#N/A Field Not Applicable</v>
        <stp/>
        <stp>##V3_BDPV12</stp>
        <stp>LSCG Equity</stp>
        <stp>OPT_DELTA</stp>
        <stp>[Pricing File.xlsm]TotalReturnPricing!R118C8</stp>
        <tr r="H118" s="2"/>
      </tp>
      <tp t="s">
        <v>#N/A Field Not Applicable</v>
        <stp/>
        <stp>##V3_BDPV12</stp>
        <stp>MRVL Equity</stp>
        <stp>OPT_DELTA</stp>
        <stp>[Pricing File.xlsm]TotalReturnPricing!R283C8</stp>
        <tr r="H283" s="2"/>
      </tp>
      <tp t="s">
        <v>#N/A Field Not Applicable</v>
        <stp/>
        <stp>##V3_BDPV12</stp>
        <stp>MRTN Equity</stp>
        <stp>OPT_DELTA</stp>
        <stp>[Pricing File.xlsm]TotalReturnPricing!R281C8</stp>
        <tr r="H281" s="2"/>
      </tp>
      <tp t="s">
        <v>#N/A Field Not Applicable</v>
        <stp/>
        <stp>##V3_BDPV12</stp>
        <stp>ORCL Equity</stp>
        <stp>OPT_DELTA</stp>
        <stp>[Pricing File.xlsm]TotalReturnPricing!R543C8</stp>
        <tr r="H543" s="2"/>
      </tp>
      <tp t="s">
        <v>#N/A Field Not Applicable</v>
        <stp/>
        <stp>##V3_BDPV12</stp>
        <stp>PYPL Equity</stp>
        <stp>OPT_DELTA</stp>
        <stp>[Pricing File.xlsm]TotalReturnPricing!R583C8</stp>
        <tr r="H583" s="2"/>
      </tp>
      <tp>
        <v>28.64</v>
        <stp/>
        <stp>##V3_BDPV12</stp>
        <stp>PLCE Equity</stp>
        <stp>Px Last</stp>
        <stp>[Pricing File.xlsm]TotalReturnPricing!R699C5</stp>
        <tr r="E699" s="2"/>
      </tp>
      <tp>
        <v>2.4500000000000002</v>
        <stp/>
        <stp>##V3_BDPV12</stp>
        <stp>PACB Equity</stp>
        <stp>Px Last</stp>
        <stp>[Pricing File.xlsm]TotalReturnPricing!R154C5</stp>
        <tr r="E154" s="2"/>
      </tp>
      <tp t="s">
        <v>#N/A Field Not Applicable</v>
        <stp/>
        <stp>##V3_BDPV12</stp>
        <stp>RBCN Equity</stp>
        <stp>OPT_DELTA</stp>
        <stp>[Pricing File.xlsm]TotalReturnPricing!R211C8</stp>
        <tr r="H211" s="2"/>
      </tp>
      <tp t="s">
        <v>#N/A N/A</v>
        <stp/>
        <stp>##V3_BDPV12</stp>
        <stp>WJA CN Equity</stp>
        <stp>Px Bid</stp>
        <stp>[Pricing File.xlsm]TotalReturnPricing!R54C6</stp>
        <tr r="F54" s="2"/>
      </tp>
      <tp>
        <v>19.53</v>
        <stp/>
        <stp>##V3_BDPV12</stp>
        <stp>FCBC Equity</stp>
        <stp>Px Last</stp>
        <stp>[Pricing File.xlsm]TotalReturnPricing!R386C5</stp>
        <tr r="E386" s="2"/>
      </tp>
      <tp>
        <v>25.68</v>
        <stp/>
        <stp>##V3_BDPV12</stp>
        <stp>EGBN Equity</stp>
        <stp>Px Last</stp>
        <stp>[Pricing File.xlsm]TotalReturnPricing!R592C5</stp>
        <tr r="E592" s="2"/>
      </tp>
      <tp t="s">
        <v>#N/A Field Not Applicable</v>
        <stp/>
        <stp>##V3_BDPV12</stp>
        <stp>SPLK Equity</stp>
        <stp>OPT_DELTA</stp>
        <stp>[Pricing File.xlsm]TotalReturnPricing!R584C8</stp>
        <tr r="H584" s="2"/>
      </tp>
      <tp>
        <v>11.23</v>
        <stp/>
        <stp>##V3_BDPV12</stp>
        <stp>BCEI Equity</stp>
        <stp>Px Last</stp>
        <stp>[Pricing File.xlsm]TotalReturnPricing!R396C5</stp>
        <tr r="E396" s="2"/>
      </tp>
      <tp>
        <v>39.46</v>
        <stp/>
        <stp>##V3_BDPV12</stp>
        <stp>QGEN Equity</stp>
        <stp>Px Last</stp>
        <stp>[Pricing File.xlsm]TotalReturnPricing!R432C5</stp>
        <tr r="E432" s="2"/>
      </tp>
      <tp t="s">
        <v>#N/A Field Not Applicable</v>
        <stp/>
        <stp>##V3_BDPV12</stp>
        <stp>PIR Equity</stp>
        <stp>OPT_DELTA</stp>
        <stp>[Pricing File.xlsm]TotalReturnPricing!R166C8</stp>
        <tr r="H166" s="2"/>
      </tp>
      <tp t="s">
        <v>#N/A Field Not Applicable</v>
        <stp/>
        <stp>##V3_BDPV12</stp>
        <stp>TBBK Equity</stp>
        <stp>OPT_DELTA</stp>
        <stp>[Pricing File.xlsm]TotalReturnPricing!R204C8</stp>
        <tr r="H204" s="2"/>
      </tp>
      <tp t="s">
        <v>#N/A Field Not Applicable</v>
        <stp/>
        <stp>##V3_BDPV12</stp>
        <stp>WDR Equity</stp>
        <stp>OPT_DELTA</stp>
        <stp>[Pricing File.xlsm]TotalReturnPricing!R326C8</stp>
        <tr r="H326" s="2"/>
      </tp>
      <tp t="s">
        <v>#N/A Field Not Applicable</v>
        <stp/>
        <stp>##V3_BDPV12</stp>
        <stp>WIT Equity</stp>
        <stp>OPT_DELTA</stp>
        <stp>[Pricing File.xlsm]TotalReturnPricing!R180C8</stp>
        <tr r="H180" s="2"/>
      </tp>
      <tp t="s">
        <v>#N/A Field Not Applicable</v>
        <stp/>
        <stp>##V3_BDPV12</stp>
        <stp>GWR Equity</stp>
        <stp>OPT_DELTA</stp>
        <stp>[Pricing File.xlsm]TotalReturnPricing!R606C8</stp>
        <tr r="H606" s="2"/>
      </tp>
      <tp t="s">
        <v>#N/A Field Not Applicable</v>
        <stp/>
        <stp>##V3_BDPV12</stp>
        <stp>IVV Equity</stp>
        <stp>OPT_DELTA</stp>
        <stp>[Pricing File.xlsm]TotalReturnPricing!R832C8</stp>
        <tr r="H832" s="2"/>
      </tp>
      <tp t="s">
        <v>#N/A Field Not Applicable</v>
        <stp/>
        <stp>##V3_BDPV12</stp>
        <stp>ENT Equity</stp>
        <stp>OPT_DELTA</stp>
        <stp>[Pricing File.xlsm]TotalReturnPricing!R110C8</stp>
        <tr r="H110" s="2"/>
      </tp>
      <tp t="s">
        <v>#N/A Field Not Applicable</v>
        <stp/>
        <stp>##V3_BDPV12</stp>
        <stp>AAP Equity</stp>
        <stp>OPT_DELTA</stp>
        <stp>[Pricing File.xlsm]TotalReturnPricing!R704C8</stp>
        <tr r="H704" s="2"/>
      </tp>
      <tp t="s">
        <v>#N/A Field Not Applicable</v>
        <stp/>
        <stp>##V3_BDPV12</stp>
        <stp>CBT Equity</stp>
        <stp>OPT_DELTA</stp>
        <stp>[Pricing File.xlsm]TotalReturnPricing!R560C8</stp>
        <tr r="H560" s="2"/>
      </tp>
      <tp t="s">
        <v>#N/A Field Not Applicable</v>
        <stp/>
        <stp>##V3_BDPV12</stp>
        <stp>HST Equity</stp>
        <stp>OPT_DELTA</stp>
        <stp>[Pricing File.xlsm]TotalReturnPricing!R310C8</stp>
        <tr r="H310" s="2"/>
      </tp>
      <tp t="s">
        <v>#N/A Field Not Applicable</v>
        <stp/>
        <stp>##V3_BDPV12</stp>
        <stp>JCP Equity</stp>
        <stp>OPT_DELTA</stp>
        <stp>[Pricing File.xlsm]TotalReturnPricing!R174C8</stp>
        <tr r="H174" s="2"/>
      </tp>
      <tp t="s">
        <v>#N/A Field Not Applicable</v>
        <stp/>
        <stp>##V3_BDPV12</stp>
        <stp>LOW Equity</stp>
        <stp>OPT_DELTA</stp>
        <stp>[Pricing File.xlsm]TotalReturnPricing!R643C8</stp>
        <tr r="H643" s="2"/>
      </tp>
      <tp t="s">
        <v>#N/A Field Not Applicable</v>
        <stp/>
        <stp>##V3_BDPV12</stp>
        <stp>NBR Equity</stp>
        <stp>OPT_DELTA</stp>
        <stp>[Pricing File.xlsm]TotalReturnPricing!R206C8</stp>
        <tr r="H206" s="2"/>
      </tp>
      <tp t="s">
        <v>#N/A Field Not Applicable</v>
        <stp/>
        <stp>##V3_BDPV12</stp>
        <stp>WERN Equity</stp>
        <stp>OPT_DELTA</stp>
        <stp>[Pricing File.xlsm]TotalReturnPricing!R401C8</stp>
        <tr r="H401" s="2"/>
      </tp>
      <tp>
        <v>0.1255</v>
        <stp/>
        <stp>##V3_BDPV12</stp>
        <stp>SCIL Equity</stp>
        <stp>Px Last</stp>
        <stp>[Pricing File.xlsm]TotalReturnPricing!R126C5</stp>
        <tr r="E126" s="2"/>
      </tp>
      <tp>
        <v>16.71</v>
        <stp/>
        <stp>##V3_BDPV12</stp>
        <stp>ACLS Equity</stp>
        <stp>Px Last</stp>
        <stp>[Pricing File.xlsm]TotalReturnPricing!R116C5</stp>
        <tr r="E116" s="2"/>
      </tp>
      <tp>
        <v>298.83999999999997</v>
        <stp/>
        <stp>##V3_BDPV12</stp>
        <stp>NFLX Equity</stp>
        <stp>Px Last</stp>
        <stp>[Pricing File.xlsm]TotalReturnPricing!R763C5</stp>
        <tr r="E763" s="2"/>
      </tp>
      <tp>
        <v>8.5399999999999991</v>
        <stp/>
        <stp>##V3_BDPV12</stp>
        <stp>PENN Equity</stp>
        <stp>Px Last</stp>
        <stp>[Pricing File.xlsm]TotalReturnPricing!R330C5</stp>
        <tr r="E330" s="2"/>
      </tp>
      <tp>
        <v>90.63</v>
        <stp/>
        <stp>##V3_BDPV12</stp>
        <stp>SMG Equity</stp>
        <stp>Px Last</stp>
        <stp>[Pricing File.xlsm]TotalReturnPricing!R685C5</stp>
        <tr r="E685" s="2"/>
      </tp>
      <tp>
        <v>2.2400000000000002</v>
        <stp/>
        <stp>##V3_BDPV12</stp>
        <stp>UMC Equity</stp>
        <stp>Px Last</stp>
        <stp>[Pricing File.xlsm]TotalReturnPricing!R143C5</stp>
        <tr r="E143" s="2"/>
      </tp>
      <tp>
        <v>30.05</v>
        <stp/>
        <stp>##V3_BDPV12</stp>
        <stp>WMS Equity</stp>
        <stp>Px Last</stp>
        <stp>[Pricing File.xlsm]TotalReturnPricing!R331C5</stp>
        <tr r="E331" s="2"/>
      </tp>
      <tp>
        <v>38.07</v>
        <stp/>
        <stp>##V3_BDPV12</stp>
        <stp>NTDOY Equity</stp>
        <stp>Px Ask</stp>
        <stp>[Pricing File.xlsm]TotalReturnPricing!R97C7</stp>
        <tr r="G97" s="2"/>
      </tp>
      <tp>
        <v>14.41</v>
        <stp/>
        <stp>##V3_BDPV12</stp>
        <stp>SLB Equity</stp>
        <stp>Px Last</stp>
        <stp>[Pricing File.xlsm]TotalReturnPricing!R615C5</stp>
        <tr r="E615" s="2"/>
      </tp>
      <tp t="s">
        <v>#N/A N/A</v>
        <stp/>
        <stp>##V3_BDPV12</stp>
        <stp>PIR Equity</stp>
        <stp>Px Last</stp>
        <stp>[Pricing File.xlsm]TotalReturnPricing!R166C5</stp>
        <tr r="E166" s="2"/>
      </tp>
      <tp>
        <v>26.5</v>
        <stp/>
        <stp>##V3_BDPV12</stp>
        <stp>WFC Equity</stp>
        <stp>Px Last</stp>
        <stp>[Pricing File.xlsm]TotalReturnPricing!R561C5</stp>
        <tr r="E561" s="2"/>
      </tp>
      <tp>
        <v>6</v>
        <stp/>
        <stp>##V3_BDPV12</stp>
        <stp>WEX 200821C00230000 Equity</stp>
        <stp>Px Last</stp>
        <stp>[Pricing File.xlsm]TotalReturnPricing!R891C5</stp>
        <tr r="E891" s="2"/>
      </tp>
      <tp t="s">
        <v>#N/A N/A</v>
        <stp/>
        <stp>##V3_BDPV12</stp>
        <stp>WEX 200221C00210000 Equity</stp>
        <stp>Px Last</stp>
        <stp>[Pricing File.xlsm]TotalReturnPricing!R861C5</stp>
        <tr r="E861" s="2"/>
      </tp>
      <tp>
        <v>13.12</v>
        <stp/>
        <stp>##V3_BDPV12</stp>
        <stp>RAD Equity</stp>
        <stp>Px Last</stp>
        <stp>[Pricing File.xlsm]TotalReturnPricing!R144C5</stp>
        <tr r="E144" s="2"/>
      </tp>
      <tp>
        <v>6.89</v>
        <stp/>
        <stp>##V3_BDPV12</stp>
        <stp>PK Equity</stp>
        <stp>Px Last</stp>
        <stp>[Pricing File.xlsm]TotalReturnPricing!R381C5</stp>
        <tr r="E381" s="2"/>
      </tp>
      <tp>
        <v>38.22</v>
        <stp/>
        <stp>##V3_BDPV12</stp>
        <stp>MO Equity</stp>
        <stp>Px Last</stp>
        <stp>[Pricing File.xlsm]TotalReturnPricing!R811C5</stp>
        <tr r="E811" s="2"/>
      </tp>
      <tp>
        <v>164.96</v>
        <stp/>
        <stp>##V3_BDPV12</stp>
        <stp>HD Equity</stp>
        <stp>Px Last</stp>
        <stp>[Pricing File.xlsm]TotalReturnPricing!R741C5</stp>
        <tr r="E741" s="2"/>
      </tp>
      <tp>
        <v>6.18</v>
        <stp/>
        <stp>##V3_BDPV12</stp>
        <stp>GT Equity</stp>
        <stp>Px Last</stp>
        <stp>[Pricing File.xlsm]TotalReturnPricing!R441C5</stp>
        <tr r="E441" s="2"/>
      </tp>
      <tp>
        <v>1.7</v>
        <stp/>
        <stp>##V3_BDPV12</stp>
        <stp>TWI Equity</stp>
        <stp>Px Last</stp>
        <stp>[Pricing File.xlsm]TotalReturnPricing!R252C5</stp>
        <tr r="E252" s="2"/>
      </tp>
      <tp>
        <v>9.2899999999999991</v>
        <stp/>
        <stp>##V3_BDPV12</stp>
        <stp>RWT Equity</stp>
        <stp>Px Last</stp>
        <stp>[Pricing File.xlsm]TotalReturnPricing!R294C5</stp>
        <tr r="E294" s="2"/>
      </tp>
      <tp>
        <v>3.41</v>
        <stp/>
        <stp>##V3_BDPV12</stp>
        <stp>WPX Equity</stp>
        <stp>Px Last</stp>
        <stp>[Pricing File.xlsm]TotalReturnPricing!R231C5</stp>
        <tr r="E231" s="2"/>
      </tp>
      <tp>
        <v>32.57</v>
        <stp/>
        <stp>##V3_BDPV12</stp>
        <stp>USB Equity</stp>
        <stp>Px Last</stp>
        <stp>[Pricing File.xlsm]TotalReturnPricing!R553C5</stp>
        <tr r="E553" s="2"/>
      </tp>
      <tp t="s">
        <v>#N/A N/A</v>
        <stp/>
        <stp>##V3_BDPV12</stp>
        <stp>SSW Equity</stp>
        <stp>Px Last</stp>
        <stp>[Pricing File.xlsm]TotalReturnPricing!R185C5</stp>
        <tr r="E185" s="2"/>
      </tp>
      <tp>
        <v>6.82</v>
        <stp/>
        <stp>##V3_BDPV12</stp>
        <stp>AA Equity</stp>
        <stp>Px Last</stp>
        <stp>[Pricing File.xlsm]TotalReturnPricing!R451C5</stp>
        <tr r="E451" s="2"/>
      </tp>
      <tp>
        <v>3.05</v>
        <stp/>
        <stp>##V3_BDPV12</stp>
        <stp>AM Equity</stp>
        <stp>Px Last</stp>
        <stp>[Pricing File.xlsm]TotalReturnPricing!R841C5</stp>
        <tr r="E841" s="2"/>
      </tp>
      <tp>
        <v>1.6</v>
        <stp/>
        <stp>##V3_BDPV12</stp>
        <stp>RRD Equity</stp>
        <stp>Px Last</stp>
        <stp>[Pricing File.xlsm]TotalReturnPricing!R244C5</stp>
        <tr r="E244" s="2"/>
      </tp>
      <tp t="s">
        <v>#N/A Field Not Applicable</v>
        <stp/>
        <stp>##V3_BDPV12</stp>
        <stp>AKAM Equity</stp>
        <stp>OPT_DELTA</stp>
        <stp>[Pricing File.xlsm]TotalReturnPricing!R513C8</stp>
        <tr r="H513" s="2"/>
      </tp>
      <tp t="s">
        <v>#N/A Field Not Applicable</v>
        <stp/>
        <stp>##V3_BDPV12</stp>
        <stp>ASFI Equity</stp>
        <stp>OPT_DELTA</stp>
        <stp>[Pricing File.xlsm]TotalReturnPricing!R197C8</stp>
        <tr r="H197" s="2"/>
      </tp>
      <tp t="s">
        <v>#N/A Field Not Applicable</v>
        <stp/>
        <stp>##V3_BDPV12</stp>
        <stp>APAM Equity</stp>
        <stp>OPT_DELTA</stp>
        <stp>[Pricing File.xlsm]TotalReturnPricing!R423C8</stp>
        <tr r="H423" s="2"/>
      </tp>
      <tp t="s">
        <v>#N/A Field Not Applicable</v>
        <stp/>
        <stp>##V3_BDPV12</stp>
        <stp>AXTI Equity</stp>
        <stp>OPT_DELTA</stp>
        <stp>[Pricing File.xlsm]TotalReturnPricing!R217C8</stp>
        <tr r="H217" s="2"/>
      </tp>
      <tp t="s">
        <v>#N/A Field Not Applicable</v>
        <stp/>
        <stp>##V3_BDPV12</stp>
        <stp>BMCH Equity</stp>
        <stp>OPT_DELTA</stp>
        <stp>[Pricing File.xlsm]TotalReturnPricing!R346C8</stp>
        <tr r="H346" s="2"/>
      </tp>
      <tp>
        <v>3.38</v>
        <stp/>
        <stp>##V3_BDPV12</stp>
        <stp>VLRS Equity</stp>
        <stp>Px Last</stp>
        <stp>[Pricing File.xlsm]TotalReturnPricing!R258C5</stp>
        <tr r="E258" s="2"/>
      </tp>
      <tp>
        <v>29.41</v>
        <stp/>
        <stp>##V3_BDPV12</stp>
        <stp>WERN Equity</stp>
        <stp>Px Last</stp>
        <stp>[Pricing File.xlsm]TotalReturnPricing!R401C5</stp>
        <tr r="E401" s="2"/>
      </tp>
      <tp>
        <v>7.76</v>
        <stp/>
        <stp>##V3_BDPV12</stp>
        <stp>CCRN Equity</stp>
        <stp>Px Last</stp>
        <stp>[Pricing File.xlsm]TotalReturnPricing!R237C5</stp>
        <tr r="E237" s="2"/>
      </tp>
      <tp t="s">
        <v>#N/A Field Not Applicable</v>
        <stp/>
        <stp>##V3_BDPV12</stp>
        <stp>CERN Equity</stp>
        <stp>OPT_DELTA</stp>
        <stp>[Pricing File.xlsm]TotalReturnPricing!R600C8</stp>
        <tr r="H600" s="2"/>
      </tp>
      <tp t="s">
        <v>#N/A N/A</v>
        <stp/>
        <stp>##V3_BDPV12</stp>
        <stp>PFSI 200221C00030000 Equity</stp>
        <stp>Px Last</stp>
        <stp>[Pricing File.xlsm]TotalReturnPricing!R862C5</stp>
        <tr r="E862" s="2"/>
      </tp>
      <tp>
        <v>28.6</v>
        <stp/>
        <stp>##V3_BDPV12</stp>
        <stp>MATX Equity</stp>
        <stp>Px Last</stp>
        <stp>[Pricing File.xlsm]TotalReturnPricing!R395C5</stp>
        <tr r="E395" s="2"/>
      </tp>
      <tp t="s">
        <v>#N/A Field Not Applicable</v>
        <stp/>
        <stp>##V3_BDPV12</stp>
        <stp>ECPG Equity</stp>
        <stp>OPT_DELTA</stp>
        <stp>[Pricing File.xlsm]TotalReturnPricing!R479C8</stp>
        <tr r="H479" s="2"/>
      </tp>
      <tp t="s">
        <v>#N/A Field Not Applicable</v>
        <stp/>
        <stp>##V3_BDPV12</stp>
        <stp>ENSG Equity</stp>
        <stp>OPT_DELTA</stp>
        <stp>[Pricing File.xlsm]TotalReturnPricing!R349C8</stp>
        <tr r="H349" s="2"/>
      </tp>
      <tp t="s">
        <v>#N/A Field Not Applicable</v>
        <stp/>
        <stp>##V3_BDPV12</stp>
        <stp>FOSL Equity</stp>
        <stp>OPT_DELTA</stp>
        <stp>[Pricing File.xlsm]TotalReturnPricing!R232C8</stp>
        <tr r="H232" s="2"/>
      </tp>
      <tp>
        <v>9.7100000000000009</v>
        <stp/>
        <stp>##V3_BDPV12</stp>
        <stp>CDZI Equity</stp>
        <stp>Px Last</stp>
        <stp>[Pricing File.xlsm]TotalReturnPricing!R250C5</stp>
        <tr r="E250" s="2"/>
      </tp>
      <tp>
        <v>0.24</v>
        <stp/>
        <stp>##V3_BDPV12</stp>
        <stp>SAVE 200619C00045000 Equity</stp>
        <stp>Px Last</stp>
        <stp>[Pricing File.xlsm]TotalReturnPricing!R896C5</stp>
        <tr r="E896" s="2"/>
      </tp>
      <tp t="s">
        <v>#N/A Field Not Applicable</v>
        <stp/>
        <stp>##V3_BDPV12</stp>
        <stp>OMCL Equity</stp>
        <stp>OPT_DELTA</stp>
        <stp>[Pricing File.xlsm]TotalReturnPricing!R492C8</stp>
        <tr r="H492" s="2"/>
      </tp>
      <tp>
        <v>74.91</v>
        <stp/>
        <stp>##V3_BDPV12</stp>
        <stp>SLAB Equity</stp>
        <stp>Px Last</stp>
        <stp>[Pricing File.xlsm]TotalReturnPricing!R638C5</stp>
        <tr r="E638" s="2"/>
      </tp>
      <tp t="s">
        <v>#N/A Field Not Applicable</v>
        <stp/>
        <stp>##V3_BDPV12</stp>
        <stp>PCYO Equity</stp>
        <stp>OPT_DELTA</stp>
        <stp>[Pricing File.xlsm]TotalReturnPricing!R201C8</stp>
        <tr r="H201" s="2"/>
      </tp>
      <tp t="s">
        <v>#N/A Field Not Applicable</v>
        <stp/>
        <stp>##V3_BDPV12</stp>
        <stp>PENN Equity</stp>
        <stp>OPT_DELTA</stp>
        <stp>[Pricing File.xlsm]TotalReturnPricing!R330C8</stp>
        <tr r="H330" s="2"/>
      </tp>
      <tp>
        <v>3.07</v>
        <stp/>
        <stp>##V3_BDPV12</stp>
        <stp>BGCP Equity</stp>
        <stp>Px Last</stp>
        <stp>[Pricing File.xlsm]TotalReturnPricing!R243C5</stp>
        <tr r="E243" s="2"/>
      </tp>
      <tp>
        <v>65.94</v>
        <stp/>
        <stp>##V3_BDPV12</stp>
        <stp>WMH LN Equity</stp>
        <stp>Px Ask</stp>
        <stp>[Pricing File.xlsm]TotalReturnPricing!R810C7</stp>
        <tr r="G810" s="2"/>
      </tp>
      <tp t="s">
        <v>#N/A Field Not Applicable</v>
        <stp/>
        <stp>##V3_BDPV12</stp>
        <stp>RMBL Equity</stp>
        <stp>OPT_DELTA</stp>
        <stp>[Pricing File.xlsm]TotalReturnPricing!R122C8</stp>
        <tr r="H122" s="2"/>
      </tp>
      <tp>
        <v>6.44</v>
        <stp/>
        <stp>##V3_BDPV12</stp>
        <stp>SABR Equity</stp>
        <stp>Px Last</stp>
        <stp>[Pricing File.xlsm]TotalReturnPricing!R845C5</stp>
        <tr r="E845" s="2"/>
      </tp>
      <tp t="s">
        <v>#N/A Field Not Applicable</v>
        <stp/>
        <stp>##V3_BDPV12</stp>
        <stp>SANM Equity</stp>
        <stp>OPT_DELTA</stp>
        <stp>[Pricing File.xlsm]TotalReturnPricing!R453C8</stp>
        <tr r="H453" s="2"/>
      </tp>
      <tp t="s">
        <v>#N/A Field Not Applicable</v>
        <stp/>
        <stp>##V3_BDPV12</stp>
        <stp>UFS Equity</stp>
        <stp>OPT_DELTA</stp>
        <stp>[Pricing File.xlsm]TotalReturnPricing!R466C8</stp>
        <tr r="H466" s="2"/>
      </tp>
      <tp t="s">
        <v>#N/A Field Not Applicable</v>
        <stp/>
        <stp>##V3_BDPV12</stp>
        <stp>SHW Equity</stp>
        <stp>OPT_DELTA</stp>
        <stp>[Pricing File.xlsm]TotalReturnPricing!R782C8</stp>
        <tr r="H782" s="2"/>
      </tp>
      <tp t="s">
        <v>#N/A Field Not Applicable</v>
        <stp/>
        <stp>##V3_BDPV12</stp>
        <stp>PRU Equity</stp>
        <stp>OPT_DELTA</stp>
        <stp>[Pricing File.xlsm]TotalReturnPricing!R710C8</stp>
        <tr r="H710" s="2"/>
      </tp>
      <tp t="s">
        <v>#N/A Field Not Applicable</v>
        <stp/>
        <stp>##V3_BDPV12</stp>
        <stp>TCOM Equity</stp>
        <stp>OPT_DELTA</stp>
        <stp>[Pricing File.xlsm]TotalReturnPricing!R843C8</stp>
        <tr r="H843" s="2"/>
      </tp>
      <tp t="s">
        <v>#N/A Field Not Applicable</v>
        <stp/>
        <stp>##V3_BDPV12</stp>
        <stp>BBW Equity</stp>
        <stp>OPT_DELTA</stp>
        <stp>[Pricing File.xlsm]TotalReturnPricing!R222C8</stp>
        <tr r="H222" s="2"/>
      </tp>
      <tp t="s">
        <v>#N/A Field Not Applicable</v>
        <stp/>
        <stp>##V3_BDPV12</stp>
        <stp>CCU Equity</stp>
        <stp>OPT_DELTA</stp>
        <stp>[Pricing File.xlsm]TotalReturnPricing!R380C8</stp>
        <tr r="H380" s="2"/>
      </tp>
      <tp t="s">
        <v>#N/A Field Not Applicable</v>
        <stp/>
        <stp>##V3_BDPV12</stp>
        <stp>TRVG Equity</stp>
        <stp>OPT_DELTA</stp>
        <stp>[Pricing File.xlsm]TotalReturnPricing!R359C8</stp>
        <tr r="H359" s="2"/>
      </tp>
      <tp t="s">
        <v>#N/A Field Not Applicable</v>
        <stp/>
        <stp>##V3_BDPV12</stp>
        <stp>AVT Equity</stp>
        <stp>OPT_DELTA</stp>
        <stp>[Pricing File.xlsm]TotalReturnPricing!R471C8</stp>
        <tr r="H471" s="2"/>
      </tp>
      <tp t="s">
        <v>#N/A Field Not Applicable</v>
        <stp/>
        <stp>##V3_BDPV12</stp>
        <stp>CVS Equity</stp>
        <stp>OPT_DELTA</stp>
        <stp>[Pricing File.xlsm]TotalReturnPricing!R816C8</stp>
        <tr r="H816" s="2"/>
      </tp>
      <tp t="s">
        <v>#N/A Field Not Applicable</v>
        <stp/>
        <stp>##V3_BDPV12</stp>
        <stp>KSS Equity</stp>
        <stp>OPT_DELTA</stp>
        <stp>[Pricing File.xlsm]TotalReturnPricing!R486C8</stp>
        <tr r="H486" s="2"/>
      </tp>
      <tp t="s">
        <v>#N/A Field Not Applicable</v>
        <stp/>
        <stp>##V3_BDPV12</stp>
        <stp>ULTI Equity</stp>
        <stp>OPT_DELTA</stp>
        <stp>[Pricing File.xlsm]TotalReturnPricing!R777C8</stp>
        <tr r="H777" s="2"/>
      </tp>
      <tp>
        <v>5.82</v>
        <stp/>
        <stp>##V3_BDPV12</stp>
        <stp>PAGP Equity</stp>
        <stp>Px Last</stp>
        <stp>[Pricing File.xlsm]TotalReturnPricing!R385C5</stp>
        <tr r="E385" s="2"/>
      </tp>
      <tp>
        <v>1.27</v>
        <stp/>
        <stp>##V3_BDPV12</stp>
        <stp>BGFV Equity</stp>
        <stp>Px Last</stp>
        <stp>[Pricing File.xlsm]TotalReturnPricing!R233C5</stp>
        <tr r="E233" s="2"/>
      </tp>
      <tp>
        <v>0.245</v>
        <stp/>
        <stp>##V3_BDPV12</stp>
        <stp>PEIX Equity</stp>
        <stp>Px Last</stp>
        <stp>[Pricing File.xlsm]TotalReturnPricing!R181C5</stp>
        <tr r="E181" s="2"/>
      </tp>
      <tp>
        <v>7.28</v>
        <stp/>
        <stp>##V3_BDPV12</stp>
        <stp>AMKR Equity</stp>
        <stp>Px Last</stp>
        <stp>[Pricing File.xlsm]TotalReturnPricing!R229C5</stp>
        <tr r="E229" s="2"/>
      </tp>
      <tp>
        <v>87.89</v>
        <stp/>
        <stp>##V3_BDPV12</stp>
        <stp>SBNY Equity</stp>
        <stp>Px Last</stp>
        <stp>[Pricing File.xlsm]TotalReturnPricing!R736C5</stp>
        <tr r="E736" s="2"/>
      </tp>
      <tp>
        <v>86.23</v>
        <stp/>
        <stp>##V3_BDPV12</stp>
        <stp>VMI Equity</stp>
        <stp>Px Last</stp>
        <stp>[Pricing File.xlsm]TotalReturnPricing!R747C5</stp>
        <tr r="E747" s="2"/>
      </tp>
      <tp>
        <v>95.94</v>
        <stp/>
        <stp>##V3_BDPV12</stp>
        <stp>VMW Equity</stp>
        <stp>Px Last</stp>
        <stp>[Pricing File.xlsm]TotalReturnPricing!R677C5</stp>
        <tr r="E677" s="2"/>
      </tp>
      <tp>
        <v>406.07</v>
        <stp/>
        <stp>##V3_BDPV12</stp>
        <stp>SHW Equity</stp>
        <stp>Px Last</stp>
        <stp>[Pricing File.xlsm]TotalReturnPricing!R782C5</stp>
        <tr r="E782" s="2"/>
      </tp>
      <tp>
        <v>24.09</v>
        <stp/>
        <stp>##V3_BDPV12</stp>
        <stp>RHP Equity</stp>
        <stp>Px Last</stp>
        <stp>[Pricing File.xlsm]TotalReturnPricing!R593C5</stp>
        <tr r="E593" s="2"/>
      </tp>
      <tp>
        <v>27.95</v>
        <stp/>
        <stp>##V3_BDPV12</stp>
        <stp>ZG Equity</stp>
        <stp>Px Last</stp>
        <stp>[Pricing File.xlsm]TotalReturnPricing!R506C5</stp>
        <tr r="E506" s="2"/>
      </tp>
      <tp>
        <v>21.21</v>
        <stp/>
        <stp>##V3_BDPV12</stp>
        <stp>SKX Equity</stp>
        <stp>Px Last</stp>
        <stp>[Pricing File.xlsm]TotalReturnPricing!R392C5</stp>
        <tr r="E392" s="2"/>
      </tp>
      <tp>
        <v>20.92</v>
        <stp/>
        <stp>##V3_BDPV12</stp>
        <stp>SEE Equity</stp>
        <stp>Px Last</stp>
        <stp>[Pricing File.xlsm]TotalReturnPricing!R502C5</stp>
        <tr r="E502" s="2"/>
      </tp>
      <tp>
        <v>254.87</v>
        <stp/>
        <stp>##V3_BDPV12</stp>
        <stp>TDY Equity</stp>
        <stp>Px Last</stp>
        <stp>[Pricing File.xlsm]TotalReturnPricing!R735C5</stp>
        <tr r="E735" s="2"/>
      </tp>
      <tp>
        <v>11.51</v>
        <stp/>
        <stp>##V3_BDPV12</stp>
        <stp>WDR Equity</stp>
        <stp>Px Last</stp>
        <stp>[Pricing File.xlsm]TotalReturnPricing!R326C5</stp>
        <tr r="E326" s="2"/>
      </tp>
      <tp>
        <v>50.99</v>
        <stp/>
        <stp>##V3_BDPV12</stp>
        <stp>VZ Equity</stp>
        <stp>Px Last</stp>
        <stp>[Pricing File.xlsm]TotalReturnPricing!R526C5</stp>
        <tr r="E526" s="2"/>
      </tp>
      <tp>
        <v>93.79</v>
        <stp/>
        <stp>##V3_BDPV12</stp>
        <stp>TGT Equity</stp>
        <stp>Px Last</stp>
        <stp>[Pricing File.xlsm]TotalReturnPricing!R565C5</stp>
        <tr r="E565" s="2"/>
      </tp>
      <tp>
        <v>13.5</v>
        <stp/>
        <stp>##V3_BDPV12</stp>
        <stp>UAL 200417P00045000 Equity</stp>
        <stp>Px Last</stp>
        <stp>[Pricing File.xlsm]TotalReturnPricing!R917C5</stp>
        <tr r="E917" s="2"/>
      </tp>
      <tp>
        <v>13.74</v>
        <stp/>
        <stp>##V3_BDPV12</stp>
        <stp>SAH Equity</stp>
        <stp>Px Last</stp>
        <stp>[Pricing File.xlsm]TotalReturnPricing!R312C5</stp>
        <tr r="E312" s="2"/>
      </tp>
      <tp>
        <v>66.790000000000006</v>
        <stp/>
        <stp>##V3_BDPV12</stp>
        <stp>VAC Equity</stp>
        <stp>Px Last</stp>
        <stp>[Pricing File.xlsm]TotalReturnPricing!R717C5</stp>
        <tr r="E717" s="2"/>
      </tp>
      <tp>
        <v>48.08</v>
        <stp/>
        <stp>##V3_BDPV12</stp>
        <stp>WAB Equity</stp>
        <stp>Px Last</stp>
        <stp>[Pricing File.xlsm]TotalReturnPricing!R636C5</stp>
        <tr r="E636" s="2"/>
      </tp>
      <tp>
        <v>29.94</v>
        <stp/>
        <stp>##V3_BDPV12</stp>
        <stp>RCL Equity</stp>
        <stp>Px Last</stp>
        <stp>[Pricing File.xlsm]TotalReturnPricing!R713C5</stp>
        <tr r="E713" s="2"/>
      </tp>
      <tp>
        <v>34.04</v>
        <stp/>
        <stp>##V3_BDPV12</stp>
        <stp>OC Equity</stp>
        <stp>Px Last</stp>
        <stp>[Pricing File.xlsm]TotalReturnPricing!R616C5</stp>
        <tr r="E616" s="2"/>
      </tp>
      <tp>
        <v>239.44</v>
        <stp/>
        <stp>##V3_BDPV12</stp>
        <stp>SPY Equity</stp>
        <stp>Px Ask</stp>
        <stp>[Pricing File.xlsm]TotalReturnPricing!R50C7</stp>
        <tr r="G50" s="2"/>
      </tp>
      <tp>
        <v>154.66</v>
        <stp/>
        <stp>##V3_BDPV12</stp>
        <stp>GS Equity</stp>
        <stp>Px Last</stp>
        <stp>[Pricing File.xlsm]TotalReturnPricing!R776C5</stp>
        <tr r="E776" s="2"/>
      </tp>
      <tp>
        <v>40.97</v>
        <stp/>
        <stp>##V3_BDPV12</stp>
        <stp>STX Equity</stp>
        <stp>Px Last</stp>
        <stp>[Pricing File.xlsm]TotalReturnPricing!R422C5</stp>
        <tr r="E422" s="2"/>
      </tp>
      <tp>
        <v>17.82</v>
        <stp/>
        <stp>##V3_BDPV12</stp>
        <stp>DY Equity</stp>
        <stp>Px Last</stp>
        <stp>[Pricing File.xlsm]TotalReturnPricing!R676C5</stp>
        <tr r="E676" s="2"/>
      </tp>
      <tp>
        <v>35.58</v>
        <stp/>
        <stp>##V3_BDPV12</stp>
        <stp>WSM Equity</stp>
        <stp>Px Last</stp>
        <stp>[Pricing File.xlsm]TotalReturnPricing!R516C5</stp>
        <tr r="E516" s="2"/>
      </tp>
      <tp t="s">
        <v>#N/A Field Not Applicable</v>
        <stp/>
        <stp>##V3_BDPV12</stp>
        <stp>ADTN Equity</stp>
        <stp>OPT_DELTA</stp>
        <stp>[Pricing File.xlsm]TotalReturnPricing!R357C8</stp>
        <tr r="H357" s="2"/>
      </tp>
      <tp>
        <v>17.45</v>
        <stp/>
        <stp>##V3_BDPV12</stp>
        <stp>CARG Equity</stp>
        <stp>Px Last</stp>
        <stp>[Pricing File.xlsm]TotalReturnPricing!R802C5</stp>
        <tr r="E802" s="2"/>
      </tp>
      <tp t="s">
        <v>#N/A Field Not Applicable</v>
        <stp/>
        <stp>##V3_BDPV12</stp>
        <stp>CCRN Equity</stp>
        <stp>OPT_DELTA</stp>
        <stp>[Pricing File.xlsm]TotalReturnPricing!R237C8</stp>
        <tr r="H237" s="2"/>
      </tp>
      <tp t="s">
        <v>#N/A Field Not Applicable</v>
        <stp/>
        <stp>##V3_BDPV12</stp>
        <stp>CDZI Equity</stp>
        <stp>OPT_DELTA</stp>
        <stp>[Pricing File.xlsm]TotalReturnPricing!R250C8</stp>
        <tr r="H250" s="2"/>
      </tp>
      <tp t="s">
        <v>#N/A N/A</v>
        <stp/>
        <stp>##V3_BDPV12</stp>
        <stp>PFSI 200221C00025000 Equity</stp>
        <stp>Px Last</stp>
        <stp>[Pricing File.xlsm]TotalReturnPricing!R865C5</stp>
        <tr r="E865" s="2"/>
      </tp>
      <tp t="s">
        <v>#N/A Field Not Applicable</v>
        <stp/>
        <stp>##V3_BDPV12</stp>
        <stp>DECK Equity</stp>
        <stp>OPT_DELTA</stp>
        <stp>[Pricing File.xlsm]TotalReturnPricing!R602C8</stp>
        <tr r="H602" s="2"/>
      </tp>
      <tp t="s">
        <v>#N/A Field Not Applicable</v>
        <stp/>
        <stp>##V3_BDPV12</stp>
        <stp>DISH Equity</stp>
        <stp>OPT_DELTA</stp>
        <stp>[Pricing File.xlsm]TotalReturnPricing!R601C8</stp>
        <tr r="H601" s="2"/>
      </tp>
      <tp>
        <v>5.9</v>
        <stp/>
        <stp>##V3_BDPV12</stp>
        <stp>ADTN Equity</stp>
        <stp>Px Last</stp>
        <stp>[Pricing File.xlsm]TotalReturnPricing!R357C5</stp>
        <tr r="E357" s="2"/>
      </tp>
      <tp t="s">
        <v>#N/A Field Not Applicable</v>
        <stp/>
        <stp>##V3_BDPV12</stp>
        <stp>EIGI Equity</stp>
        <stp>OPT_DELTA</stp>
        <stp>[Pricing File.xlsm]TotalReturnPricing!R790C8</stp>
        <tr r="H790" s="2"/>
      </tp>
      <tp t="s">
        <v>#N/A Field Not Applicable</v>
        <stp/>
        <stp>##V3_BDPV12</stp>
        <stp>GDEN Equity</stp>
        <stp>OPT_DELTA</stp>
        <stp>[Pricing File.xlsm]TotalReturnPricing!R337C8</stp>
        <tr r="H337" s="2"/>
      </tp>
      <tp>
        <v>57.62</v>
        <stp/>
        <stp>##V3_BDPV12</stp>
        <stp>PAYX Equity</stp>
        <stp>Px Last</stp>
        <stp>[Pricing File.xlsm]TotalReturnPricing!R582C5</stp>
        <tr r="E582" s="2"/>
      </tp>
      <tp t="s">
        <v>#N/A Field Not Applicable</v>
        <stp/>
        <stp>##V3_BDPV12</stp>
        <stp>PFTI Equity</stp>
        <stp>OPT_DELTA</stp>
        <stp>[Pricing File.xlsm]TotalReturnPricing!R120C8</stp>
        <tr r="H120" s="2"/>
      </tp>
      <tp t="s">
        <v>#N/A Field Not Applicable</v>
        <stp/>
        <stp>##V3_BDPV12</stp>
        <stp>PFSI Equity</stp>
        <stp>OPT_DELTA</stp>
        <stp>[Pricing File.xlsm]TotalReturnPricing!R300C8</stp>
        <tr r="H300" s="2"/>
      </tp>
      <tp t="s">
        <v>#N/A Field Not Applicable</v>
        <stp/>
        <stp>##V3_BDPV12</stp>
        <stp>PRTA Equity</stp>
        <stp>OPT_DELTA</stp>
        <stp>[Pricing File.xlsm]TotalReturnPricing!R598C8</stp>
        <tr r="H598" s="2"/>
      </tp>
      <tp>
        <v>11.83</v>
        <stp/>
        <stp>##V3_BDPV12</stp>
        <stp>PBCT Equity</stp>
        <stp>Px Last</stp>
        <stp>[Pricing File.xlsm]TotalReturnPricing!R301C5</stp>
        <tr r="E301" s="2"/>
      </tp>
      <tp>
        <v>8.1549999999999994</v>
        <stp/>
        <stp>##V3_BDPV12</stp>
        <stp>RBCN Equity</stp>
        <stp>Px Last</stp>
        <stp>[Pricing File.xlsm]TotalReturnPricing!R211C5</stp>
        <tr r="E211" s="2"/>
      </tp>
      <tp>
        <v>9.3000000000000007</v>
        <stp/>
        <stp>##V3_BDPV12</stp>
        <stp>RECN Equity</stp>
        <stp>Px Last</stp>
        <stp>[Pricing File.xlsm]TotalReturnPricing!R256C5</stp>
        <tr r="E256" s="2"/>
      </tp>
      <tp t="s">
        <v>#N/A Field Not Applicable</v>
        <stp/>
        <stp>##V3_BDPV12</stp>
        <stp>SAIA Equity</stp>
        <stp>OPT_DELTA</stp>
        <stp>[Pricing File.xlsm]TotalReturnPricing!R548C8</stp>
        <tr r="H548" s="2"/>
      </tp>
      <tp>
        <v>5.25</v>
        <stp/>
        <stp>##V3_BDPV12</stp>
        <stp>GDEN Equity</stp>
        <stp>Px Last</stp>
        <stp>[Pricing File.xlsm]TotalReturnPricing!R337C5</stp>
        <tr r="E337" s="2"/>
      </tp>
      <tp t="s">
        <v>#N/A Field Not Applicable</v>
        <stp/>
        <stp>##V3_BDPV12</stp>
        <stp>SSW Equity</stp>
        <stp>OPT_DELTA</stp>
        <stp>[Pricing File.xlsm]TotalReturnPricing!R185C8</stp>
        <tr r="H185" s="2"/>
      </tp>
      <tp t="s">
        <v>#N/A Field Not Applicable</v>
        <stp/>
        <stp>##V3_BDPV12</stp>
        <stp>TARO Equity</stp>
        <stp>OPT_DELTA</stp>
        <stp>[Pricing File.xlsm]TotalReturnPricing!R716C8</stp>
        <tr r="H716" s="2"/>
      </tp>
      <tp t="s">
        <v>#N/A Field Not Applicable</v>
        <stp/>
        <stp>##V3_BDPV12</stp>
        <stp>WMS Equity</stp>
        <stp>OPT_DELTA</stp>
        <stp>[Pricing File.xlsm]TotalReturnPricing!R331C8</stp>
        <tr r="H331" s="2"/>
      </tp>
      <tp t="s">
        <v>#N/A Field Not Applicable</v>
        <stp/>
        <stp>##V3_BDPV12</stp>
        <stp>DOV Equity</stp>
        <stp>OPT_DELTA</stp>
        <stp>[Pricing File.xlsm]TotalReturnPricing!R664C8</stp>
        <tr r="H664" s="2"/>
      </tp>
      <tp t="s">
        <v>#N/A Field Not Applicable</v>
        <stp/>
        <stp>##V3_BDPV12</stp>
        <stp>AXP Equity</stp>
        <stp>OPT_DELTA</stp>
        <stp>[Pricing File.xlsm]TotalReturnPricing!R662C8</stp>
        <tr r="H662" s="2"/>
      </tp>
      <tp t="s">
        <v>#N/A Field Not Applicable</v>
        <stp/>
        <stp>##V3_BDPV12</stp>
        <stp>IDT Equity</stp>
        <stp>OPT_DELTA</stp>
        <stp>[Pricing File.xlsm]TotalReturnPricing!R276C8</stp>
        <tr r="H276" s="2"/>
      </tp>
      <tp t="s">
        <v>#N/A Field Not Applicable</v>
        <stp/>
        <stp>##V3_BDPV12</stp>
        <stp>HTZ Equity</stp>
        <stp>OPT_DELTA</stp>
        <stp>[Pricing File.xlsm]TotalReturnPricing!R298C8</stp>
        <tr r="H298" s="2"/>
      </tp>
      <tp t="s">
        <v>#N/A Field Not Applicable</v>
        <stp/>
        <stp>##V3_BDPV12</stp>
        <stp>KSU Equity</stp>
        <stp>OPT_DELTA</stp>
        <stp>[Pricing File.xlsm]TotalReturnPricing!R697C8</stp>
        <tr r="H697" s="2"/>
      </tp>
      <tp>
        <v>1.5411999999999999</v>
        <stp/>
        <stp>##V3_BDPV12</stp>
        <stp>TRVG Equity</stp>
        <stp>Px Last</stp>
        <stp>[Pricing File.xlsm]TotalReturnPricing!R49C5</stp>
        <tr r="E49" s="2"/>
      </tp>
      <tp>
        <v>57.41</v>
        <stp/>
        <stp>##V3_BDPV12</stp>
        <stp>SAIC Equity</stp>
        <stp>Px Last</stp>
        <stp>[Pricing File.xlsm]TotalReturnPricing!R622C5</stp>
        <tr r="E622" s="2"/>
      </tp>
      <tp>
        <v>30.56</v>
        <stp/>
        <stp>##V3_BDPV12</stp>
        <stp>SCHW Equity</stp>
        <stp>Px Last</stp>
        <stp>[Pricing File.xlsm]TotalReturnPricing!R490C5</stp>
        <tr r="E490" s="2"/>
      </tp>
      <tp>
        <v>1.66</v>
        <stp/>
        <stp>##V3_BDPV12</stp>
        <stp>MCHX Equity</stp>
        <stp>Px Last</stp>
        <stp>[Pricing File.xlsm]TotalReturnPricing!R150C5</stp>
        <tr r="E150" s="2"/>
      </tp>
      <tp>
        <v>16.91</v>
        <stp/>
        <stp>##V3_BDPV12</stp>
        <stp>CAKE Equity</stp>
        <stp>Px Last</stp>
        <stp>[Pricing File.xlsm]TotalReturnPricing!R532C5</stp>
        <tr r="E532" s="2"/>
      </tp>
      <tp t="s">
        <v>#N/A Field Not Applicable</v>
        <stp/>
        <stp>##V3_BDPV12</stp>
        <stp>ZNGA Equity</stp>
        <stp>OPT_DELTA</stp>
        <stp>[Pricing File.xlsm]TotalReturnPricing!R158C8</stp>
        <tr r="H158" s="2"/>
      </tp>
      <tp t="s">
        <v>#N/A Field Not Applicable</v>
        <stp/>
        <stp>##V3_BDPV12</stp>
        <stp>ZION Equity</stp>
        <stp>OPT_DELTA</stp>
        <stp>[Pricing File.xlsm]TotalReturnPricing!R507C8</stp>
        <tr r="H507" s="2"/>
      </tp>
      <tp t="s">
        <v>#N/A N/A</v>
        <stp/>
        <stp>##V3_BDPV12</stp>
        <stp>SFLY Equity</stp>
        <stp>Px Last</stp>
        <stp>[Pricing File.xlsm]TotalReturnPricing!R535C5</stp>
        <tr r="E535" s="2"/>
      </tp>
      <tp>
        <v>16.079999999999998</v>
        <stp/>
        <stp>##V3_BDPV12</stp>
        <stp>EGOV Equity</stp>
        <stp>Px Last</stp>
        <stp>[Pricing File.xlsm]TotalReturnPricing!R284C5</stp>
        <tr r="E284" s="2"/>
      </tp>
      <tp>
        <v>82.7</v>
        <stp/>
        <stp>##V3_BDPV12</stp>
        <stp>CBOE Equity</stp>
        <stp>Px Last</stp>
        <stp>[Pricing File.xlsm]TotalReturnPricing!R681C5</stp>
        <tr r="E681" s="2"/>
      </tp>
      <tp>
        <v>54.6</v>
        <stp/>
        <stp>##V3_BDPV12</stp>
        <stp>CDNS Equity</stp>
        <stp>Px Last</stp>
        <stp>[Pricing File.xlsm]TotalReturnPricing!R457C5</stp>
        <tr r="E457" s="2"/>
      </tp>
      <tp>
        <v>13.49</v>
        <stp/>
        <stp>##V3_BDPV12</stp>
        <stp>WMB Equity</stp>
        <stp>Px Last</stp>
        <stp>[Pricing File.xlsm]TotalReturnPricing!R417C5</stp>
        <tr r="E417" s="2"/>
      </tp>
      <tp>
        <v>1.98</v>
        <stp/>
        <stp>##V3_BDPV12</stp>
        <stp>RLH Equity</stp>
        <stp>Px Last</stp>
        <stp>[Pricing File.xlsm]TotalReturnPricing!R202C5</stp>
        <tr r="E202" s="2"/>
      </tp>
      <tp>
        <v>225.04</v>
        <stp/>
        <stp>##V3_BDPV12</stp>
        <stp>UNH Equity</stp>
        <stp>Px Last</stp>
        <stp>[Pricing File.xlsm]TotalReturnPricing!R765C5</stp>
        <tr r="E765" s="2"/>
      </tp>
      <tp>
        <v>14.98</v>
        <stp/>
        <stp>##V3_BDPV12</stp>
        <stp>THC Equity</stp>
        <stp>Px Last</stp>
        <stp>[Pricing File.xlsm]TotalReturnPricing!R304C5</stp>
        <tr r="E304" s="2"/>
      </tp>
      <tp>
        <v>81.7</v>
        <stp/>
        <stp>##V3_BDPV12</stp>
        <stp>UHS Equity</stp>
        <stp>Px Last</stp>
        <stp>[Pricing File.xlsm]TotalReturnPricing!R705C5</stp>
        <tr r="E705" s="2"/>
      </tp>
      <tp>
        <v>109.66</v>
        <stp/>
        <stp>##V3_BDPV12</stp>
        <stp>WEX Equity</stp>
        <stp>Px Last</stp>
        <stp>[Pricing File.xlsm]TotalReturnPricing!R707C5</stp>
        <tr r="E707" s="2"/>
      </tp>
      <tp>
        <v>48.15</v>
        <stp/>
        <stp>##V3_BDPV12</stp>
        <stp>TER Equity</stp>
        <stp>Px Last</stp>
        <stp>[Pricing File.xlsm]TotalReturnPricing!R434C5</stp>
        <tr r="E434" s="2"/>
      </tp>
      <tp>
        <v>24.85</v>
        <stp/>
        <stp>##V3_BDPV12</stp>
        <stp>UFS Equity</stp>
        <stp>Px Last</stp>
        <stp>[Pricing File.xlsm]TotalReturnPricing!R465C5</stp>
        <tr r="E465" s="2"/>
      </tp>
      <tp>
        <v>7.95</v>
        <stp/>
        <stp>##V3_BDPV12</stp>
        <stp>UAL 200417P00035000 Equity</stp>
        <stp>Px Last</stp>
        <stp>[Pricing File.xlsm]TotalReturnPricing!R916C5</stp>
        <tr r="E916" s="2"/>
      </tp>
      <tp>
        <v>13.74</v>
        <stp/>
        <stp>##V3_BDPV12</stp>
        <stp>SAH Equity</stp>
        <stp>Px Last</stp>
        <stp>[Pricing File.xlsm]TotalReturnPricing!R313C5</stp>
        <tr r="E313" s="2"/>
      </tp>
      <tp>
        <v>28.69</v>
        <stp/>
        <stp>##V3_BDPV12</stp>
        <stp>PAG Equity</stp>
        <stp>Px Last</stp>
        <stp>[Pricing File.xlsm]TotalReturnPricing!R500C5</stp>
        <tr r="E500" s="2"/>
      </tp>
      <tp>
        <v>36.729999999999997</v>
        <stp/>
        <stp>##V3_BDPV12</stp>
        <stp>SF Equity</stp>
        <stp>Px Last</stp>
        <stp>[Pricing File.xlsm]TotalReturnPricing!R537C5</stp>
        <tr r="E537" s="2"/>
      </tp>
      <tp>
        <v>45.08</v>
        <stp/>
        <stp>##V3_BDPV12</stp>
        <stp>WBA Equity</stp>
        <stp>Px Last</stp>
        <stp>[Pricing File.xlsm]TotalReturnPricing!R647C5</stp>
        <tr r="E647" s="2"/>
      </tp>
      <tp>
        <v>106</v>
        <stp/>
        <stp>##V3_BDPV12</stp>
        <stp>JPY Curncy</stp>
        <stp>Px Ask</stp>
        <stp>[Pricing File.xlsm]TotalReturnPricing!R86C7</stp>
        <tr r="G86" s="2"/>
      </tp>
      <tp>
        <v>21</v>
        <stp/>
        <stp>##V3_BDPV12</stp>
        <stp>GM Equity</stp>
        <stp>Px Last</stp>
        <stp>[Pricing File.xlsm]TotalReturnPricing!R447C5</stp>
        <tr r="E447" s="2"/>
      </tp>
      <tp>
        <v>47.72</v>
        <stp/>
        <stp>##V3_BDPV12</stp>
        <stp>STT Equity</stp>
        <stp>Px Last</stp>
        <stp>[Pricing File.xlsm]TotalReturnPricing!R683C5</stp>
        <tr r="E683" s="2"/>
      </tp>
      <tp>
        <v>82.42</v>
        <stp/>
        <stp>##V3_BDPV12</stp>
        <stp>PPG Equity</stp>
        <stp>Px Last</stp>
        <stp>[Pricing File.xlsm]TotalReturnPricing!R700C5</stp>
        <tr r="E700" s="2"/>
      </tp>
      <tp>
        <v>35.58</v>
        <stp/>
        <stp>##V3_BDPV12</stp>
        <stp>WSM Equity</stp>
        <stp>Px Last</stp>
        <stp>[Pricing File.xlsm]TotalReturnPricing!R517C5</stp>
        <tr r="E517" s="2"/>
      </tp>
      <tp>
        <v>13.35</v>
        <stp/>
        <stp>##V3_BDPV12</stp>
        <stp>TSG Equity</stp>
        <stp>Px Last</stp>
        <stp>[Pricing File.xlsm]TotalReturnPricing!R804C5</stp>
        <tr r="E804" s="2"/>
      </tp>
      <tp>
        <v>43.35</v>
        <stp/>
        <stp>##V3_BDPV12</stp>
        <stp>PRU Equity</stp>
        <stp>Px Last</stp>
        <stp>[Pricing File.xlsm]TotalReturnPricing!R710C5</stp>
        <tr r="E710" s="2"/>
      </tp>
      <tp>
        <v>5.31</v>
        <stp/>
        <stp>##V3_BDPV12</stp>
        <stp>X Equity</stp>
        <stp>Px Bid</stp>
        <stp>[Pricing File.xlsm]TotalReturnPricing!R368C6</stp>
        <tr r="F368" s="2"/>
      </tp>
      <tp t="s">
        <v>#N/A Field Not Applicable</v>
        <stp/>
        <stp>##V3_BDPV12</stp>
        <stp>AGCO Equity</stp>
        <stp>OPT_DELTA</stp>
        <stp>[Pricing File.xlsm]TotalReturnPricing!R627C8</stp>
        <tr r="H627" s="2"/>
      </tp>
      <tp t="s">
        <v>#N/A Field Not Applicable</v>
        <stp/>
        <stp>##V3_BDPV12</stp>
        <stp>ASML Equity</stp>
        <stp>OPT_DELTA</stp>
        <stp>[Pricing File.xlsm]TotalReturnPricing!R744C8</stp>
        <tr r="H744" s="2"/>
      </tp>
      <tp>
        <v>2.02</v>
        <stp/>
        <stp>##V3_BDPV12</stp>
        <stp>GASS Equity</stp>
        <stp>Px Last</stp>
        <stp>[Pricing File.xlsm]TotalReturnPricing!R153C5</stp>
        <tr r="E153" s="2"/>
      </tp>
      <tp t="s">
        <v>#N/A Field Not Applicable</v>
        <stp/>
        <stp>##V3_BDPV12</stp>
        <stp>CHDN Equity</stp>
        <stp>OPT_DELTA</stp>
        <stp>[Pricing File.xlsm]TotalReturnPricing!R766C8</stp>
        <tr r="H766" s="2"/>
      </tp>
      <tp t="s">
        <v>#N/A Field Not Applicable</v>
        <stp/>
        <stp>##V3_BDPV12</stp>
        <stp>CTSH Equity</stp>
        <stp>OPT_DELTA</stp>
        <stp>[Pricing File.xlsm]TotalReturnPricing!R620C8</stp>
        <tr r="H620" s="2"/>
      </tp>
      <tp t="s">
        <v>#N/A Field Not Applicable</v>
        <stp/>
        <stp>##V3_BDPV12</stp>
        <stp>DPLO Equity</stp>
        <stp>OPT_DELTA</stp>
        <stp>[Pricing File.xlsm]TotalReturnPricing!R277C8</stp>
        <tr r="H277" s="2"/>
      </tp>
      <tp>
        <v>2.46</v>
        <stp/>
        <stp>##V3_BDPV12</stp>
        <stp>WETF Equity</stp>
        <stp>Px Last</stp>
        <stp>[Pricing File.xlsm]TotalReturnPricing!R227C5</stp>
        <tr r="E227" s="2"/>
      </tp>
      <tp t="s">
        <v>#N/A Field Not Applicable</v>
        <stp/>
        <stp>##V3_BDPV12</stp>
        <stp>FORM Equity</stp>
        <stp>OPT_DELTA</stp>
        <stp>[Pricing File.xlsm]TotalReturnPricing!R255C8</stp>
        <tr r="H255" s="2"/>
      </tp>
      <tp>
        <v>8.6</v>
        <stp/>
        <stp>##V3_BDPV12</stp>
        <stp>PCYO Equity</stp>
        <stp>Px Last</stp>
        <stp>[Pricing File.xlsm]TotalReturnPricing!R201C5</stp>
        <tr r="E201" s="2"/>
      </tp>
      <tp t="s">
        <v>#N/A Field Not Applicable</v>
        <stp/>
        <stp>##V3_BDPV12</stp>
        <stp>MLCO Equity</stp>
        <stp>OPT_DELTA</stp>
        <stp>[Pricing File.xlsm]TotalReturnPricing!R817C8</stp>
        <tr r="H817" s="2"/>
      </tp>
      <tp>
        <v>32.24</v>
        <stp/>
        <stp>##V3_BDPV12</stp>
        <stp>EBAY Equity</stp>
        <stp>Px Last</stp>
        <stp>[Pricing File.xlsm]TotalReturnPricing!R450C5</stp>
        <tr r="E450" s="2"/>
      </tp>
      <tp t="s">
        <v>#N/A Field Not Applicable</v>
        <stp/>
        <stp>##V3_BDPV12</stp>
        <stp>PGTI Equity</stp>
        <stp>OPT_DELTA</stp>
        <stp>[Pricing File.xlsm]TotalReturnPricing!R251C8</stp>
        <tr r="H251" s="2"/>
      </tp>
      <tp t="s">
        <v>#N/A Field Not Applicable</v>
        <stp/>
        <stp>##V3_BDPV12</stp>
        <stp>QCOM Equity</stp>
        <stp>OPT_DELTA</stp>
        <stp>[Pricing File.xlsm]TotalReturnPricing!R555C8</stp>
        <tr r="H555" s="2"/>
      </tp>
      <tp>
        <v>22.19</v>
        <stp/>
        <stp>##V3_BDPV12</stp>
        <stp>UPM FH Equity</stp>
        <stp>Px Ask</stp>
        <stp>[Pricing File.xlsm]TotalReturnPricing!R103C7</stp>
        <tr r="G103" s="2"/>
      </tp>
      <tp>
        <v>17.5</v>
        <stp/>
        <stp>##V3_BDPV12</stp>
        <stp>SEK AU Equity</stp>
        <stp>Px Ask</stp>
        <stp>[Pricing File.xlsm]TotalReturnPricing!R295C7</stp>
        <tr r="G295" s="2"/>
      </tp>
      <tp t="s">
        <v>#N/A Field Not Applicable</v>
        <stp/>
        <stp>##V3_BDPV12</stp>
        <stp>RECN Equity</stp>
        <stp>OPT_DELTA</stp>
        <stp>[Pricing File.xlsm]TotalReturnPricing!R256C8</stp>
        <tr r="H256" s="2"/>
      </tp>
      <tp t="s">
        <v>#N/A Field Not Applicable</v>
        <stp/>
        <stp>##V3_BDPV12</stp>
        <stp>RDFN Equity</stp>
        <stp>OPT_DELTA</stp>
        <stp>[Pricing File.xlsm]TotalReturnPricing!R836C8</stp>
        <tr r="H836" s="2"/>
      </tp>
      <tp>
        <v>5</v>
        <stp/>
        <stp>##V3_BDPV12</stp>
        <stp>BEBE Equity</stp>
        <stp>Px Last</stp>
        <stp>[Pricing File.xlsm]TotalReturnPricing!R177C5</stp>
        <tr r="E177" s="2"/>
      </tp>
      <tp t="s">
        <v>#N/A Field Not Applicable</v>
        <stp/>
        <stp>##V3_BDPV12</stp>
        <stp>RHP Equity</stp>
        <stp>OPT_DELTA</stp>
        <stp>[Pricing File.xlsm]TotalReturnPricing!R593C8</stp>
        <tr r="H593" s="2"/>
      </tp>
      <tp t="s">
        <v>#N/A Field Not Applicable</v>
        <stp/>
        <stp>##V3_BDPV12</stp>
        <stp>TKOI Equity</stp>
        <stp>OPT_DELTA</stp>
        <stp>[Pricing File.xlsm]TotalReturnPricing!R121C8</stp>
        <tr r="H121" s="2"/>
      </tp>
      <tp t="s">
        <v>#N/A Field Not Applicable</v>
        <stp/>
        <stp>##V3_BDPV12</stp>
        <stp>BKS Equity</stp>
        <stp>OPT_DELTA</stp>
        <stp>[Pricing File.xlsm]TotalReturnPricing!R210C8</stp>
        <tr r="H210" s="2"/>
      </tp>
      <tp t="s">
        <v>#N/A Field Not Applicable</v>
        <stp/>
        <stp>##V3_BDPV12</stp>
        <stp>HLT Equity</stp>
        <stp>OPT_DELTA</stp>
        <stp>[Pricing File.xlsm]TotalReturnPricing!R847C8</stp>
        <tr r="H847" s="2"/>
      </tp>
      <tp t="s">
        <v>#N/A Field Not Applicable</v>
        <stp/>
        <stp>##V3_BDPV12</stp>
        <stp>AXP Equity</stp>
        <stp>OPT_DELTA</stp>
        <stp>[Pricing File.xlsm]TotalReturnPricing!R663C8</stp>
        <tr r="H663" s="2"/>
      </tp>
      <tp t="s">
        <v>#N/A Field Not Applicable</v>
        <stp/>
        <stp>##V3_BDPV12</stp>
        <stp>CIT Equity</stp>
        <stp>OPT_DELTA</stp>
        <stp>[Pricing File.xlsm]TotalReturnPricing!R527C8</stp>
        <tr r="H527" s="2"/>
      </tp>
      <tp t="s">
        <v>#N/A Field Not Applicable</v>
        <stp/>
        <stp>##V3_BDPV12</stp>
        <stp>ADS Equity</stp>
        <stp>OPT_DELTA</stp>
        <stp>[Pricing File.xlsm]TotalReturnPricing!R780C8</stp>
        <tr r="H780" s="2"/>
      </tp>
      <tp t="s">
        <v>#N/A Field Not Applicable</v>
        <stp/>
        <stp>##V3_BDPV12</stp>
        <stp>TSLA Equity</stp>
        <stp>OPT_DELTA</stp>
        <stp>[Pricing File.xlsm]TotalReturnPricing!R819C8</stp>
        <tr r="H819" s="2"/>
      </tp>
      <tp t="s">
        <v>#N/A Field Not Applicable</v>
        <stp/>
        <stp>##V3_BDPV12</stp>
        <stp>NEU Equity</stp>
        <stp>OPT_DELTA</stp>
        <stp>[Pricing File.xlsm]TotalReturnPricing!R786C8</stp>
        <tr r="H786" s="2"/>
      </tp>
      <tp t="s">
        <v>#N/A Field Not Applicable</v>
        <stp/>
        <stp>##V3_BDPV12</stp>
        <stp>TPGH Equity</stp>
        <stp>OPT_DELTA</stp>
        <stp>[Pricing File.xlsm]TotalReturnPricing!R840C8</stp>
        <tr r="H840" s="2"/>
      </tp>
      <tp t="s">
        <v>#N/A Field Not Applicable</v>
        <stp/>
        <stp>##V3_BDPV12</stp>
        <stp>NWS Equity</stp>
        <stp>OPT_DELTA</stp>
        <stp>[Pricing File.xlsm]TotalReturnPricing!R270C8</stp>
        <tr r="H270" s="2"/>
      </tp>
      <tp t="s">
        <v>#N/A Field Not Applicable</v>
        <stp/>
        <stp>##V3_BDPV12</stp>
        <stp>MOS Equity</stp>
        <stp>OPT_DELTA</stp>
        <stp>[Pricing File.xlsm]TotalReturnPricing!R360C8</stp>
        <tr r="H360" s="2"/>
      </tp>
      <tp>
        <v>1.5411999999999999</v>
        <stp/>
        <stp>##V3_BDPV12</stp>
        <stp>TRVG Equity</stp>
        <stp>Px Last</stp>
        <stp>[Pricing File.xlsm]TotalReturnPricing!R48C5</stp>
        <tr r="E48" s="2"/>
      </tp>
      <tp>
        <v>82</v>
        <stp/>
        <stp>##V3_BDPV12</stp>
        <stp>EEFT Equity</stp>
        <stp>Px Last</stp>
        <stp>[Pricing File.xlsm]TotalReturnPricing!R687C5</stp>
        <tr r="E687" s="2"/>
      </tp>
      <tp>
        <v>13.74</v>
        <stp/>
        <stp>##V3_BDPV12</stp>
        <stp>RDFN Equity</stp>
        <stp>Px Last</stp>
        <stp>[Pricing File.xlsm]TotalReturnPricing!R836C5</stp>
        <tr r="E836" s="2"/>
      </tp>
      <tp t="s">
        <v>#N/A Field Not Applicable</v>
        <stp/>
        <stp>##V3_BDPV12</stp>
        <stp>WYNN Equity</stp>
        <stp>OPT_DELTA</stp>
        <stp>[Pricing File.xlsm]TotalReturnPricing!R726C8</stp>
        <tr r="H726" s="2"/>
      </tp>
      <tp>
        <v>30.56</v>
        <stp/>
        <stp>##V3_BDPV12</stp>
        <stp>SCHW Equity</stp>
        <stp>Px Last</stp>
        <stp>[Pricing File.xlsm]TotalReturnPricing!R491C5</stp>
        <tr r="E491" s="2"/>
      </tp>
      <tp>
        <v>1.2982</v>
        <stp/>
        <stp>##V3_BDPV12</stp>
        <stp>RCMT Equity</stp>
        <stp>Px Last</stp>
        <stp>[Pricing File.xlsm]TotalReturnPricing!R171C5</stp>
        <tr r="E171" s="2"/>
      </tp>
      <tp>
        <v>10.61</v>
        <stp/>
        <stp>##V3_BDPV12</stp>
        <stp>JBLU Equity</stp>
        <stp>Px Last</stp>
        <stp>[Pricing File.xlsm]TotalReturnPricing!R340C5</stp>
        <tr r="E340" s="2"/>
      </tp>
      <tp>
        <v>0.1</v>
        <stp/>
        <stp>##V3_BDPV12</stp>
        <stp>YOO CN Equity</stp>
        <stp>Px Bid</stp>
        <stp>[Pricing File.xlsm]TotalReturnPricing!R56C6</stp>
        <tr r="F56" s="2"/>
      </tp>
      <tp>
        <v>18.739999999999998</v>
        <stp/>
        <stp>##V3_BDPV12</stp>
        <stp>SANM Equity</stp>
        <stp>Px Last</stp>
        <stp>[Pricing File.xlsm]TotalReturnPricing!R453C5</stp>
        <tr r="E453" s="2"/>
      </tp>
      <tp>
        <v>125.1</v>
        <stp/>
        <stp>##V3_BDPV12</stp>
        <stp>UNP Equity</stp>
        <stp>Px Last</stp>
        <stp>[Pricing File.xlsm]TotalReturnPricing!R696C5</stp>
        <tr r="E696" s="2"/>
      </tp>
      <tp t="s">
        <v>#N/A N/A</v>
        <stp/>
        <stp>##V3_BDPV12</stp>
        <stp>PJC Equity</stp>
        <stp>Px Last</stp>
        <stp>[Pricing File.xlsm]TotalReturnPricing!R603C5</stp>
        <tr r="E603" s="2"/>
      </tp>
      <tp t="s">
        <v>#N/A Field Not Applicable</v>
        <stp/>
        <stp>##V3_BDPV12</stp>
        <stp>UMI BB Equity</stp>
        <stp>OPT_DELTA</stp>
        <stp>[Pricing File.xlsm]TotalReturnPricing!R123C8</stp>
        <tr r="H123" s="2"/>
      </tp>
      <tp>
        <v>24.85</v>
        <stp/>
        <stp>##V3_BDPV12</stp>
        <stp>UFS Equity</stp>
        <stp>Px Last</stp>
        <stp>[Pricing File.xlsm]TotalReturnPricing!R466C5</stp>
        <tr r="E466" s="2"/>
      </tp>
      <tp>
        <v>105.97</v>
        <stp/>
        <stp>##V3_BDPV12</stp>
        <stp>JPY Curncy</stp>
        <stp>Px Bid</stp>
        <stp>[Pricing File.xlsm]TotalReturnPricing!R86C6</stp>
        <tr r="F86" s="2"/>
      </tp>
      <tp>
        <v>34.47</v>
        <stp/>
        <stp>##V3_BDPV12</stp>
        <stp>MU Equity</stp>
        <stp>Px Last</stp>
        <stp>[Pricing File.xlsm]TotalReturnPricing!R404C5</stp>
        <tr r="E404" s="2"/>
      </tp>
      <tp>
        <v>13.16</v>
        <stp/>
        <stp>##V3_BDPV12</stp>
        <stp>HA Equity</stp>
        <stp>Px Last</stp>
        <stp>[Pricing File.xlsm]TotalReturnPricing!R484C5</stp>
        <tr r="E484" s="2"/>
      </tp>
      <tp>
        <v>16.170000000000002</v>
        <stp/>
        <stp>##V3_BDPV12</stp>
        <stp>PPC Equity</stp>
        <stp>Px Last</stp>
        <stp>[Pricing File.xlsm]TotalReturnPricing!R363C5</stp>
        <tr r="E363" s="2"/>
      </tp>
      <tp>
        <v>9.41</v>
        <stp/>
        <stp>##V3_BDPV12</stp>
        <stp>BV Equity</stp>
        <stp>Px Last</stp>
        <stp>[Pricing File.xlsm]TotalReturnPricing!R164C5</stp>
        <tr r="E164" s="2"/>
      </tp>
      <tp t="s">
        <v>#N/A N/A</v>
        <stp/>
        <stp>##V3_BDPV12</stp>
        <stp>Z 200221P00054000 Equity</stp>
        <stp>Px Ask</stp>
        <stp>[Pricing File.xlsm]TotalReturnPricing!R907C7</stp>
        <tr r="G907" s="2"/>
      </tp>
      <tp t="s">
        <v>#N/A Field Not Applicable</v>
        <stp/>
        <stp>##V3_BDPV12</stp>
        <stp>ANGI Equity</stp>
        <stp>OPT_DELTA</stp>
        <stp>[Pricing File.xlsm]TotalReturnPricing!R242C8</stp>
        <tr r="H242" s="2"/>
      </tp>
      <tp>
        <v>49.43</v>
        <stp/>
        <stp>##V3_BDPV12</stp>
        <stp>MGRC Equity</stp>
        <stp>Px Last</stp>
        <stp>[Pricing File.xlsm]TotalReturnPricing!R436C5</stp>
        <tr r="E436" s="2"/>
      </tp>
      <tp>
        <v>5.08</v>
        <stp/>
        <stp>##V3_BDPV12</stp>
        <stp>SIRI Equity</stp>
        <stp>Px Last</stp>
        <stp>[Pricing File.xlsm]TotalReturnPricing!R178C5</stp>
        <tr r="E178" s="2"/>
      </tp>
      <tp t="s">
        <v>#N/A Field Not Applicable</v>
        <stp/>
        <stp>##V3_BDPV12</stp>
        <stp>CSCO Equity</stp>
        <stp>OPT_DELTA</stp>
        <stp>[Pricing File.xlsm]TotalReturnPricing!R414C8</stp>
        <tr r="H414" s="2"/>
      </tp>
      <tp t="s">
        <v>#N/A Field Not Applicable</v>
        <stp/>
        <stp>##V3_BDPV12</stp>
        <stp>CTRN Equity</stp>
        <stp>OPT_DELTA</stp>
        <stp>[Pricing File.xlsm]TotalReturnPricing!R345C8</stp>
        <tr r="H345" s="2"/>
      </tp>
      <tp>
        <v>2.4</v>
        <stp/>
        <stp>##V3_BDPV12</stp>
        <stp>PFSI 200821C00035000 Equity</stp>
        <stp>Px Last</stp>
        <stp>[Pricing File.xlsm]TotalReturnPricing!R897C5</stp>
        <tr r="E897" s="2"/>
      </tp>
      <tp t="s">
        <v>#N/A Field Not Applicable</v>
        <stp/>
        <stp>##V3_BDPV12</stp>
        <stp>DHIL Equity</stp>
        <stp>OPT_DELTA</stp>
        <stp>[Pricing File.xlsm]TotalReturnPricing!R767C8</stp>
        <tr r="H767" s="2"/>
      </tp>
      <tp>
        <v>0.11</v>
        <stp/>
        <stp>##V3_BDPV12</stp>
        <stp>YOO CN Equity</stp>
        <stp>Px Ask</stp>
        <stp>[Pricing File.xlsm]TotalReturnPricing!R56C7</stp>
        <tr r="G56" s="2"/>
      </tp>
      <tp>
        <v>0.6</v>
        <stp/>
        <stp>##V3_BDPV12</stp>
        <stp>PFSI 200515C00035000 Equity</stp>
        <stp>Px Last</stp>
        <stp>[Pricing File.xlsm]TotalReturnPricing!R874C5</stp>
        <tr r="E874" s="2"/>
      </tp>
      <tp t="s">
        <v>#N/A Invalid Security</v>
        <stp/>
        <stp>##V3_BDPV12</stp>
        <stp>HOG6 Comdty</stp>
        <stp>Px Last</stp>
        <stp>[Pricing File.xlsm]TotalReturnPricing!R848C5</stp>
        <tr r="E848" s="2"/>
      </tp>
      <tp t="s">
        <v>#N/A Field Not Applicable</v>
        <stp/>
        <stp>##V3_BDPV12</stp>
        <stp>KFRC Equity</stp>
        <stp>OPT_DELTA</stp>
        <stp>[Pricing File.xlsm]TotalReturnPricing!R308C8</stp>
        <tr r="H308" s="2"/>
      </tp>
      <tp t="s">
        <v>#N/A Field Not Applicable</v>
        <stp/>
        <stp>##V3_BDPV12</stp>
        <stp>MINI Equity</stp>
        <stp>OPT_DELTA</stp>
        <stp>[Pricing File.xlsm]TotalReturnPricing!R402C8</stp>
        <tr r="H402" s="2"/>
      </tp>
      <tp t="s">
        <v>#N/A Field Not Applicable</v>
        <stp/>
        <stp>##V3_BDPV12</stp>
        <stp>SBGI Equity</stp>
        <stp>OPT_DELTA</stp>
        <stp>[Pricing File.xlsm]TotalReturnPricing!R452C8</stp>
        <tr r="H452" s="2"/>
      </tp>
      <tp t="s">
        <v>#N/A Field Not Applicable</v>
        <stp/>
        <stp>##V3_BDPV12</stp>
        <stp>RWT Equity</stp>
        <stp>OPT_DELTA</stp>
        <stp>[Pricing File.xlsm]TotalReturnPricing!R294C8</stp>
        <tr r="H294" s="2"/>
      </tp>
      <tp t="s">
        <v>#N/A Field Not Applicable</v>
        <stp/>
        <stp>##V3_BDPV12</stp>
        <stp>VMW Equity</stp>
        <stp>OPT_DELTA</stp>
        <stp>[Pricing File.xlsm]TotalReturnPricing!R677C8</stp>
        <tr r="H677" s="2"/>
      </tp>
      <tp t="s">
        <v>#N/A Field Not Applicable</v>
        <stp/>
        <stp>##V3_BDPV12</stp>
        <stp>TIVO Equity</stp>
        <stp>OPT_DELTA</stp>
        <stp>[Pricing File.xlsm]TotalReturnPricing!R314C8</stp>
        <tr r="H314" s="2"/>
      </tp>
      <tp t="s">
        <v>#N/A Field Not Applicable</v>
        <stp/>
        <stp>##V3_BDPV12</stp>
        <stp>EXP Equity</stp>
        <stp>OPT_DELTA</stp>
        <stp>[Pricing File.xlsm]TotalReturnPricing!R680C8</stp>
        <tr r="H680" s="2"/>
      </tp>
      <tp t="s">
        <v>#N/A Field Not Applicable</v>
        <stp/>
        <stp>##V3_BDPV12</stp>
        <stp>DIS Equity</stp>
        <stp>OPT_DELTA</stp>
        <stp>[Pricing File.xlsm]TotalReturnPricing!R703C8</stp>
        <tr r="H703" s="2"/>
      </tp>
      <tp t="s">
        <v>#N/A Field Not Applicable</v>
        <stp/>
        <stp>##V3_BDPV12</stp>
        <stp>TWMC Equity</stp>
        <stp>OPT_DELTA</stp>
        <stp>[Pricing File.xlsm]TotalReturnPricing!R138C8</stp>
        <tr r="H138" s="2"/>
      </tp>
      <tp t="s">
        <v>#N/A Field Not Applicable</v>
        <stp/>
        <stp>##V3_BDPV12</stp>
        <stp>CAT Equity</stp>
        <stp>OPT_DELTA</stp>
        <stp>[Pricing File.xlsm]TotalReturnPricing!R714C8</stp>
        <tr r="H714" s="2"/>
      </tp>
      <tp t="s">
        <v>#N/A Field Not Applicable</v>
        <stp/>
        <stp>##V3_BDPV12</stp>
        <stp>CNQ Equity</stp>
        <stp>OPT_DELTA</stp>
        <stp>[Pricing File.xlsm]TotalReturnPricing!R411C8</stp>
        <tr r="H411" s="2"/>
      </tp>
      <tp t="s">
        <v>#N/A Field Not Applicable</v>
        <stp/>
        <stp>##V3_BDPV12</stp>
        <stp>NYT Equity</stp>
        <stp>OPT_DELTA</stp>
        <stp>[Pricing File.xlsm]TotalReturnPricing!R324C8</stp>
        <tr r="H324" s="2"/>
      </tp>
      <tp t="s">
        <v>#N/A Field Not Applicable</v>
        <stp/>
        <stp>##V3_BDPV12</stp>
        <stp>NFX Equity</stp>
        <stp>OPT_DELTA</stp>
        <stp>[Pricing File.xlsm]TotalReturnPricing!R398C8</stp>
        <tr r="H398" s="2"/>
      </tp>
      <tp t="s">
        <v>#N/A Field Not Applicable</v>
        <stp/>
        <stp>##V3_BDPV12</stp>
        <stp>LXU Equity</stp>
        <stp>OPT_DELTA</stp>
        <stp>[Pricing File.xlsm]TotalReturnPricing!R205C8</stp>
        <tr r="H205" s="2"/>
      </tp>
      <tp t="s">
        <v>#N/A N/A</v>
        <stp/>
        <stp>##V3_BDPV12</stp>
        <stp>GHDX Equity</stp>
        <stp>Px Last</stp>
        <stp>[Pricing File.xlsm]TotalReturnPricing!R419C5</stp>
        <tr r="E419" s="2"/>
      </tp>
      <tp t="s">
        <v>#N/A Field Not Applicable</v>
        <stp/>
        <stp>##V3_BDPV12</stp>
        <stp>URBN Equity</stp>
        <stp>OPT_DELTA</stp>
        <stp>[Pricing File.xlsm]TotalReturnPricing!R315C8</stp>
        <tr r="H315" s="2"/>
      </tp>
      <tp>
        <v>45.44</v>
        <stp/>
        <stp>##V3_BDPV12</stp>
        <stp>SEIC Equity</stp>
        <stp>Px Last</stp>
        <stp>[Pricing File.xlsm]TotalReturnPricing!R564C5</stp>
        <tr r="E564" s="2"/>
      </tp>
      <tp>
        <v>17.68</v>
        <stp/>
        <stp>##V3_BDPV12</stp>
        <stp>YELP Equity</stp>
        <stp>Px Last</stp>
        <stp>[Pricing File.xlsm]TotalReturnPricing!R424C5</stp>
        <tr r="E424" s="2"/>
      </tp>
      <tp>
        <v>7.9</v>
        <stp/>
        <stp>##V3_BDPV12</stp>
        <stp>VALE Equity</stp>
        <stp>Px Last</stp>
        <stp>[Pricing File.xlsm]TotalReturnPricing!R220C5</stp>
        <tr r="E220" s="2"/>
      </tp>
      <tp t="s">
        <v>#N/A Field Not Applicable</v>
        <stp/>
        <stp>##V3_BDPV12</stp>
        <stp>CCMP Index</stp>
        <stp>OPT_DELTA</stp>
        <stp>[Pricing File.xlsm]TotalReturnPricing!R797C8</stp>
        <tr r="H797" s="2"/>
      </tp>
      <tp>
        <v>13.92</v>
        <stp/>
        <stp>##V3_BDPV12</stp>
        <stp>UNG Equity</stp>
        <stp>Px Last</stp>
        <stp>[Pricing File.xlsm]TotalReturnPricing!R187C5</stp>
        <tr r="E187" s="2"/>
      </tp>
      <tp>
        <v>40.26</v>
        <stp/>
        <stp>##V3_BDPV12</stp>
        <stp>RIO Equity</stp>
        <stp>Px Last</stp>
        <stp>[Pricing File.xlsm]TotalReturnPricing!R510C5</stp>
        <tr r="E510" s="2"/>
      </tp>
      <tp>
        <v>115.68</v>
        <stp/>
        <stp>##V3_BDPV12</stp>
        <stp>TIF Equity</stp>
        <stp>Px Last</stp>
        <stp>[Pricing File.xlsm]TotalReturnPricing!R686C5</stp>
        <tr r="E686" s="2"/>
      </tp>
      <tp>
        <v>66.599999999999994</v>
        <stp/>
        <stp>##V3_BDPV12</stp>
        <stp>RJF Equity</stp>
        <stp>Px Last</stp>
        <stp>[Pricing File.xlsm]TotalReturnPricing!R660C5</stp>
        <tr r="E660" s="2"/>
      </tp>
      <tp>
        <v>239.41</v>
        <stp/>
        <stp>##V3_BDPV12</stp>
        <stp>SPY Equity</stp>
        <stp>Px Bid</stp>
        <stp>[Pricing File.xlsm]TotalReturnPricing!R50C6</stp>
        <tr r="F50" s="2"/>
      </tp>
      <tp>
        <v>99.89</v>
        <stp/>
        <stp>##V3_BDPV12</stp>
        <stp>WM Equity</stp>
        <stp>Px Last</stp>
        <stp>[Pricing File.xlsm]TotalReturnPricing!R635C5</stp>
        <tr r="E635" s="2"/>
      </tp>
      <tp>
        <v>39.049999999999997</v>
        <stp/>
        <stp>##V3_BDPV12</stp>
        <stp>UAL 200515P00072500 Equity</stp>
        <stp>Px Last</stp>
        <stp>[Pricing File.xlsm]TotalReturnPricing!R911C5</stp>
        <tr r="E911" s="2"/>
      </tp>
      <tp>
        <v>35.47</v>
        <stp/>
        <stp>##V3_BDPV12</stp>
        <stp>UAL Equity</stp>
        <stp>Px Last</stp>
        <stp>[Pricing File.xlsm]TotalReturnPricing!R617C5</stp>
        <tr r="E617" s="2"/>
      </tp>
      <tp>
        <v>1.63</v>
        <stp/>
        <stp>##V3_BDPV12</stp>
        <stp>SM Equity</stp>
        <stp>Px Last</stp>
        <stp>[Pricing File.xlsm]TotalReturnPricing!R305C5</stp>
        <tr r="E305" s="2"/>
      </tp>
      <tp>
        <v>34.47</v>
        <stp/>
        <stp>##V3_BDPV12</stp>
        <stp>MU Equity</stp>
        <stp>Px Last</stp>
        <stp>[Pricing File.xlsm]TotalReturnPricing!R405C5</stp>
        <tr r="E405" s="2"/>
      </tp>
      <tp>
        <v>235.65</v>
        <stp/>
        <stp>##V3_BDPV12</stp>
        <stp>MA Equity</stp>
        <stp>Px Last</stp>
        <stp>[Pricing File.xlsm]TotalReturnPricing!R805C5</stp>
        <tr r="E805" s="2"/>
      </tp>
      <tp>
        <v>93.5</v>
        <stp/>
        <stp>##V3_BDPV12</stp>
        <stp>TXN Equity</stp>
        <stp>Px Last</stp>
        <stp>[Pricing File.xlsm]TotalReturnPricing!R656C5</stp>
        <tr r="E656" s="2"/>
      </tp>
      <tp>
        <v>13.16</v>
        <stp/>
        <stp>##V3_BDPV12</stp>
        <stp>HA Equity</stp>
        <stp>Px Last</stp>
        <stp>[Pricing File.xlsm]TotalReturnPricing!R485C5</stp>
        <tr r="E485" s="2"/>
      </tp>
      <tp>
        <v>1.96</v>
        <stp/>
        <stp>##V3_BDPV12</stp>
        <stp>SWN Equity</stp>
        <stp>Px Last</stp>
        <stp>[Pricing File.xlsm]TotalReturnPricing!R801C5</stp>
        <tr r="E801" s="2"/>
      </tp>
      <tp>
        <v>57.83</v>
        <stp/>
        <stp>##V3_BDPV12</stp>
        <stp>RPM Equity</stp>
        <stp>Px Last</stp>
        <stp>[Pricing File.xlsm]TotalReturnPricing!R550C5</stp>
        <tr r="E550" s="2"/>
      </tp>
      <tp t="s">
        <v>#N/A N/A</v>
        <stp/>
        <stp>##V3_BDPV12</stp>
        <stp>USG Equity</stp>
        <stp>Px Last</stp>
        <stp>[Pricing File.xlsm]TotalReturnPricing!R387C5</stp>
        <tr r="E387" s="2"/>
      </tp>
      <tp t="s">
        <v>#N/A Field Not Applicable</v>
        <stp/>
        <stp>##V3_BDPV12</stp>
        <stp>ABEO Equity</stp>
        <stp>OPT_DELTA</stp>
        <stp>[Pricing File.xlsm]TotalReturnPricing!R115C8</stp>
        <tr r="H115" s="2"/>
      </tp>
      <tp t="s">
        <v>#N/A Field Not Applicable</v>
        <stp/>
        <stp>##V3_BDPV12</stp>
        <stp>BHLB Equity</stp>
        <stp>OPT_DELTA</stp>
        <stp>[Pricing File.xlsm]TotalReturnPricing!R458C8</stp>
        <tr r="H458" s="2"/>
      </tp>
      <tp>
        <v>61.06</v>
        <stp/>
        <stp>##V3_BDPV12</stp>
        <stp>CHRW Equity</stp>
        <stp>Px Last</stp>
        <stp>[Pricing File.xlsm]TotalReturnPricing!R608C5</stp>
        <tr r="E608" s="2"/>
      </tp>
      <tp t="s">
        <v>#N/A Field Not Applicable</v>
        <stp/>
        <stp>##V3_BDPV12</stp>
        <stp>CIVI Equity</stp>
        <stp>OPT_DELTA</stp>
        <stp>[Pricing File.xlsm]TotalReturnPricing!R303C8</stp>
        <tr r="H303" s="2"/>
      </tp>
      <tp t="s">
        <v>#N/A Field Not Applicable</v>
        <stp/>
        <stp>##V3_BDPV12</stp>
        <stp>CONN Equity</stp>
        <stp>OPT_DELTA</stp>
        <stp>[Pricing File.xlsm]TotalReturnPricing!R354C8</stp>
        <tr r="H354" s="2"/>
      </tp>
      <tp t="s">
        <v>#N/A Field Not Applicable</v>
        <stp/>
        <stp>##V3_BDPV12</stp>
        <stp>DORM Equity</stp>
        <stp>OPT_DELTA</stp>
        <stp>[Pricing File.xlsm]TotalReturnPricing!R807C8</stp>
        <tr r="H807" s="2"/>
      </tp>
      <tp>
        <v>18.71</v>
        <stp/>
        <stp>##V3_BDPV12</stp>
        <stp>AAWW Equity</stp>
        <stp>Px Last</stp>
        <stp>[Pricing File.xlsm]TotalReturnPricing!R111C5</stp>
        <tr r="E111" s="2"/>
      </tp>
      <tp>
        <v>0.03</v>
        <stp/>
        <stp>##V3_BDPV12</stp>
        <stp>SAVE 200320C00042500 Equity</stp>
        <stp>Px Last</stp>
        <stp>[Pricing File.xlsm]TotalReturnPricing!R894C5</stp>
        <tr r="E894" s="2"/>
      </tp>
      <tp>
        <v>18.75</v>
        <stp/>
        <stp>##V3_BDPV12</stp>
        <stp>VCYT Equity</stp>
        <stp>Px Last</stp>
        <stp>[Pricing File.xlsm]TotalReturnPricing!R213C5</stp>
        <tr r="E213" s="2"/>
      </tp>
      <tp t="s">
        <v>#N/A Field Not Applicable</v>
        <stp/>
        <stp>##V3_BDPV12</stp>
        <stp>HBAN Equity</stp>
        <stp>OPT_DELTA</stp>
        <stp>[Pricing File.xlsm]TotalReturnPricing!R254C8</stp>
        <tr r="H254" s="2"/>
      </tp>
      <tp t="s">
        <v>#N/A Invalid Security</v>
        <stp/>
        <stp>##V3_BDPV12</stp>
        <stp>HOG7 Comdty</stp>
        <stp>Px Last</stp>
        <stp>[Pricing File.xlsm]TotalReturnPricing!R849C5</stp>
        <tr r="E849" s="2"/>
      </tp>
      <tp t="s">
        <v>#N/A Field Not Applicable</v>
        <stp/>
        <stp>##V3_BDPV12</stp>
        <stp>OLLI Equity</stp>
        <stp>OPT_DELTA</stp>
        <stp>[Pricing File.xlsm]TotalReturnPricing!R503C8</stp>
        <tr r="H503" s="2"/>
      </tp>
      <tp>
        <v>0.25</v>
        <stp/>
        <stp>##V3_BDPV12</stp>
        <stp>SKYW 200417C00065000 Equity</stp>
        <stp>Px Last</stp>
        <stp>[Pricing File.xlsm]TotalReturnPricing!R878C5</stp>
        <tr r="E878" s="2"/>
      </tp>
      <tp>
        <v>85.31</v>
        <stp/>
        <stp>##V3_BDPV12</stp>
        <stp>NDAQ Equity</stp>
        <stp>Px Last</stp>
        <stp>[Pricing File.xlsm]TotalReturnPricing!R634C5</stp>
        <tr r="E634" s="2"/>
      </tp>
      <tp>
        <v>47.97</v>
        <stp/>
        <stp>##V3_BDPV12</stp>
        <stp>AGCO Equity</stp>
        <stp>Px Last</stp>
        <stp>[Pricing File.xlsm]TotalReturnPricing!R627C5</stp>
        <tr r="E627" s="2"/>
      </tp>
      <tp>
        <v>25</v>
        <stp/>
        <stp>##V3_BDPV12</stp>
        <stp>ALM LN Equity</stp>
        <stp>Px Ask</stp>
        <stp>[Pricing File.xlsm]TotalReturnPricing!R101C7</stp>
        <tr r="G101" s="2"/>
      </tp>
      <tp t="s">
        <v>#N/A Field Not Applicable</v>
        <stp/>
        <stp>##V3_BDPV12</stp>
        <stp>RCII Equity</stp>
        <stp>OPT_DELTA</stp>
        <stp>[Pricing File.xlsm]TotalReturnPricing!R253C8</stp>
        <tr r="H253" s="2"/>
      </tp>
      <tp t="s">
        <v>#N/A Field Not Applicable</v>
        <stp/>
        <stp>##V3_BDPV12</stp>
        <stp>RNWK Equity</stp>
        <stp>OPT_DELTA</stp>
        <stp>[Pricing File.xlsm]TotalReturnPricing!R161C8</stp>
        <tr r="H161" s="2"/>
      </tp>
      <tp>
        <v>6.44</v>
        <stp/>
        <stp>##V3_BDPV12</stp>
        <stp>SABR Equity</stp>
        <stp>Px Last</stp>
        <stp>[Pricing File.xlsm]TotalReturnPricing!R341C5</stp>
        <tr r="E341" s="2"/>
      </tp>
      <tp>
        <v>17.02</v>
        <stp/>
        <stp>##V3_BDPV12</stp>
        <stp>UCBI Equity</stp>
        <stp>Px Last</stp>
        <stp>[Pricing File.xlsm]TotalReturnPricing!R393C5</stp>
        <tr r="E393" s="2"/>
      </tp>
      <tp t="s">
        <v>#N/A Field Not Applicable</v>
        <stp/>
        <stp>##V3_BDPV12</stp>
        <stp>SCIL Equity</stp>
        <stp>OPT_DELTA</stp>
        <stp>[Pricing File.xlsm]TotalReturnPricing!R126C8</stp>
        <tr r="H126" s="2"/>
      </tp>
      <tp t="s">
        <v>#N/A Field Not Applicable</v>
        <stp/>
        <stp>##V3_BDPV12</stp>
        <stp>SLAB Equity</stp>
        <stp>OPT_DELTA</stp>
        <stp>[Pricing File.xlsm]TotalReturnPricing!R638C8</stp>
        <tr r="H638" s="2"/>
      </tp>
      <tp t="s">
        <v>#N/A Field Not Applicable</v>
        <stp/>
        <stp>##V3_BDPV12</stp>
        <stp>SPWH Equity</stp>
        <stp>OPT_DELTA</stp>
        <stp>[Pricing File.xlsm]TotalReturnPricing!R162C8</stp>
        <tr r="H162" s="2"/>
      </tp>
      <tp>
        <v>20.29</v>
        <stp/>
        <stp>##V3_BDPV12</stp>
        <stp>UBER Equity</stp>
        <stp>Px Last</stp>
        <stp>[Pricing File.xlsm]TotalReturnPricing!R842C5</stp>
        <tr r="E842" s="2"/>
      </tp>
      <tp t="s">
        <v>#N/A Field Not Applicable</v>
        <stp/>
        <stp>##V3_BDPV12</stp>
        <stp>TGT Equity</stp>
        <stp>OPT_DELTA</stp>
        <stp>[Pricing File.xlsm]TotalReturnPricing!R565C8</stp>
        <tr r="H565" s="2"/>
      </tp>
      <tp t="s">
        <v>#N/A Field Not Applicable</v>
        <stp/>
        <stp>##V3_BDPV12</stp>
        <stp>TCX Equity</stp>
        <stp>OPT_DELTA</stp>
        <stp>[Pricing File.xlsm]TotalReturnPricing!R559C8</stp>
        <tr r="H559" s="2"/>
      </tp>
      <tp t="s">
        <v>#N/A Field Not Applicable</v>
        <stp/>
        <stp>##V3_BDPV12</stp>
        <stp>TEX Equity</stp>
        <stp>OPT_DELTA</stp>
        <stp>[Pricing File.xlsm]TotalReturnPricing!R469C8</stp>
        <tr r="H469" s="2"/>
      </tp>
      <tp t="s">
        <v>#N/A Field Not Applicable</v>
        <stp/>
        <stp>##V3_BDPV12</stp>
        <stp>WBS Equity</stp>
        <stp>OPT_DELTA</stp>
        <stp>[Pricing File.xlsm]TotalReturnPricing!R552C8</stp>
        <tr r="H552" s="2"/>
      </tp>
      <tp t="s">
        <v>#N/A Field Not Applicable</v>
        <stp/>
        <stp>##V3_BDPV12</stp>
        <stp>WMS Equity</stp>
        <stp>OPT_DELTA</stp>
        <stp>[Pricing File.xlsm]TotalReturnPricing!R332C8</stp>
        <tr r="H332" s="2"/>
      </tp>
      <tp t="s">
        <v>#N/A Field Not Applicable</v>
        <stp/>
        <stp>##V3_BDPV12</stp>
        <stp>GBX Equity</stp>
        <stp>OPT_DELTA</stp>
        <stp>[Pricing File.xlsm]TotalReturnPricing!R499C8</stp>
        <tr r="H499" s="2"/>
      </tp>
      <tp t="s">
        <v>#N/A Field Not Applicable</v>
        <stp/>
        <stp>##V3_BDPV12</stp>
        <stp>AIV Equity</stp>
        <stp>OPT_DELTA</stp>
        <stp>[Pricing File.xlsm]TotalReturnPricing!R497C8</stp>
        <tr r="H497" s="2"/>
      </tp>
      <tp t="s">
        <v>#N/A Field Not Applicable</v>
        <stp/>
        <stp>##V3_BDPV12</stp>
        <stp>DNR Equity</stp>
        <stp>OPT_DELTA</stp>
        <stp>[Pricing File.xlsm]TotalReturnPricing!R133C8</stp>
        <tr r="H133" s="2"/>
      </tp>
      <tp t="s">
        <v>#N/A Field Not Applicable</v>
        <stp/>
        <stp>##V3_BDPV12</stp>
        <stp>CAT Equity</stp>
        <stp>OPT_DELTA</stp>
        <stp>[Pricing File.xlsm]TotalReturnPricing!R715C8</stp>
        <tr r="H715" s="2"/>
      </tp>
      <tp t="s">
        <v>#N/A Field Not Applicable</v>
        <stp/>
        <stp>##V3_BDPV12</stp>
        <stp>EGY Equity</stp>
        <stp>OPT_DELTA</stp>
        <stp>[Pricing File.xlsm]TotalReturnPricing!R128C8</stp>
        <tr r="H128" s="2"/>
      </tp>
      <tp t="s">
        <v>#N/A Field Not Applicable</v>
        <stp/>
        <stp>##V3_BDPV12</stp>
        <stp>AET Equity</stp>
        <stp>OPT_DELTA</stp>
        <stp>[Pricing File.xlsm]TotalReturnPricing!R745C8</stp>
        <tr r="H745" s="2"/>
      </tp>
      <tp t="s">
        <v>#N/A Field Not Applicable</v>
        <stp/>
        <stp>##V3_BDPV12</stp>
        <stp>COP Equity</stp>
        <stp>OPT_DELTA</stp>
        <stp>[Pricing File.xlsm]TotalReturnPricing!R501C8</stp>
        <tr r="H501" s="2"/>
      </tp>
      <tp t="s">
        <v>#N/A Field Not Applicable</v>
        <stp/>
        <stp>##V3_BDPV12</stp>
        <stp>LUV Equity</stp>
        <stp>OPT_DELTA</stp>
        <stp>[Pricing File.xlsm]TotalReturnPricing!R567C8</stp>
        <tr r="H567" s="2"/>
      </tp>
      <tp t="s">
        <v>#N/A Field Not Applicable</v>
        <stp/>
        <stp>##V3_BDPV12</stp>
        <stp>KBR Equity</stp>
        <stp>OPT_DELTA</stp>
        <stp>[Pricing File.xlsm]TotalReturnPricing!R273C8</stp>
        <tr r="H273" s="2"/>
      </tp>
      <tp t="s">
        <v>#N/A Field Not Applicable</v>
        <stp/>
        <stp>##V3_BDPV12</stp>
        <stp>CZR Equity</stp>
        <stp>OPT_DELTA</stp>
        <stp>[Pricing File.xlsm]TotalReturnPricing!R803C8</stp>
        <tr r="H803" s="2"/>
      </tp>
      <tp t="s">
        <v>#N/A Field Not Applicable</v>
        <stp/>
        <stp>##V3_BDPV12</stp>
        <stp>MTW Equity</stp>
        <stp>OPT_DELTA</stp>
        <stp>[Pricing File.xlsm]TotalReturnPricing!R176C8</stp>
        <tr r="H176" s="2"/>
      </tp>
      <tp t="s">
        <v>#N/A Field Not Applicable</v>
        <stp/>
        <stp>##V3_BDPV12</stp>
        <stp>NLY Equity</stp>
        <stp>OPT_DELTA</stp>
        <stp>[Pricing File.xlsm]TotalReturnPricing!R238C8</stp>
        <tr r="H238" s="2"/>
      </tp>
      <tp>
        <v>89.68</v>
        <stp/>
        <stp>##V3_BDPV12</stp>
        <stp>BIDU Equity</stp>
        <stp>Px Last</stp>
        <stp>[Pricing File.xlsm]TotalReturnPricing!R769C5</stp>
        <tr r="E769" s="2"/>
      </tp>
      <tp>
        <v>44.42</v>
        <stp/>
        <stp>##V3_BDPV12</stp>
        <stp>GDDY Equity</stp>
        <stp>Px Last</stp>
        <stp>[Pricing File.xlsm]TotalReturnPricing!R494C5</stp>
        <tr r="E494" s="2"/>
      </tp>
      <tp t="s">
        <v>#N/A Field Not Applicable</v>
        <stp/>
        <stp>##V3_BDPV12</stp>
        <stp>UCBI Equity</stp>
        <stp>OPT_DELTA</stp>
        <stp>[Pricing File.xlsm]TotalReturnPricing!R393C8</stp>
        <tr r="H393" s="2"/>
      </tp>
      <tp t="s">
        <v>#N/A N/A</v>
        <stp/>
        <stp>##V3_BDPV12</stp>
        <stp>BCEI 200221C00025000 Equity</stp>
        <stp>Px Last</stp>
        <stp>[Pricing File.xlsm]TotalReturnPricing!R883C5</stp>
        <tr r="E883" s="2"/>
      </tp>
      <tp>
        <v>13.12</v>
        <stp/>
        <stp>##V3_BDPV12</stp>
        <stp>SBGI Equity</stp>
        <stp>Px Last</stp>
        <stp>[Pricing File.xlsm]TotalReturnPricing!R452C5</stp>
        <tr r="E452" s="2"/>
      </tp>
      <tp>
        <v>15.37</v>
        <stp/>
        <stp>##V3_BDPV12</stp>
        <stp>RCII Equity</stp>
        <stp>Px Last</stp>
        <stp>[Pricing File.xlsm]TotalReturnPricing!R253C5</stp>
        <tr r="E253" s="2"/>
      </tp>
      <tp>
        <v>103.9</v>
        <stp/>
        <stp>##V3_BDPV12</stp>
        <stp>HO1 Comdty</stp>
        <stp>Px Last</stp>
        <stp>[Pricing File.xlsm]TotalReturnPricing!R67C5</stp>
        <tr r="E67" s="2"/>
      </tp>
      <tp t="s">
        <v>#N/A Field Not Applicable</v>
        <stp/>
        <stp>##V3_BDPV12</stp>
        <stp>ZIXI Equity</stp>
        <stp>OPT_DELTA</stp>
        <stp>[Pricing File.xlsm]TotalReturnPricing!R173C8</stp>
        <tr r="H173" s="2"/>
      </tp>
      <tp>
        <v>93.21</v>
        <stp/>
        <stp>##V3_BDPV12</stp>
        <stp>CCMP Equity</stp>
        <stp>Px Last</stp>
        <stp>[Pricing File.xlsm]TotalReturnPricing!R633C5</stp>
        <tr r="E633" s="2"/>
      </tp>
      <tp t="s">
        <v>#N/A N/A</v>
        <stp/>
        <stp>##V3_BDPV12</stp>
        <stp>OCLR Equity</stp>
        <stp>Px Last</stp>
        <stp>[Pricing File.xlsm]TotalReturnPricing!R223C5</stp>
        <tr r="E223" s="2"/>
      </tp>
      <tp>
        <v>15.69</v>
        <stp/>
        <stp>##V3_BDPV12</stp>
        <stp>BHLB Equity</stp>
        <stp>Px Last</stp>
        <stp>[Pricing File.xlsm]TotalReturnPricing!R458C5</stp>
        <tr r="E458" s="2"/>
      </tp>
      <tp t="s">
        <v>#N/A N/A</v>
        <stp/>
        <stp>##V3_BDPV12</stp>
        <stp>BIOS Equity</stp>
        <stp>Px Last</stp>
        <stp>[Pricing File.xlsm]TotalReturnPricing!R149C5</stp>
        <tr r="E149" s="2"/>
      </tp>
      <tp>
        <v>82.7</v>
        <stp/>
        <stp>##V3_BDPV12</stp>
        <stp>CBOE Equity</stp>
        <stp>Px Last</stp>
        <stp>[Pricing File.xlsm]TotalReturnPricing!R682C5</stp>
        <tr r="E682" s="2"/>
      </tp>
      <tp>
        <v>22.54</v>
        <stp/>
        <stp>##V3_BDPV12</stp>
        <stp>TCOM Equity</stp>
        <stp>Px Last</stp>
        <stp>[Pricing File.xlsm]TotalReturnPricing!R843C5</stp>
        <tr r="E843" s="2"/>
      </tp>
      <tp>
        <v>34.49</v>
        <stp/>
        <stp>##V3_BDPV12</stp>
        <stp>XOM Equity</stp>
        <stp>Px Last</stp>
        <stp>[Pricing File.xlsm]TotalReturnPricing!R655C5</stp>
        <tr r="E655" s="2"/>
      </tp>
      <tp>
        <v>13.92</v>
        <stp/>
        <stp>##V3_BDPV12</stp>
        <stp>UNG Equity</stp>
        <stp>Px Last</stp>
        <stp>[Pricing File.xlsm]TotalReturnPricing!R188C5</stp>
        <tr r="E188" s="2"/>
      </tp>
      <tp>
        <v>9.86</v>
        <stp/>
        <stp>##V3_BDPV12</stp>
        <stp>XHR Equity</stp>
        <stp>Px Last</stp>
        <stp>[Pricing File.xlsm]TotalReturnPricing!R325C5</stp>
        <tr r="E325" s="2"/>
      </tp>
      <tp>
        <v>14.34</v>
        <stp/>
        <stp>##V3_BDPV12</stp>
        <stp>TEX Equity</stp>
        <stp>Px Last</stp>
        <stp>[Pricing File.xlsm]TotalReturnPricing!R469C5</stp>
        <tr r="E469" s="2"/>
      </tp>
      <tp>
        <v>46.61</v>
        <stp/>
        <stp>##V3_BDPV12</stp>
        <stp>TCX Equity</stp>
        <stp>Px Last</stp>
        <stp>[Pricing File.xlsm]TotalReturnPricing!R559C5</stp>
        <tr r="E559" s="2"/>
      </tp>
      <tp>
        <v>1.55</v>
        <stp/>
        <stp>##V3_BDPV12</stp>
        <stp>TRVG Equity</stp>
        <stp>Px Ask</stp>
        <stp>[Pricing File.xlsm]TotalReturnPricing!R49C7</stp>
        <tr r="G49" s="2"/>
      </tp>
      <tp>
        <v>240.13</v>
        <stp/>
        <stp>##V3_BDPV12</stp>
        <stp>IVV Equity</stp>
        <stp>Px Ask</stp>
        <stp>[Pricing File.xlsm]TotalReturnPricing!R53C7</stp>
        <tr r="G53" s="2"/>
      </tp>
      <tp>
        <v>1.2253000000000001</v>
        <stp/>
        <stp>##V3_BDPV12</stp>
        <stp>GBP Curncy</stp>
        <stp>Px Ask</stp>
        <stp>[Pricing File.xlsm]TotalReturnPricing!R82C7</stp>
        <tr r="G82" s="2"/>
      </tp>
      <tp>
        <v>105.99</v>
        <stp/>
        <stp>##V3_BDPV12</stp>
        <stp>JPY Curncy</stp>
        <stp>Px Last</stp>
        <stp>[Pricing File.xlsm]TotalReturnPricing!R706C5</stp>
        <tr r="E706" s="2"/>
      </tp>
      <tp>
        <v>16.420000000000002</v>
        <stp/>
        <stp>##V3_BDPV12</stp>
        <stp>TRN Equity</stp>
        <stp>Px Last</stp>
        <stp>[Pricing File.xlsm]TotalReturnPricing!R389C5</stp>
        <tr r="E389" s="2"/>
      </tp>
      <tp>
        <v>28.66</v>
        <stp/>
        <stp>##V3_BDPV12</stp>
        <stp>Z Equity</stp>
        <stp>Px Bid</stp>
        <stp>[Pricing File.xlsm]TotalReturnPricing!R505C6</stp>
        <tr r="F505" s="2"/>
      </tp>
      <tp>
        <v>1.722</v>
        <stp/>
        <stp>##V3_BDPV12</stp>
        <stp>EDR SM Equity</stp>
        <stp>Px Bid</stp>
        <stp>[Pricing File.xlsm]TotalReturnPricing!R73C6</stp>
        <tr r="F73" s="2"/>
      </tp>
      <tp t="s">
        <v>#N/A Field Not Applicable</v>
        <stp/>
        <stp>##V3_BDPV12</stp>
        <stp>AAPL Equity</stp>
        <stp>OPT_DELTA</stp>
        <stp>[Pricing File.xlsm]TotalReturnPricing!R109C8</stp>
        <tr r="H109" s="2"/>
      </tp>
      <tp t="s">
        <v>#N/A Field Not Applicable</v>
        <stp/>
        <stp>##V3_BDPV12</stp>
        <stp>ANTM Equity</stp>
        <stp>OPT_DELTA</stp>
        <stp>[Pricing File.xlsm]TotalReturnPricing!R708C8</stp>
        <tr r="H708" s="2"/>
      </tp>
      <tp>
        <v>7.53</v>
        <stp/>
        <stp>##V3_BDPV12</stp>
        <stp>QNST Equity</stp>
        <stp>Px Last</stp>
        <stp>[Pricing File.xlsm]TotalReturnPricing!R821C5</stp>
        <tr r="E821" s="2"/>
      </tp>
      <tp>
        <v>0.08</v>
        <stp/>
        <stp>##V3_BDPV12</stp>
        <stp>QNST 200320C00015000 Equity</stp>
        <stp>Px Last</stp>
        <stp>[Pricing File.xlsm]TotalReturnPricing!R871C5</stp>
        <tr r="E871" s="2"/>
      </tp>
      <tp>
        <v>61.06</v>
        <stp/>
        <stp>##V3_BDPV12</stp>
        <stp>CHRW Equity</stp>
        <stp>Px Last</stp>
        <stp>[Pricing File.xlsm]TotalReturnPricing!R607C5</stp>
        <tr r="E607" s="2"/>
      </tp>
      <tp>
        <v>4.68</v>
        <stp/>
        <stp>##V3_BDPV12</stp>
        <stp>SGRY Equity</stp>
        <stp>Px Last</stp>
        <stp>[Pricing File.xlsm]TotalReturnPricing!R818C5</stp>
        <tr r="E818" s="2"/>
      </tp>
      <tp t="s">
        <v>#N/A Field Not Applicable</v>
        <stp/>
        <stp>##V3_BDPV12</stp>
        <stp>CELG Equity</stp>
        <stp>OPT_DELTA</stp>
        <stp>[Pricing File.xlsm]TotalReturnPricing!R732C8</stp>
        <tr r="H732" s="2"/>
      </tp>
      <tp t="s">
        <v>#N/A Field Not Applicable</v>
        <stp/>
        <stp>##V3_BDPV12</stp>
        <stp>CHGG Equity</stp>
        <stp>OPT_DELTA</stp>
        <stp>[Pricing File.xlsm]TotalReturnPricing!R262C8</stp>
        <tr r="H262" s="2"/>
      </tp>
      <tp t="s">
        <v>#N/A Field Not Applicable</v>
        <stp/>
        <stp>##V3_BDPV12</stp>
        <stp>CARG Equity</stp>
        <stp>OPT_DELTA</stp>
        <stp>[Pricing File.xlsm]TotalReturnPricing!R802C8</stp>
        <tr r="H802" s="2"/>
      </tp>
      <tp t="s">
        <v>#N/A Field Not Applicable</v>
        <stp/>
        <stp>##V3_BDPV12</stp>
        <stp>CVNA Equity</stp>
        <stp>OPT_DELTA</stp>
        <stp>[Pricing File.xlsm]TotalReturnPricing!R334C8</stp>
        <tr r="H334" s="2"/>
      </tp>
      <tp>
        <v>30</v>
        <stp/>
        <stp>##V3_BDPV12</stp>
        <stp>AMTD Equity</stp>
        <stp>Px Last</stp>
        <stp>[Pricing File.xlsm]TotalReturnPricing!R512C5</stp>
        <tr r="E512" s="2"/>
      </tp>
      <tp>
        <v>99.25</v>
        <stp/>
        <stp>##V3_BDPV12</stp>
        <stp>EHTH Equity</stp>
        <stp>Px Last</stp>
        <stp>[Pricing File.xlsm]TotalReturnPricing!R307C5</stp>
        <tr r="E307" s="2"/>
      </tp>
      <tp>
        <v>1.355E-2</v>
        <stp/>
        <stp>##V3_BDPV12</stp>
        <stp>PFTI Equity</stp>
        <stp>Px Last</stp>
        <stp>[Pricing File.xlsm]TotalReturnPricing!R119C5</stp>
        <tr r="E119" s="2"/>
      </tp>
      <tp>
        <v>57.36</v>
        <stp/>
        <stp>##V3_BDPV12</stp>
        <stp>SITE Equity</stp>
        <stp>Px Last</stp>
        <stp>[Pricing File.xlsm]TotalReturnPricing!R826C5</stp>
        <tr r="E826" s="2"/>
      </tp>
      <tp>
        <v>0.53</v>
        <stp/>
        <stp>##V3_BDPV12</stp>
        <stp>RNWK Equity</stp>
        <stp>Px Last</stp>
        <stp>[Pricing File.xlsm]TotalReturnPricing!R161C5</stp>
        <tr r="E161" s="2"/>
      </tp>
      <tp t="s">
        <v>#N/A Field Not Applicable</v>
        <stp/>
        <stp>##V3_BDPV12</stp>
        <stp>FCBC Equity</stp>
        <stp>OPT_DELTA</stp>
        <stp>[Pricing File.xlsm]TotalReturnPricing!R386C8</stp>
        <tr r="H386" s="2"/>
      </tp>
      <tp t="s">
        <v>#N/A Field Not Applicable</v>
        <stp/>
        <stp>##V3_BDPV12</stp>
        <stp>ISCA Equity</stp>
        <stp>OPT_DELTA</stp>
        <stp>[Pricing File.xlsm]TotalReturnPricing!R444C8</stp>
        <tr r="H444" s="2"/>
      </tp>
      <tp t="s">
        <v>#N/A Field Not Applicable</v>
        <stp/>
        <stp>##V3_BDPV12</stp>
        <stp>JCOM Equity</stp>
        <stp>OPT_DELTA</stp>
        <stp>[Pricing File.xlsm]TotalReturnPricing!R668C8</stp>
        <tr r="H668" s="2"/>
      </tp>
      <tp t="s">
        <v>#N/A Field Not Applicable</v>
        <stp/>
        <stp>##V3_BDPV12</stp>
        <stp>MGRC Equity</stp>
        <stp>OPT_DELTA</stp>
        <stp>[Pricing File.xlsm]TotalReturnPricing!R436C8</stp>
        <tr r="H436" s="2"/>
      </tp>
      <tp t="s">
        <v>#N/A Field Not Applicable</v>
        <stp/>
        <stp>##V3_BDPV12</stp>
        <stp>PRSC Equity</stp>
        <stp>OPT_DELTA</stp>
        <stp>[Pricing File.xlsm]TotalReturnPricing!R546C8</stp>
        <tr r="H546" s="2"/>
      </tp>
      <tp>
        <v>9.6999999999999993</v>
        <stp/>
        <stp>##V3_BDPV12</stp>
        <stp>FMG AU Equity</stp>
        <stp>Px Ask</stp>
        <stp>[Pricing File.xlsm]TotalReturnPricing!R104C7</stp>
        <tr r="G104" s="2"/>
      </tp>
      <tp>
        <v>65.19</v>
        <stp/>
        <stp>##V3_BDPV12</stp>
        <stp>OMCL Equity</stp>
        <stp>Px Last</stp>
        <stp>[Pricing File.xlsm]TotalReturnPricing!R492C5</stp>
        <tr r="E492" s="2"/>
      </tp>
      <tp>
        <v>7.63</v>
        <stp/>
        <stp>##V3_BDPV12</stp>
        <stp>ACQ.CN Equity</stp>
        <stp>Px Bid</stp>
        <stp>[Pricing File.xlsm]TotalReturnPricing!R798C6</stp>
        <tr r="F798" s="2"/>
      </tp>
      <tp>
        <v>0.191</v>
        <stp/>
        <stp>##V3_BDPV12</stp>
        <stp>RMBL Equity</stp>
        <stp>Px Last</stp>
        <stp>[Pricing File.xlsm]TotalReturnPricing!R122C5</stp>
        <tr r="E122" s="2"/>
      </tp>
      <tp t="s">
        <v>#N/A Field Not Applicable</v>
        <stp/>
        <stp>##V3_BDPV12</stp>
        <stp>SEMG Equity</stp>
        <stp>OPT_DELTA</stp>
        <stp>[Pricing File.xlsm]TotalReturnPricing!R382C8</stp>
        <tr r="H382" s="2"/>
      </tp>
      <tp t="s">
        <v>#N/A Field Not Applicable</v>
        <stp/>
        <stp>##V3_BDPV12</stp>
        <stp>SAFM Equity</stp>
        <stp>OPT_DELTA</stp>
        <stp>[Pricing File.xlsm]TotalReturnPricing!R728C8</stp>
        <tr r="H728" s="2"/>
      </tp>
      <tp t="s">
        <v>#N/A Field Not Applicable</v>
        <stp/>
        <stp>##V3_BDPV12</stp>
        <stp>SCPL Equity</stp>
        <stp>OPT_DELTA</stp>
        <stp>[Pricing File.xlsm]TotalReturnPricing!R839C8</stp>
        <tr r="H839" s="2"/>
      </tp>
      <tp t="s">
        <v>#N/A Field Not Applicable</v>
        <stp/>
        <stp>##V3_BDPV12</stp>
        <stp>SYX Equity</stp>
        <stp>OPT_DELTA</stp>
        <stp>[Pricing File.xlsm]TotalReturnPricing!R306C8</stp>
        <tr r="H306" s="2"/>
      </tp>
      <tp t="s">
        <v>#N/A Field Not Applicable</v>
        <stp/>
        <stp>##V3_BDPV12</stp>
        <stp>SPY Equity</stp>
        <stp>OPT_DELTA</stp>
        <stp>[Pricing File.xlsm]TotalReturnPricing!R827C8</stp>
        <tr r="H827" s="2"/>
      </tp>
      <tp t="s">
        <v>#N/A Field Not Applicable</v>
        <stp/>
        <stp>##V3_BDPV12</stp>
        <stp>FCX Equity</stp>
        <stp>OPT_DELTA</stp>
        <stp>[Pricing File.xlsm]TotalReturnPricing!R266C8</stp>
        <tr r="H266" s="2"/>
      </tp>
      <tp>
        <v>1.8</v>
        <stp/>
        <stp>##V3_BDPV12</stp>
        <stp>GOGO Equity</stp>
        <stp>Px Last</stp>
        <stp>[Pricing File.xlsm]TotalReturnPricing!R240C5</stp>
        <tr r="E240" s="2"/>
      </tp>
      <tp t="s">
        <v>#N/A Field Not Applicable</v>
        <stp/>
        <stp>##V3_BDPV12</stp>
        <stp>VALE Equity</stp>
        <stp>OPT_DELTA</stp>
        <stp>[Pricing File.xlsm]TotalReturnPricing!R220C8</stp>
        <tr r="H220" s="2"/>
      </tp>
      <tp>
        <v>95.66</v>
        <stp/>
        <stp>##V3_BDPV12</stp>
        <stp>FFIV Equity</stp>
        <stp>Px Last</stp>
        <stp>[Pricing File.xlsm]TotalReturnPricing!R719C5</stp>
        <tr r="E719" s="2"/>
      </tp>
      <tp>
        <v>91.89</v>
        <stp/>
        <stp>##V3_BDPV12</stp>
        <stp>DHIL Equity</stp>
        <stp>Px Last</stp>
        <stp>[Pricing File.xlsm]TotalReturnPricing!R767C5</stp>
        <tr r="E767" s="2"/>
      </tp>
      <tp>
        <v>103.9</v>
        <stp/>
        <stp>##V3_BDPV12</stp>
        <stp>HOA Comdty</stp>
        <stp>Px Last</stp>
        <stp>[Pricing File.xlsm]TotalReturnPricing!R68C5</stp>
        <tr r="E68" s="2"/>
      </tp>
      <tp>
        <v>16.09</v>
        <stp/>
        <stp>##V3_BDPV12</stp>
        <stp>ALLY Equity</stp>
        <stp>Px Last</stp>
        <stp>[Pricing File.xlsm]TotalReturnPricing!R353C5</stp>
        <tr r="E353" s="2"/>
      </tp>
      <tp>
        <v>38.76</v>
        <stp/>
        <stp>##V3_BDPV12</stp>
        <stp>MGLN Equity</stp>
        <stp>Px Last</stp>
        <stp>[Pricing File.xlsm]TotalReturnPricing!R648C5</stp>
        <tr r="E648" s="2"/>
      </tp>
      <tp>
        <v>38.630000000000003</v>
        <stp/>
        <stp>##V3_BDPV12</stp>
        <stp>OLLI Equity</stp>
        <stp>Px Last</stp>
        <stp>[Pricing File.xlsm]TotalReturnPricing!R503C5</stp>
        <tr r="E503" s="2"/>
      </tp>
      <tp t="s">
        <v>#N/A N/A</v>
        <stp/>
        <stp>##V3_BDPV12</stp>
        <stp>TOO Equity</stp>
        <stp>Px Last</stp>
        <stp>[Pricing File.xlsm]TotalReturnPricing!R148C5</stp>
        <tr r="E148" s="2"/>
      </tp>
      <tp t="s">
        <v>#N/A Field Not Applicable</v>
        <stp/>
        <stp>##V3_BDPV12</stp>
        <stp>ALM LN Equity</stp>
        <stp>OPT_DELTA</stp>
        <stp>[Pricing File.xlsm]TotalReturnPricing!R101C8</stp>
        <tr r="H101" s="2"/>
      </tp>
      <tp t="s">
        <v>#N/A Field Not Applicable</v>
        <stp/>
        <stp>##V3_BDPV12</stp>
        <stp>WMH LN Equity</stp>
        <stp>OPT_DELTA</stp>
        <stp>[Pricing File.xlsm]TotalReturnPricing!R810C8</stp>
        <tr r="H810" s="2"/>
      </tp>
      <tp>
        <v>1.55</v>
        <stp/>
        <stp>##V3_BDPV12</stp>
        <stp>TRVG Equity</stp>
        <stp>Px Ask</stp>
        <stp>[Pricing File.xlsm]TotalReturnPricing!R48C7</stp>
        <tr r="G48" s="2"/>
      </tp>
      <tp>
        <v>26.9</v>
        <stp/>
        <stp>##V3_BDPV12</stp>
        <stp>TXT Equity</stp>
        <stp>Px Last</stp>
        <stp>[Pricing File.xlsm]TotalReturnPricing!R528C5</stp>
        <tr r="E528" s="2"/>
      </tp>
      <tp>
        <v>1.1169</v>
        <stp/>
        <stp>##V3_BDPV12</stp>
        <stp>EUR Curncy</stp>
        <stp>Px Ask</stp>
        <stp>[Pricing File.xlsm]TotalReturnPricing!R81C7</stp>
        <tr r="G81" s="2"/>
      </tp>
      <tp>
        <v>16.420000000000002</v>
        <stp/>
        <stp>##V3_BDPV12</stp>
        <stp>TRN Equity</stp>
        <stp>Px Last</stp>
        <stp>[Pricing File.xlsm]TotalReturnPricing!R388C5</stp>
        <tr r="E388" s="2"/>
      </tp>
      <tp>
        <v>41.18</v>
        <stp/>
        <stp>##V3_BDPV12</stp>
        <stp>C Equity</stp>
        <stp>Px Bid</stp>
        <stp>[Pricing File.xlsm]TotalReturnPricing!R614C6</stp>
        <tr r="F614" s="2"/>
      </tp>
      <tp>
        <v>30.45</v>
        <stp/>
        <stp>##V3_BDPV12</stp>
        <stp>W Equity</stp>
        <stp>Px Bid</stp>
        <stp>[Pricing File.xlsm]TotalReturnPricing!R644C6</stp>
        <tr r="F644" s="2"/>
      </tp>
      <tp t="s">
        <v>#N/A Field Not Applicable</v>
        <stp/>
        <stp>##V3_BDPV12</stp>
        <stp>AMED Equity</stp>
        <stp>OPT_DELTA</stp>
        <stp>[Pricing File.xlsm]TotalReturnPricing!R520C8</stp>
        <tr r="H520" s="2"/>
      </tp>
      <tp>
        <v>1.28</v>
        <stp/>
        <stp>##V3_BDPV12</stp>
        <stp>MOSY Equity</stp>
        <stp>Px Last</stp>
        <stp>[Pricing File.xlsm]TotalReturnPricing!R131C5</stp>
        <tr r="E131" s="2"/>
      </tp>
      <tp>
        <v>24.99</v>
        <stp/>
        <stp>##V3_BDPV12</stp>
        <stp>ENSG Equity</stp>
        <stp>Px Last</stp>
        <stp>[Pricing File.xlsm]TotalReturnPricing!R350C5</stp>
        <tr r="E350" s="2"/>
      </tp>
      <tp>
        <v>22.4</v>
        <stp/>
        <stp>##V3_BDPV12</stp>
        <stp>KFRC Equity</stp>
        <stp>Px Last</stp>
        <stp>[Pricing File.xlsm]TotalReturnPricing!R308C5</stp>
        <tr r="E308" s="2"/>
      </tp>
      <tp t="s">
        <v>#N/A Field Not Applicable</v>
        <stp/>
        <stp>##V3_BDPV12</stp>
        <stp>CBRL Equity</stp>
        <stp>OPT_DELTA</stp>
        <stp>[Pricing File.xlsm]TotalReturnPricing!R748C8</stp>
        <tr r="H748" s="2"/>
      </tp>
      <tp t="s">
        <v>#N/A Field Not Applicable</v>
        <stp/>
        <stp>##V3_BDPV12</stp>
        <stp>CBOE Equity</stp>
        <stp>OPT_DELTA</stp>
        <stp>[Pricing File.xlsm]TotalReturnPricing!R681C8</stp>
        <tr r="H681" s="2"/>
      </tp>
      <tp>
        <v>1.1000000000000001</v>
        <stp/>
        <stp>##V3_BDPV12</stp>
        <stp>PFSI 200821C00040000 Equity</stp>
        <stp>Px Last</stp>
        <stp>[Pricing File.xlsm]TotalReturnPricing!R898C5</stp>
        <tr r="E898" s="2"/>
      </tp>
      <tp t="s">
        <v>#N/A Field Not Applicable</v>
        <stp/>
        <stp>##V3_BDPV12</stp>
        <stp>HUSA Equity</stp>
        <stp>OPT_DELTA</stp>
        <stp>[Pricing File.xlsm]TotalReturnPricing!R125C8</stp>
        <tr r="H125" s="2"/>
      </tp>
      <tp t="s">
        <v>#N/A Field Not Applicable</v>
        <stp/>
        <stp>##V3_BDPV12</stp>
        <stp>INTC Equity</stp>
        <stp>OPT_DELTA</stp>
        <stp>[Pricing File.xlsm]TotalReturnPricing!R437C8</stp>
        <tr r="H437" s="2"/>
      </tp>
      <tp t="s">
        <v>#N/A Field Not Applicable</v>
        <stp/>
        <stp>##V3_BDPV12</stp>
        <stp>ISCA Equity</stp>
        <stp>OPT_DELTA</stp>
        <stp>[Pricing File.xlsm]TotalReturnPricing!R445C8</stp>
        <tr r="H445" s="2"/>
      </tp>
      <tp>
        <v>1689.15</v>
        <stp/>
        <stp>##V3_BDPV12</stp>
        <stp>AMZN Equity</stp>
        <stp>Px Last</stp>
        <stp>[Pricing File.xlsm]TotalReturnPricing!R793C5</stp>
        <tr r="E793" s="2"/>
      </tp>
      <tp t="s">
        <v>#N/A Field Not Applicable</v>
        <stp/>
        <stp>##V3_BDPV12</stp>
        <stp>LOGM Equity</stp>
        <stp>OPT_DELTA</stp>
        <stp>[Pricing File.xlsm]TotalReturnPricing!R709C8</stp>
        <tr r="H709" s="2"/>
      </tp>
      <tp t="s">
        <v>#N/A Field Not Applicable</v>
        <stp/>
        <stp>##V3_BDPV12</stp>
        <stp>MXIM Equity</stp>
        <stp>OPT_DELTA</stp>
        <stp>[Pricing File.xlsm]TotalReturnPricing!R509C8</stp>
        <tr r="H509" s="2"/>
      </tp>
      <tp t="s">
        <v>#N/A Field Not Applicable</v>
        <stp/>
        <stp>##V3_BDPV12</stp>
        <stp>ODFL Equity</stp>
        <stp>OPT_DELTA</stp>
        <stp>[Pricing File.xlsm]TotalReturnPricing!R688C8</stp>
        <tr r="H688" s="2"/>
      </tp>
      <tp>
        <v>129.5</v>
        <stp/>
        <stp>##V3_BDPV12</stp>
        <stp>KLAC Equity</stp>
        <stp>Px Last</stp>
        <stp>[Pricing File.xlsm]TotalReturnPricing!R692C5</stp>
        <tr r="E692" s="2"/>
      </tp>
      <tp t="s">
        <v>#N/A Field Not Applicable</v>
        <stp/>
        <stp>##V3_BDPV12</stp>
        <stp>PRSC Equity</stp>
        <stp>OPT_DELTA</stp>
        <stp>[Pricing File.xlsm]TotalReturnPricing!R547C8</stp>
        <tr r="H547" s="2"/>
      </tp>
      <tp t="s">
        <v>#N/A Field Not Applicable</v>
        <stp/>
        <stp>##V3_BDPV12</stp>
        <stp>QDEL Equity</stp>
        <stp>OPT_DELTA</stp>
        <stp>[Pricing File.xlsm]TotalReturnPricing!R448C8</stp>
        <tr r="H448" s="2"/>
      </tp>
      <tp t="s">
        <v>#N/A Field Not Applicable</v>
        <stp/>
        <stp>##V3_BDPV12</stp>
        <stp>WEX Equity</stp>
        <stp>OPT_DELTA</stp>
        <stp>[Pricing File.xlsm]TotalReturnPricing!R707C8</stp>
        <tr r="H707" s="2"/>
      </tp>
      <tp t="s">
        <v>#N/A Field Not Applicable</v>
        <stp/>
        <stp>##V3_BDPV12</stp>
        <stp>VMW Equity</stp>
        <stp>OPT_DELTA</stp>
        <stp>[Pricing File.xlsm]TotalReturnPricing!R678C8</stp>
        <tr r="H678" s="2"/>
      </tp>
      <tp t="s">
        <v>#N/A Field Not Applicable</v>
        <stp/>
        <stp>##V3_BDPV12</stp>
        <stp>TRUE Equity</stp>
        <stp>OPT_DELTA</stp>
        <stp>[Pricing File.xlsm]TotalReturnPricing!R311C8</stp>
        <tr r="H311" s="2"/>
      </tp>
      <tp t="s">
        <v>#N/A Field Not Applicable</v>
        <stp/>
        <stp>##V3_BDPV12</stp>
        <stp>FCX Equity</stp>
        <stp>OPT_DELTA</stp>
        <stp>[Pricing File.xlsm]TotalReturnPricing!R267C8</stp>
        <tr r="H267" s="2"/>
      </tp>
      <tp t="s">
        <v>#N/A Field Not Applicable</v>
        <stp/>
        <stp>##V3_BDPV12</stp>
        <stp>IVZ Equity</stp>
        <stp>OPT_DELTA</stp>
        <stp>[Pricing File.xlsm]TotalReturnPricing!R435C8</stp>
        <tr r="H435" s="2"/>
      </tp>
      <tp t="s">
        <v>#N/A Field Not Applicable</v>
        <stp/>
        <stp>##V3_BDPV12</stp>
        <stp>NFX Equity</stp>
        <stp>OPT_DELTA</stp>
        <stp>[Pricing File.xlsm]TotalReturnPricing!R397C8</stp>
        <tr r="H397" s="2"/>
      </tp>
      <tp>
        <v>75.5</v>
        <stp/>
        <stp>##V3_BDPV12</stp>
        <stp>CHDN Equity</stp>
        <stp>Px Last</stp>
        <stp>[Pricing File.xlsm]TotalReturnPricing!R766C5</stp>
        <tr r="E766" s="2"/>
      </tp>
      <tp>
        <v>2.65</v>
        <stp/>
        <stp>##V3_BDPV12</stp>
        <stp>GIGA Equity</stp>
        <stp>Px Last</stp>
        <stp>[Pricing File.xlsm]TotalReturnPricing!R127C5</stp>
        <tr r="E127" s="2"/>
      </tp>
      <tp>
        <v>7.37</v>
        <stp/>
        <stp>##V3_BDPV12</stp>
        <stp>INFY Equity</stp>
        <stp>Px Last</stp>
        <stp>[Pricing File.xlsm]TotalReturnPricing!R280C5</stp>
        <tr r="E280" s="2"/>
      </tp>
      <tp>
        <v>0.05</v>
        <stp/>
        <stp>##V3_BDPV12</stp>
        <stp>PENN 200417C00035000 Equity</stp>
        <stp>Px Last</stp>
        <stp>[Pricing File.xlsm]TotalReturnPricing!R908C5</stp>
        <tr r="E908" s="2"/>
      </tp>
      <tp>
        <v>26.56</v>
        <stp/>
        <stp>##V3_BDPV12</stp>
        <stp>ZION Equity</stp>
        <stp>Px Last</stp>
        <stp>[Pricing File.xlsm]TotalReturnPricing!R507C5</stp>
        <tr r="E507" s="2"/>
      </tp>
      <tp>
        <v>1289.67</v>
        <stp/>
        <stp>##V3_BDPV12</stp>
        <stp>BKNG Equity</stp>
        <stp>Px Last</stp>
        <stp>[Pricing File.xlsm]TotalReturnPricing!R795C5</stp>
        <tr r="E795" s="2"/>
      </tp>
      <tp>
        <v>13.49</v>
        <stp/>
        <stp>##V3_BDPV12</stp>
        <stp>WMB Equity</stp>
        <stp>Px Last</stp>
        <stp>[Pricing File.xlsm]TotalReturnPricing!R418C5</stp>
        <tr r="E418" s="2"/>
      </tp>
      <tp>
        <v>1.37</v>
        <stp/>
        <stp>##V3_BDPV12</stp>
        <stp>WLL Equity</stp>
        <stp>Px Last</stp>
        <stp>[Pricing File.xlsm]TotalReturnPricing!R168C5</stp>
        <tr r="E168" s="2"/>
      </tp>
      <tp>
        <v>1.54</v>
        <stp/>
        <stp>##V3_BDPV12</stp>
        <stp>TRVG Equity</stp>
        <stp>Px Bid</stp>
        <stp>[Pricing File.xlsm]TotalReturnPricing!R48C6</stp>
        <tr r="F48" s="2"/>
      </tp>
      <tp t="s">
        <v>#N/A N/A</v>
        <stp/>
        <stp>##V3_BDPV12</stp>
        <stp>WEX 200221C00200000 Equity</stp>
        <stp>Px Last</stp>
        <stp>[Pricing File.xlsm]TotalReturnPricing!R858C5</stp>
        <tr r="E858" s="2"/>
      </tp>
      <tp>
        <v>36.729999999999997</v>
        <stp/>
        <stp>##V3_BDPV12</stp>
        <stp>SF Equity</stp>
        <stp>Px Last</stp>
        <stp>[Pricing File.xlsm]TotalReturnPricing!R538C5</stp>
        <tr r="E538" s="2"/>
      </tp>
      <tp>
        <v>1.1167</v>
        <stp/>
        <stp>##V3_BDPV12</stp>
        <stp>EUR Curncy</stp>
        <stp>Px Bid</stp>
        <stp>[Pricing File.xlsm]TotalReturnPricing!R81C6</stp>
        <tr r="F81" s="2"/>
      </tp>
      <tp>
        <v>146.01</v>
        <stp/>
        <stp>##V3_BDPV12</stp>
        <stp>FB Equity</stp>
        <stp>Px Last</stp>
        <stp>[Pricing File.xlsm]TotalReturnPricing!R758C5</stp>
        <tr r="E758" s="2"/>
      </tp>
      <tp>
        <v>8.83</v>
        <stp/>
        <stp>##V3_BDPV12</stp>
        <stp>EB Equity</stp>
        <stp>Px Last</stp>
        <stp>[Pricing File.xlsm]TotalReturnPricing!R838C5</stp>
        <tr r="E838" s="2"/>
      </tp>
      <tp>
        <v>21.32</v>
        <stp/>
        <stp>##V3_BDPV12</stp>
        <stp>CY Equity</stp>
        <stp>Px Last</stp>
        <stp>[Pricing File.xlsm]TotalReturnPricing!R268C5</stp>
        <tr r="E268" s="2"/>
      </tp>
      <tp>
        <v>32.9</v>
        <stp/>
        <stp>##V3_BDPV12</stp>
        <stp>BC Equity</stp>
        <stp>Px Last</stp>
        <stp>[Pricing File.xlsm]TotalReturnPricing!R568C5</stp>
        <tr r="E568" s="2"/>
      </tp>
      <tp>
        <v>12.13</v>
        <stp/>
        <stp>##V3_BDPV12</stp>
        <stp>VSH Equity</stp>
        <stp>Px Last</stp>
        <stp>[Pricing File.xlsm]TotalReturnPricing!R299C5</stp>
        <tr r="E299" s="2"/>
      </tp>
      <tp>
        <v>31.8</v>
        <stp/>
        <stp>##V3_BDPV12</stp>
        <stp>T Equity</stp>
        <stp>Px Bid</stp>
        <stp>[Pricing File.xlsm]TotalReturnPricing!R477C6</stp>
        <tr r="F477" s="2"/>
      </tp>
      <tp t="s">
        <v>#N/A Field Not Applicable</v>
        <stp/>
        <stp>##V3_BDPV12</stp>
        <stp>ACHC Equity</stp>
        <stp>OPT_DELTA</stp>
        <stp>[Pricing File.xlsm]TotalReturnPricing!R534C8</stp>
        <tr r="H534" s="2"/>
      </tp>
      <tp>
        <v>3.55</v>
        <stp/>
        <stp>##V3_BDPV12</stp>
        <stp>FOSL Equity</stp>
        <stp>Px Last</stp>
        <stp>[Pricing File.xlsm]TotalReturnPricing!R232C5</stp>
        <tr r="E232" s="2"/>
      </tp>
      <tp>
        <v>0.9</v>
        <stp/>
        <stp>##V3_BDPV12</stp>
        <stp>QNST 200320C00017500 Equity</stp>
        <stp>Px Last</stp>
        <stp>[Pricing File.xlsm]TotalReturnPricing!R856C5</stp>
        <tr r="E856" s="2"/>
      </tp>
      <tp t="s">
        <v>#N/A Field Not Applicable</v>
        <stp/>
        <stp>##V3_BDPV12</stp>
        <stp>CAKE Equity</stp>
        <stp>OPT_DELTA</stp>
        <stp>[Pricing File.xlsm]TotalReturnPricing!R532C8</stp>
        <tr r="H532" s="2"/>
      </tp>
      <tp t="s">
        <v>#N/A Field Not Applicable</v>
        <stp/>
        <stp>##V3_BDPV12</stp>
        <stp>CBOE Equity</stp>
        <stp>OPT_DELTA</stp>
        <stp>[Pricing File.xlsm]TotalReturnPricing!R682C8</stp>
        <tr r="H682" s="2"/>
      </tp>
      <tp t="s">
        <v>#N/A Field Not Applicable</v>
        <stp/>
        <stp>##V3_BDPV12</stp>
        <stp>COWN Equity</stp>
        <stp>OPT_DELTA</stp>
        <stp>[Pricing File.xlsm]TotalReturnPricing!R289C8</stp>
        <tr r="H289" s="2"/>
      </tp>
      <tp t="s">
        <v>#N/A Field Not Applicable</v>
        <stp/>
        <stp>##V3_BDPV12</stp>
        <stp>ENSG Equity</stp>
        <stp>OPT_DELTA</stp>
        <stp>[Pricing File.xlsm]TotalReturnPricing!R350C8</stp>
        <tr r="H350" s="2"/>
      </tp>
      <tp t="s">
        <v>#N/A Field Not Applicable</v>
        <stp/>
        <stp>##V3_BDPV12</stp>
        <stp>EVRC Equity</stp>
        <stp>OPT_DELTA</stp>
        <stp>[Pricing File.xlsm]TotalReturnPricing!R134C8</stp>
        <tr r="H134" s="2"/>
      </tp>
      <tp t="s">
        <v>#N/A Field Not Applicable</v>
        <stp/>
        <stp>##V3_BDPV12</stp>
        <stp>FITB Equity</stp>
        <stp>OPT_DELTA</stp>
        <stp>[Pricing File.xlsm]TotalReturnPricing!R375C8</stp>
        <tr r="H375" s="2"/>
      </tp>
      <tp>
        <v>5.08</v>
        <stp/>
        <stp>##V3_BDPV12</stp>
        <stp>TIVO Equity</stp>
        <stp>Px Last</stp>
        <stp>[Pricing File.xlsm]TotalReturnPricing!R314C5</stp>
        <tr r="E314" s="2"/>
      </tp>
      <tp t="s">
        <v>#N/A Field Not Applicable</v>
        <stp/>
        <stp>##V3_BDPV12</stp>
        <stp>GRPN Equity</stp>
        <stp>OPT_DELTA</stp>
        <stp>[Pricing File.xlsm]TotalReturnPricing!R159C8</stp>
        <tr r="H159" s="2"/>
      </tp>
      <tp t="s">
        <v>#N/A Field Not Applicable</v>
        <stp/>
        <stp>##V3_BDPV12</stp>
        <stp>HUBG Equity</stp>
        <stp>OPT_DELTA</stp>
        <stp>[Pricing File.xlsm]TotalReturnPricing!R430C8</stp>
        <tr r="H430" s="2"/>
      </tp>
      <tp t="s">
        <v>#N/A Field Not Applicable</v>
        <stp/>
        <stp>##V3_BDPV12</stp>
        <stp>HSIC Equity</stp>
        <stp>OPT_DELTA</stp>
        <stp>[Pricing File.xlsm]TotalReturnPricing!R764C8</stp>
        <tr r="H764" s="2"/>
      </tp>
      <tp>
        <v>75.56</v>
        <stp/>
        <stp>##V3_BDPV12</stp>
        <stp>ALXN Equity</stp>
        <stp>Px Last</stp>
        <stp>[Pricing File.xlsm]TotalReturnPricing!R731C5</stp>
        <tr r="E731" s="2"/>
      </tp>
      <tp>
        <v>19.89</v>
        <stp/>
        <stp>##V3_BDPV12</stp>
        <stp>XLF Equity</stp>
        <stp>Px Last</stp>
        <stp>[Pricing File.xlsm]TotalReturnPricing!R47C5</stp>
        <tr r="E47" s="2"/>
      </tp>
      <tp>
        <v>129.5</v>
        <stp/>
        <stp>##V3_BDPV12</stp>
        <stp>KLAC Equity</stp>
        <stp>Px Last</stp>
        <stp>[Pricing File.xlsm]TotalReturnPricing!R691C5</stp>
        <tr r="E691" s="2"/>
      </tp>
      <tp t="s">
        <v>#N/A Field Not Applicable</v>
        <stp/>
        <stp>##V3_BDPV12</stp>
        <stp>PLAB Equity</stp>
        <stp>OPT_DELTA</stp>
        <stp>[Pricing File.xlsm]TotalReturnPricing!R225C8</stp>
        <tr r="H225" s="2"/>
      </tp>
      <tp>
        <v>104.81</v>
        <stp/>
        <stp>##V3_BDPV12</stp>
        <stp>LHCG Equity</stp>
        <stp>Px Last</stp>
        <stp>[Pricing File.xlsm]TotalReturnPricing!R575C5</stp>
        <tr r="E575" s="2"/>
      </tp>
      <tp t="s">
        <v>#N/A Field Not Applicable</v>
        <stp/>
        <stp>##V3_BDPV12</stp>
        <stp>SEIC Equity</stp>
        <stp>OPT_DELTA</stp>
        <stp>[Pricing File.xlsm]TotalReturnPricing!R564C8</stp>
        <tr r="H564" s="2"/>
      </tp>
      <tp t="s">
        <v>#N/A Field Not Applicable</v>
        <stp/>
        <stp>##V3_BDPV12</stp>
        <stp>SYNA Equity</stp>
        <stp>OPT_DELTA</stp>
        <stp>[Pricing File.xlsm]TotalReturnPricing!R566C8</stp>
        <tr r="H566" s="2"/>
      </tp>
      <tp>
        <v>6.56</v>
        <stp/>
        <stp>##V3_BDPV12</stp>
        <stp>FLEX Equity</stp>
        <stp>Px Last</stp>
        <stp>[Pricing File.xlsm]TotalReturnPricing!R291C5</stp>
        <tr r="E291" s="2"/>
      </tp>
      <tp>
        <v>137.21</v>
        <stp/>
        <stp>##V3_BDPV12</stp>
        <stp>AMED Equity</stp>
        <stp>Px Last</stp>
        <stp>[Pricing File.xlsm]TotalReturnPricing!R520C5</stp>
        <tr r="E520" s="2"/>
      </tp>
      <tp t="s">
        <v>#N/A Field Not Applicable</v>
        <stp/>
        <stp>##V3_BDPV12</stp>
        <stp>TXT Equity</stp>
        <stp>OPT_DELTA</stp>
        <stp>[Pricing File.xlsm]TotalReturnPricing!R528C8</stp>
        <tr r="H528" s="2"/>
      </tp>
      <tp t="s">
        <v>#N/A Field Not Applicable</v>
        <stp/>
        <stp>##V3_BDPV12</stp>
        <stp>TDY Equity</stp>
        <stp>OPT_DELTA</stp>
        <stp>[Pricing File.xlsm]TotalReturnPricing!R735C8</stp>
        <tr r="H735" s="2"/>
      </tp>
      <tp t="s">
        <v>#N/A Field Not Applicable</v>
        <stp/>
        <stp>##V3_BDPV12</stp>
        <stp>FDX Equity</stp>
        <stp>OPT_DELTA</stp>
        <stp>[Pricing File.xlsm]TotalReturnPricing!R774C8</stp>
        <tr r="H774" s="2"/>
      </tp>
      <tp t="s">
        <v>#N/A Field Not Applicable</v>
        <stp/>
        <stp>##V3_BDPV12</stp>
        <stp>CCU Equity</stp>
        <stp>OPT_DELTA</stp>
        <stp>[Pricing File.xlsm]TotalReturnPricing!R379C8</stp>
        <tr r="H379" s="2"/>
      </tp>
      <tp>
        <v>161.72</v>
        <stp/>
        <stp>##V3_BDPV12</stp>
        <stp>ALGN Equity</stp>
        <stp>Px Last</stp>
        <stp>[Pricing File.xlsm]TotalReturnPricing!R751C5</stp>
        <tr r="E751" s="2"/>
      </tp>
      <tp>
        <v>10.55</v>
        <stp/>
        <stp>##V3_BDPV12</stp>
        <stp>GIII Equity</stp>
        <stp>Px Last</stp>
        <stp>[Pricing File.xlsm]TotalReturnPricing!R374C5</stp>
        <tr r="E374" s="2"/>
      </tp>
      <tp>
        <v>211.02</v>
        <stp/>
        <stp>##V3_BDPV12</stp>
        <stp>ILMN Equity</stp>
        <stp>Px Last</stp>
        <stp>[Pricing File.xlsm]TotalReturnPricing!R761C5</stp>
        <tr r="E761" s="2"/>
      </tp>
      <tp>
        <v>0.05</v>
        <stp/>
        <stp>##V3_BDPV12</stp>
        <stp>BKNG 200320C02000000 Equity</stp>
        <stp>Px Last</stp>
        <stp>[Pricing File.xlsm]TotalReturnPricing!R904C5</stp>
        <tr r="E904" s="2"/>
      </tp>
      <tp>
        <v>95.94</v>
        <stp/>
        <stp>##V3_BDPV12</stp>
        <stp>VMW Equity</stp>
        <stp>Px Last</stp>
        <stp>[Pricing File.xlsm]TotalReturnPricing!R678C5</stp>
        <tr r="E678" s="2"/>
      </tp>
      <tp>
        <v>1.37</v>
        <stp/>
        <stp>##V3_BDPV12</stp>
        <stp>WLL Equity</stp>
        <stp>Px Last</stp>
        <stp>[Pricing File.xlsm]TotalReturnPricing!R169C5</stp>
        <tr r="E169" s="2"/>
      </tp>
      <tp>
        <v>55.8</v>
        <stp/>
        <stp>##V3_BDPV12</stp>
        <stp>XLI Equity</stp>
        <stp>Px Last</stp>
        <stp>[Pricing File.xlsm]TotalReturnPricing!R846C5</stp>
        <tr r="E846" s="2"/>
      </tp>
      <tp>
        <v>240.12</v>
        <stp/>
        <stp>##V3_BDPV12</stp>
        <stp>IVV Equity</stp>
        <stp>Px Bid</stp>
        <stp>[Pricing File.xlsm]TotalReturnPricing!R53C6</stp>
        <tr r="F53" s="2"/>
      </tp>
      <tp>
        <v>1.54</v>
        <stp/>
        <stp>##V3_BDPV12</stp>
        <stp>TRVG Equity</stp>
        <stp>Px Bid</stp>
        <stp>[Pricing File.xlsm]TotalReturnPricing!R49C6</stp>
        <tr r="F49" s="2"/>
      </tp>
      <tp>
        <v>20.84</v>
        <stp/>
        <stp>##V3_BDPV12</stp>
        <stp>WU Equity</stp>
        <stp>Px Last</stp>
        <stp>[Pricing File.xlsm]TotalReturnPricing!R319C5</stp>
        <tr r="E319" s="2"/>
      </tp>
      <tp>
        <v>24.77</v>
        <stp/>
        <stp>##V3_BDPV12</stp>
        <stp>WAL Equity</stp>
        <stp>Px Last</stp>
        <stp>[Pricing File.xlsm]TotalReturnPricing!R539C5</stp>
        <tr r="E539" s="2"/>
      </tp>
      <tp>
        <v>1.2246999999999999</v>
        <stp/>
        <stp>##V3_BDPV12</stp>
        <stp>GBP Curncy</stp>
        <stp>Px Bid</stp>
        <stp>[Pricing File.xlsm]TotalReturnPricing!R82C6</stp>
        <tr r="F82" s="2"/>
      </tp>
      <tp>
        <v>4.07</v>
        <stp/>
        <stp>##V3_BDPV12</stp>
        <stp>LL Equity</stp>
        <stp>Px Last</stp>
        <stp>[Pricing File.xlsm]TotalReturnPricing!R369C5</stp>
        <tr r="E369" s="2"/>
      </tp>
      <tp>
        <v>120.05</v>
        <stp/>
        <stp>##V3_BDPV12</stp>
        <stp>DE Equity</stp>
        <stp>Px Last</stp>
        <stp>[Pricing File.xlsm]TotalReturnPricing!R729C5</stp>
        <tr r="E729" s="2"/>
      </tp>
      <tp>
        <v>187.45</v>
        <stp/>
        <stp>##V3_BDPV12</stp>
        <stp>CP Equity</stp>
        <stp>Px Last</stp>
        <stp>[Pricing File.xlsm]TotalReturnPricing!R749C5</stp>
        <tr r="E749" s="2"/>
      </tp>
      <tp>
        <v>27.51</v>
        <stp/>
        <stp>##V3_BDPV12</stp>
        <stp>AN Equity</stp>
        <stp>Px Last</stp>
        <stp>[Pricing File.xlsm]TotalReturnPricing!R489C5</stp>
        <tr r="E489" s="2"/>
      </tp>
      <tp>
        <v>31.8</v>
        <stp/>
        <stp>##V3_BDPV12</stp>
        <stp>T Equity</stp>
        <stp>Px Bid</stp>
        <stp>[Pricing File.xlsm]TotalReturnPricing!R476C6</stp>
        <tr r="F476" s="2"/>
      </tp>
      <tp t="s">
        <v>#N/A Field Not Applicable</v>
        <stp/>
        <stp>##V3_BDPV12</stp>
        <stp>AMTD Equity</stp>
        <stp>OPT_DELTA</stp>
        <stp>[Pricing File.xlsm]TotalReturnPricing!R512C8</stp>
        <tr r="H512" s="2"/>
      </tp>
      <tp t="s">
        <v>#N/A Field Not Applicable</v>
        <stp/>
        <stp>##V3_BDPV12</stp>
        <stp>AMSC Equity</stp>
        <stp>OPT_DELTA</stp>
        <stp>[Pricing File.xlsm]TotalReturnPricing!R155C8</stp>
        <tr r="H155" s="2"/>
      </tp>
      <tp t="s">
        <v>#N/A Field Not Applicable</v>
        <stp/>
        <stp>##V3_BDPV12</stp>
        <stp>ATHN Equity</stp>
        <stp>OPT_DELTA</stp>
        <stp>[Pricing File.xlsm]TotalReturnPricing!R738C8</stp>
        <tr r="H738" s="2"/>
      </tp>
      <tp t="s">
        <v>#N/A Field Not Applicable</v>
        <stp/>
        <stp>##V3_BDPV12</stp>
        <stp>AVID Equity</stp>
        <stp>OPT_DELTA</stp>
        <stp>[Pricing File.xlsm]TotalReturnPricing!R172C8</stp>
        <tr r="H172" s="2"/>
      </tp>
      <tp t="s">
        <v>#N/A Field Not Applicable</v>
        <stp/>
        <stp>##V3_BDPV12</stp>
        <stp>AWRE Equity</stp>
        <stp>OPT_DELTA</stp>
        <stp>[Pricing File.xlsm]TotalReturnPricing!R163C8</stp>
        <tr r="H163" s="2"/>
      </tp>
      <tp>
        <v>13.79</v>
        <stp/>
        <stp>##V3_BDPV12</stp>
        <stp>FITB Equity</stp>
        <stp>Px Last</stp>
        <stp>[Pricing File.xlsm]TotalReturnPricing!R375C5</stp>
        <tr r="E375" s="2"/>
      </tp>
      <tp t="s">
        <v>#N/A Field Not Applicable</v>
        <stp/>
        <stp>##V3_BDPV12</stp>
        <stp>GIGA Equity</stp>
        <stp>OPT_DELTA</stp>
        <stp>[Pricing File.xlsm]TotalReturnPricing!R127C8</stp>
        <tr r="H127" s="2"/>
      </tp>
      <tp t="s">
        <v>#N/A Field Not Applicable</v>
        <stp/>
        <stp>##V3_BDPV12</stp>
        <stp>HURN Equity</stp>
        <stp>OPT_DELTA</stp>
        <stp>[Pricing File.xlsm]TotalReturnPricing!R488C8</stp>
        <tr r="H488" s="2"/>
      </tp>
      <tp t="s">
        <v>#N/A Field Not Applicable</v>
        <stp/>
        <stp>##V3_BDPV12</stp>
        <stp>MGLN Equity</stp>
        <stp>OPT_DELTA</stp>
        <stp>[Pricing File.xlsm]TotalReturnPricing!R648C8</stp>
        <tr r="H648" s="2"/>
      </tp>
      <tp t="s">
        <v>#N/A Field Not Applicable</v>
        <stp/>
        <stp>##V3_BDPV12</stp>
        <stp>MYGN Equity</stp>
        <stp>OPT_DELTA</stp>
        <stp>[Pricing File.xlsm]TotalReturnPricing!R358C8</stp>
        <tr r="H358" s="2"/>
      </tp>
      <tp>
        <v>55.8</v>
        <stp/>
        <stp>##V3_BDPV12</stp>
        <stp>XLI Equity</stp>
        <stp>Px Last</stp>
        <stp>[Pricing File.xlsm]TotalReturnPricing!R46C5</stp>
        <tr r="E46" s="2"/>
      </tp>
      <tp t="s">
        <v>#N/A Field Not Applicable</v>
        <stp/>
        <stp>##V3_BDPV12</stp>
        <stp>PACB Equity</stp>
        <stp>OPT_DELTA</stp>
        <stp>[Pricing File.xlsm]TotalReturnPricing!R154C8</stp>
        <tr r="H154" s="2"/>
      </tp>
      <tp t="s">
        <v>#N/A N/A</v>
        <stp/>
        <stp>##V3_BDPV12</stp>
        <stp>WJA CN Equity</stp>
        <stp>Px Ask</stp>
        <stp>[Pricing File.xlsm]TotalReturnPricing!R361C7</stp>
        <tr r="G361" s="2"/>
      </tp>
      <tp>
        <v>104.81</v>
        <stp/>
        <stp>##V3_BDPV12</stp>
        <stp>LHCG Equity</stp>
        <stp>Px Last</stp>
        <stp>[Pricing File.xlsm]TotalReturnPricing!R574C5</stp>
        <tr r="E574" s="2"/>
      </tp>
      <tp>
        <v>35.81</v>
        <stp/>
        <stp>##V3_BDPV12</stp>
        <stp>DAL Equity</stp>
        <stp>Px Last</stp>
        <stp>[Pricing File.xlsm]TotalReturnPricing!R66C5</stp>
        <tr r="E66" s="2"/>
      </tp>
      <tp>
        <v>74.2</v>
        <stp/>
        <stp>##V3_BDPV12</stp>
        <stp>QDEL Equity</stp>
        <stp>Px Last</stp>
        <stp>[Pricing File.xlsm]TotalReturnPricing!R448C5</stp>
        <tr r="E448" s="2"/>
      </tp>
      <tp t="s">
        <v>#N/A Field Not Applicable</v>
        <stp/>
        <stp>##V3_BDPV12</stp>
        <stp>BBT Equity</stp>
        <stp>OPT_DELTA</stp>
        <stp>[Pricing File.xlsm]TotalReturnPricing!R519C8</stp>
        <tr r="H519" s="2"/>
      </tp>
      <tp t="s">
        <v>#N/A Field Not Applicable</v>
        <stp/>
        <stp>##V3_BDPV12</stp>
        <stp>ADT Equity</stp>
        <stp>OPT_DELTA</stp>
        <stp>[Pricing File.xlsm]TotalReturnPricing!R809C8</stp>
        <tr r="H809" s="2"/>
      </tp>
      <tp t="s">
        <v>#N/A Field Not Applicable</v>
        <stp/>
        <stp>##V3_BDPV12</stp>
        <stp>HTZ Equity</stp>
        <stp>OPT_DELTA</stp>
        <stp>[Pricing File.xlsm]TotalReturnPricing!R297C8</stp>
        <tr r="H297" s="2"/>
      </tp>
      <tp t="s">
        <v>#N/A Field Not Applicable</v>
        <stp/>
        <stp>##V3_BDPV12</stp>
        <stp>NAT Equity</stp>
        <stp>OPT_DELTA</stp>
        <stp>[Pricing File.xlsm]TotalReturnPricing!R179C8</stp>
        <tr r="H179" s="2"/>
      </tp>
      <tp>
        <v>4.6100000000000003</v>
        <stp/>
        <stp>##V3_BDPV12</stp>
        <stp>ANGI Equity</stp>
        <stp>Px Last</stp>
        <stp>[Pricing File.xlsm]TotalReturnPricing!R242C5</stp>
        <tr r="E242" s="2"/>
      </tp>
      <tp>
        <v>6.7</v>
        <stp/>
        <stp>##V3_BDPV12</stp>
        <stp>WIFI Equity</stp>
        <stp>Px Last</stp>
        <stp>[Pricing File.xlsm]TotalReturnPricing!R275C5</stp>
        <tr r="E275" s="2"/>
      </tp>
      <tp>
        <v>160.99</v>
        <stp/>
        <stp>##V3_BDPV12</stp>
        <stp>ODFL Equity</stp>
        <stp>Px Last</stp>
        <stp>[Pricing File.xlsm]TotalReturnPricing!R688C5</stp>
        <tr r="E688" s="2"/>
      </tp>
      <tp>
        <v>1.732</v>
        <stp/>
        <stp>##V3_BDPV12</stp>
        <stp>EDR SM Equity</stp>
        <stp>Px Ask</stp>
        <stp>[Pricing File.xlsm]TotalReturnPricing!R73C7</stp>
        <tr r="G73" s="2"/>
      </tp>
      <tp t="s">
        <v>#N/A Field Not Applicable</v>
        <stp/>
        <stp>##V3_BDPV12</stp>
        <stp>ZNGA Equity</stp>
        <stp>OPT_DELTA</stp>
        <stp>[Pricing File.xlsm]TotalReturnPricing!R157C8</stp>
        <tr r="H157" s="2"/>
      </tp>
      <tp t="s">
        <v>#N/A N/A</v>
        <stp/>
        <stp>##V3_BDPV12</stp>
        <stp>XON Equity</stp>
        <stp>Px Last</stp>
        <stp>[Pricing File.xlsm]TotalReturnPricing!R351C5</stp>
        <tr r="E351" s="2"/>
      </tp>
      <tp>
        <v>54.87</v>
        <stp/>
        <stp>##V3_BDPV12</stp>
        <stp>XPO Equity</stp>
        <stp>Px Last</stp>
        <stp>[Pricing File.xlsm]TotalReturnPricing!R581C5</stp>
        <tr r="E581" s="2"/>
      </tp>
      <tp>
        <v>103.9</v>
        <stp/>
        <stp>##V3_BDPV12</stp>
        <stp>HOA Comdty</stp>
        <stp>Px Ask</stp>
        <stp>[Pricing File.xlsm]TotalReturnPricing!R68C7</stp>
        <tr r="G68" s="2"/>
      </tp>
      <tp>
        <v>27.17</v>
        <stp/>
        <stp>##V3_BDPV12</stp>
        <stp>R Equity</stp>
        <stp>Px Bid</stp>
        <stp>[Pricing File.xlsm]TotalReturnPricing!R631C6</stp>
        <tr r="F631" s="2"/>
      </tp>
      <tp t="s">
        <v>#N/A Field Not Applicable</v>
        <stp/>
        <stp>##V3_BDPV12</stp>
        <stp>ATRC Equity</stp>
        <stp>OPT_DELTA</stp>
        <stp>[Pricing File.xlsm]TotalReturnPricing!R352C8</stp>
        <tr r="H352" s="2"/>
      </tp>
      <tp t="s">
        <v>#N/A Field Not Applicable</v>
        <stp/>
        <stp>##V3_BDPV12</stp>
        <stp>CCOI Equity</stp>
        <stp>OPT_DELTA</stp>
        <stp>[Pricing File.xlsm]TotalReturnPricing!R498C8</stp>
        <tr r="H498" s="2"/>
      </tp>
      <tp t="s">
        <v>#N/A N/A</v>
        <stp/>
        <stp>##V3_BDPV12</stp>
        <stp>ULTI Equity</stp>
        <stp>Px Last</stp>
        <stp>[Pricing File.xlsm]TotalReturnPricing!R777C5</stp>
        <tr r="E777" s="2"/>
      </tp>
      <tp t="s">
        <v>#N/A Field Not Applicable</v>
        <stp/>
        <stp>##V3_BDPV12</stp>
        <stp>ETFC Equity</stp>
        <stp>OPT_DELTA</stp>
        <stp>[Pricing File.xlsm]TotalReturnPricing!R482C8</stp>
        <tr r="H482" s="2"/>
      </tp>
      <tp>
        <v>14.54</v>
        <stp/>
        <stp>##V3_BDPV12</stp>
        <stp>MMYT Equity</stp>
        <stp>Px Last</stp>
        <stp>[Pricing File.xlsm]TotalReturnPricing!R426C5</stp>
        <tr r="E426" s="2"/>
      </tp>
      <tp t="s">
        <v>#N/A Field Not Applicable</v>
        <stp/>
        <stp>##V3_BDPV12</stp>
        <stp>ICFI Equity</stp>
        <stp>OPT_DELTA</stp>
        <stp>[Pricing File.xlsm]TotalReturnPricing!R508C8</stp>
        <tr r="H508" s="2"/>
      </tp>
      <tp t="s">
        <v>#N/A Field Not Applicable</v>
        <stp/>
        <stp>##V3_BDPV12</stp>
        <stp>KLAC Equity</stp>
        <stp>OPT_DELTA</stp>
        <stp>[Pricing File.xlsm]TotalReturnPricing!R692C8</stp>
        <tr r="H692" s="2"/>
      </tp>
      <tp>
        <v>0.25</v>
        <stp/>
        <stp>##V3_BDPV12</stp>
        <stp>SKYW 200417C00060000 Equity</stp>
        <stp>Px Last</stp>
        <stp>[Pricing File.xlsm]TotalReturnPricing!R863C5</stp>
        <tr r="E863" s="2"/>
      </tp>
      <tp>
        <v>0.5</v>
        <stp/>
        <stp>##V3_BDPV12</stp>
        <stp>SKYW 200417C00055000 Equity</stp>
        <stp>Px Last</stp>
        <stp>[Pricing File.xlsm]TotalReturnPricing!R893C5</stp>
        <tr r="E893" s="2"/>
      </tp>
      <tp>
        <v>60.17</v>
        <stp/>
        <stp>##V3_BDPV12</stp>
        <stp>PCAR Equity</stp>
        <stp>Px Last</stp>
        <stp>[Pricing File.xlsm]TotalReturnPricing!R618C5</stp>
        <tr r="E618" s="2"/>
      </tp>
      <tp>
        <v>9.15</v>
        <stp/>
        <stp>##V3_BDPV12</stp>
        <stp>IMAX Equity</stp>
        <stp>Px Last</stp>
        <stp>[Pricing File.xlsm]TotalReturnPricing!R336C5</stp>
        <tr r="E336" s="2"/>
      </tp>
      <tp>
        <v>32.24</v>
        <stp/>
        <stp>##V3_BDPV12</stp>
        <stp>EBAY Equity</stp>
        <stp>Px Last</stp>
        <stp>[Pricing File.xlsm]TotalReturnPricing!R449C5</stp>
        <tr r="E449" s="2"/>
      </tp>
      <tp>
        <v>4</v>
        <stp/>
        <stp>##V3_BDPV12</stp>
        <stp>ALGT 200417C00150000 Equity</stp>
        <stp>Px Last</stp>
        <stp>[Pricing File.xlsm]TotalReturnPricing!R864C5</stp>
        <tr r="E864" s="2"/>
      </tp>
      <tp>
        <v>14.2</v>
        <stp/>
        <stp>##V3_BDPV12</stp>
        <stp>MLCO Equity</stp>
        <stp>Px Last</stp>
        <stp>[Pricing File.xlsm]TotalReturnPricing!R817C5</stp>
        <tr r="E817" s="2"/>
      </tp>
      <tp>
        <v>15.91</v>
        <stp/>
        <stp>##V3_BDPV12</stp>
        <stp>BMCH Equity</stp>
        <stp>Px Last</stp>
        <stp>[Pricing File.xlsm]TotalReturnPricing!R346C5</stp>
        <tr r="E346" s="2"/>
      </tp>
      <tp t="s">
        <v>#N/A Field Not Applicable</v>
        <stp/>
        <stp>##V3_BDPV12</stp>
        <stp>SAIC Equity</stp>
        <stp>OPT_DELTA</stp>
        <stp>[Pricing File.xlsm]TotalReturnPricing!R622C8</stp>
        <tr r="H622" s="2"/>
      </tp>
      <tp t="s">
        <v>#N/A Field Not Applicable</v>
        <stp/>
        <stp>##V3_BDPV12</stp>
        <stp>SIRI Equity</stp>
        <stp>OPT_DELTA</stp>
        <stp>[Pricing File.xlsm]TotalReturnPricing!R178C8</stp>
        <tr r="H178" s="2"/>
      </tp>
      <tp t="s">
        <v>#N/A Field Not Applicable</v>
        <stp/>
        <stp>##V3_BDPV12</stp>
        <stp>WIX Equity</stp>
        <stp>OPT_DELTA</stp>
        <stp>[Pricing File.xlsm]TotalReturnPricing!R632C8</stp>
        <tr r="H632" s="2"/>
      </tp>
      <tp t="s">
        <v>#N/A Field Not Applicable</v>
        <stp/>
        <stp>##V3_BDPV12</stp>
        <stp>SKX Equity</stp>
        <stp>OPT_DELTA</stp>
        <stp>[Pricing File.xlsm]TotalReturnPricing!R392C8</stp>
        <tr r="H392" s="2"/>
      </tp>
      <tp t="s">
        <v>#N/A Field Not Applicable</v>
        <stp/>
        <stp>##V3_BDPV12</stp>
        <stp>STX Equity</stp>
        <stp>OPT_DELTA</stp>
        <stp>[Pricing File.xlsm]TotalReturnPricing!R422C8</stp>
        <tr r="H422" s="2"/>
      </tp>
      <tp t="s">
        <v>#N/A Field Not Applicable</v>
        <stp/>
        <stp>##V3_BDPV12</stp>
        <stp>TRWH Equity</stp>
        <stp>OPT_DELTA</stp>
        <stp>[Pricing File.xlsm]TotalReturnPricing!R189C8</stp>
        <tr r="H189" s="2"/>
      </tp>
      <tp t="s">
        <v>#N/A Field Not Applicable</v>
        <stp/>
        <stp>##V3_BDPV12</stp>
        <stp>DGX Equity</stp>
        <stp>OPT_DELTA</stp>
        <stp>[Pricing File.xlsm]TotalReturnPricing!R702C8</stp>
        <tr r="H702" s="2"/>
      </tp>
      <tp t="s">
        <v>#N/A Field Not Applicable</v>
        <stp/>
        <stp>##V3_BDPV12</stp>
        <stp>GES Equity</stp>
        <stp>OPT_DELTA</stp>
        <stp>[Pricing File.xlsm]TotalReturnPricing!R249C8</stp>
        <tr r="H249" s="2"/>
      </tp>
      <tp t="s">
        <v>#N/A Field Not Applicable</v>
        <stp/>
        <stp>##V3_BDPV12</stp>
        <stp>FBR Equity</stp>
        <stp>OPT_DELTA</stp>
        <stp>[Pricing File.xlsm]TotalReturnPricing!R228C8</stp>
        <tr r="H228" s="2"/>
      </tp>
      <tp t="s">
        <v>#N/A Field Not Applicable</v>
        <stp/>
        <stp>##V3_BDPV12</stp>
        <stp>MAR Equity</stp>
        <stp>OPT_DELTA</stp>
        <stp>[Pricing File.xlsm]TotalReturnPricing!R698C8</stp>
        <tr r="H698" s="2"/>
      </tp>
      <tp t="s">
        <v>#N/A Field Not Applicable</v>
        <stp/>
        <stp>##V3_BDPV12</stp>
        <stp>OAS Equity</stp>
        <stp>OPT_DELTA</stp>
        <stp>[Pricing File.xlsm]TotalReturnPricing!R209C8</stp>
        <tr r="H209" s="2"/>
      </tp>
      <tp t="s">
        <v>#N/A Field Not Applicable</v>
        <stp/>
        <stp>##V3_BDPV12</stp>
        <stp>NLS Equity</stp>
        <stp>OPT_DELTA</stp>
        <stp>[Pricing File.xlsm]TotalReturnPricing!R309C8</stp>
        <tr r="H309" s="2"/>
      </tp>
      <tp>
        <v>2.68</v>
        <stp/>
        <stp>##V3_BDPV12</stp>
        <stp>TRUE Equity</stp>
        <stp>Px Last</stp>
        <stp>[Pricing File.xlsm]TotalReturnPricing!R41C5</stp>
        <tr r="E41" s="2"/>
      </tp>
      <tp>
        <v>5.6</v>
        <stp/>
        <stp>##V3_BDPV12</stp>
        <stp>EXE CT Equity</stp>
        <stp>Px Bid</stp>
        <stp>[Pricing File.xlsm]TotalReturnPricing!R72C6</stp>
        <tr r="F72" s="2"/>
      </tp>
      <tp>
        <v>59.39</v>
        <stp/>
        <stp>##V3_BDPV12</stp>
        <stp>ICFI Equity</stp>
        <stp>Px Last</stp>
        <stp>[Pricing File.xlsm]TotalReturnPricing!R508C5</stp>
        <tr r="E508" s="2"/>
      </tp>
      <tp t="s">
        <v>#N/A Field Not Applicable</v>
        <stp/>
        <stp>##V3_BDPV12</stp>
        <stp>WETF Equity</stp>
        <stp>OPT_DELTA</stp>
        <stp>[Pricing File.xlsm]TotalReturnPricing!R227C8</stp>
        <tr r="H227" s="2"/>
      </tp>
      <tp t="s">
        <v>#N/A Field Not Applicable</v>
        <stp/>
        <stp>##V3_BDPV12</stp>
        <stp>YTRA Equity</stp>
        <stp>OPT_DELTA</stp>
        <stp>[Pricing File.xlsm]TotalReturnPricing!R230C8</stp>
        <tr r="H230" s="2"/>
      </tp>
      <tp>
        <v>10.61</v>
        <stp/>
        <stp>##V3_BDPV12</stp>
        <stp>JBLU Equity</stp>
        <stp>Px Last</stp>
        <stp>[Pricing File.xlsm]TotalReturnPricing!R339C5</stp>
        <tr r="E339" s="2"/>
      </tp>
      <tp>
        <v>7.72</v>
        <stp/>
        <stp>##V3_BDPV12</stp>
        <stp>ALLT Equity</stp>
        <stp>Px Last</stp>
        <stp>[Pricing File.xlsm]TotalReturnPricing!R167C5</stp>
        <tr r="E167" s="2"/>
      </tp>
      <tp>
        <v>5.73</v>
        <stp/>
        <stp>##V3_BDPV12</stp>
        <stp>DNOW Equity</stp>
        <stp>Px Last</stp>
        <stp>[Pricing File.xlsm]TotalReturnPricing!R285C5</stp>
        <tr r="E285" s="2"/>
      </tp>
      <tp t="s">
        <v>#N/A Field Not Applicable</v>
        <stp/>
        <stp>##V3_BDPV12</stp>
        <stp>BLIAQ Equity</stp>
        <stp>OPT_DELTA</stp>
        <stp>[Pricing File.xlsm]TotalReturnPricing!R117C8</stp>
        <tr r="H117" s="2"/>
      </tp>
      <tp>
        <v>68.819999999999993</v>
        <stp/>
        <stp>##V3_BDPV12</stp>
        <stp>JCOM Equity</stp>
        <stp>Px Last</stp>
        <stp>[Pricing File.xlsm]TotalReturnPricing!R668C5</stp>
        <tr r="E668" s="2"/>
      </tp>
      <tp>
        <v>157.05000000000001</v>
        <stp/>
        <stp>##V3_BDPV12</stp>
        <stp>PTEC LN Equity</stp>
        <stp>Px Bid</stp>
        <stp>[Pricing File.xlsm]TotalReturnPricing!R100C6</stp>
        <tr r="F100" s="2"/>
      </tp>
      <tp>
        <v>76.489999999999995</v>
        <stp/>
        <stp>##V3_BDPV12</stp>
        <stp>CCOI Equity</stp>
        <stp>Px Last</stp>
        <stp>[Pricing File.xlsm]TotalReturnPricing!R498C5</stp>
        <tr r="E498" s="2"/>
      </tp>
      <tp>
        <v>24.27</v>
        <stp/>
        <stp>##V3_BDPV12</stp>
        <stp>MINI Equity</stp>
        <stp>Px Last</stp>
        <stp>[Pricing File.xlsm]TotalReturnPricing!R402C5</stp>
        <tr r="E402" s="2"/>
      </tp>
      <tp>
        <v>4.38</v>
        <stp/>
        <stp>##V3_BDPV12</stp>
        <stp>CONN Equity</stp>
        <stp>Px Last</stp>
        <stp>[Pricing File.xlsm]TotalReturnPricing!R354C5</stp>
        <tr r="E354" s="2"/>
      </tp>
      <tp>
        <v>103.62</v>
        <stp/>
        <stp>##V3_BDPV12</stp>
        <stp>IWM Equity</stp>
        <stp>Px Last</stp>
        <stp>[Pricing File.xlsm]TotalReturnPricing!R51C5</stp>
        <tr r="E51" s="2"/>
      </tp>
      <tp>
        <v>0.68010000000000004</v>
        <stp/>
        <stp>##V3_BDPV12</stp>
        <stp>GRPN Equity</stp>
        <stp>Px Ask</stp>
        <stp>[Pricing File.xlsm]TotalReturnPricing!R45C7</stp>
        <tr r="G45" s="2"/>
      </tp>
      <tp t="s">
        <v>#N/A Field Not Applicable</v>
        <stp/>
        <stp>##V3_BDPV12</stp>
        <stp>LIF CN Equity</stp>
        <stp>OPT_DELTA</stp>
        <stp>[Pricing File.xlsm]TotalReturnPricing!R290C8</stp>
        <tr r="H290" s="2"/>
      </tp>
      <tp>
        <v>74.277500000000003</v>
        <stp/>
        <stp>##V3_BDPV12</stp>
        <stp>INR Curncy</stp>
        <stp>Px Ask</stp>
        <stp>[Pricing File.xlsm]TotalReturnPricing!R65C7</stp>
        <tr r="G65" s="2"/>
      </tp>
      <tp>
        <v>152</v>
        <stp/>
        <stp>##V3_BDPV12</stp>
        <stp>V Equity</stp>
        <stp>Px Bid</stp>
        <stp>[Pricing File.xlsm]TotalReturnPricing!R690C6</stp>
        <tr r="F690" s="2"/>
      </tp>
      <tp>
        <v>23.71</v>
        <stp/>
        <stp>##V3_BDPV12</stp>
        <stp>GC CN Equity</stp>
        <stp>Px Last</stp>
        <stp>[Pricing File.xlsm]TotalReturnPricing!R55C5</stp>
        <tr r="E55" s="2"/>
      </tp>
      <tp>
        <v>4.319</v>
        <stp/>
        <stp>##V3_BDPV12</stp>
        <stp>AF FP Equity</stp>
        <stp>Px Last</stp>
        <stp>[Pricing File.xlsm]TotalReturnPricing!R70C5</stp>
        <tr r="E70" s="2"/>
      </tp>
      <tp>
        <v>34.5</v>
        <stp/>
        <stp>##V3_BDPV12</stp>
        <stp>ECPG Equity</stp>
        <stp>Px Last</stp>
        <stp>[Pricing File.xlsm]TotalReturnPricing!R479C5</stp>
        <tr r="E479" s="2"/>
      </tp>
      <tp>
        <v>7.34</v>
        <stp/>
        <stp>##V3_BDPV12</stp>
        <stp>SCPL Equity</stp>
        <stp>Px Last</stp>
        <stp>[Pricing File.xlsm]TotalReturnPricing!R839C5</stp>
        <tr r="E839" s="2"/>
      </tp>
      <tp t="s">
        <v>#N/A Field Not Applicable</v>
        <stp/>
        <stp>##V3_BDPV12</stp>
        <stp>ATVI Equity</stp>
        <stp>OPT_DELTA</stp>
        <stp>[Pricing File.xlsm]TotalReturnPricing!R589C8</stp>
        <tr r="H589" s="2"/>
      </tp>
      <tp t="s">
        <v>#N/A Field Not Applicable</v>
        <stp/>
        <stp>##V3_BDPV12</stp>
        <stp>ARCH Equity</stp>
        <stp>OPT_DELTA</stp>
        <stp>[Pricing File.xlsm]TotalReturnPricing!R628C8</stp>
        <tr r="H628" s="2"/>
      </tp>
      <tp>
        <v>77.540000000000006</v>
        <stp/>
        <stp>##V3_BDPV12</stp>
        <stp>CBRL Equity</stp>
        <stp>Px Last</stp>
        <stp>[Pricing File.xlsm]TotalReturnPricing!R748C5</stp>
        <tr r="E748" s="2"/>
      </tp>
      <tp>
        <v>16.84</v>
        <stp/>
        <stp>##V3_BDPV12</stp>
        <stp>FORM Equity</stp>
        <stp>Px Last</stp>
        <stp>[Pricing File.xlsm]TotalReturnPricing!R255C5</stp>
        <tr r="E255" s="2"/>
      </tp>
      <tp>
        <v>239.85</v>
        <stp/>
        <stp>##V3_BDPV12</stp>
        <stp>SPY Equity</stp>
        <stp>Px Last</stp>
        <stp>[Pricing File.xlsm]TotalReturnPricing!R50C5</stp>
        <tr r="E50" s="2"/>
      </tp>
      <tp t="s">
        <v>#N/A Field Not Applicable</v>
        <stp/>
        <stp>##V3_BDPV12</stp>
        <stp>FWRD Equity</stp>
        <stp>OPT_DELTA</stp>
        <stp>[Pricing File.xlsm]TotalReturnPricing!R544C8</stp>
        <tr r="H544" s="2"/>
      </tp>
      <tp t="s">
        <v>#N/A N/A</v>
        <stp/>
        <stp>##V3_BDPV12</stp>
        <stp>CIVI Equity</stp>
        <stp>Px Last</stp>
        <stp>[Pricing File.xlsm]TotalReturnPricing!R303C5</stp>
        <tr r="E303" s="2"/>
      </tp>
      <tp t="s">
        <v>#N/A Field Not Applicable</v>
        <stp/>
        <stp>##V3_BDPV12</stp>
        <stp>GLPI Equity</stp>
        <stp>OPT_DELTA</stp>
        <stp>[Pricing File.xlsm]TotalReturnPricing!R459C8</stp>
        <tr r="H459" s="2"/>
      </tp>
      <tp>
        <v>4.24</v>
        <stp/>
        <stp>##V3_BDPV12</stp>
        <stp>ZIXI Equity</stp>
        <stp>Px Last</stp>
        <stp>[Pricing File.xlsm]TotalReturnPricing!R173C5</stp>
        <tr r="E173" s="2"/>
      </tp>
      <tp t="s">
        <v>#N/A Field Not Applicable</v>
        <stp/>
        <stp>##V3_BDPV12</stp>
        <stp>PFTI Equity</stp>
        <stp>OPT_DELTA</stp>
        <stp>[Pricing File.xlsm]TotalReturnPricing!R119C8</stp>
        <tr r="H119" s="2"/>
      </tp>
      <tp>
        <v>15.49</v>
        <stp/>
        <stp>##V3_BDPV12</stp>
        <stp>CLCT Equity</stp>
        <stp>Px Last</stp>
        <stp>[Pricing File.xlsm]TotalReturnPricing!R366C5</stp>
        <tr r="E366" s="2"/>
      </tp>
      <tp>
        <v>168.9</v>
        <stp/>
        <stp>##V3_BDPV12</stp>
        <stp>OTB LN Equity</stp>
        <stp>Px Ask</stp>
        <stp>[Pricing File.xlsm]TotalReturnPricing!R784C7</stp>
        <tr r="G784" s="2"/>
      </tp>
      <tp>
        <v>15.33</v>
        <stp/>
        <stp>##V3_BDPV12</stp>
        <stp>LIF CN Equity</stp>
        <stp>Px Ask</stp>
        <stp>[Pricing File.xlsm]TotalReturnPricing!R290C7</stp>
        <tr r="G290" s="2"/>
      </tp>
      <tp>
        <v>6.09</v>
        <stp/>
        <stp>##V3_BDPV12</stp>
        <stp>BBBY Equity</stp>
        <stp>Px Last</stp>
        <stp>[Pricing File.xlsm]TotalReturnPricing!R408C5</stp>
        <tr r="E408" s="2"/>
      </tp>
      <tp>
        <v>27.22</v>
        <stp/>
        <stp>##V3_BDPV12</stp>
        <stp>TCBI Equity</stp>
        <stp>Px Last</stp>
        <stp>[Pricing File.xlsm]TotalReturnPricing!R649C5</stp>
        <tr r="E649" s="2"/>
      </tp>
      <tp>
        <v>15.25</v>
        <stp/>
        <stp>##V3_BDPV12</stp>
        <stp>LIF CN Equity</stp>
        <stp>Px Bid</stp>
        <stp>[Pricing File.xlsm]TotalReturnPricing!R58C6</stp>
        <tr r="F58" s="2"/>
      </tp>
      <tp t="s">
        <v>#N/A Field Not Applicable</v>
        <stp/>
        <stp>##V3_BDPV12</stp>
        <stp>TCBI Equity</stp>
        <stp>OPT_DELTA</stp>
        <stp>[Pricing File.xlsm]TotalReturnPricing!R649C8</stp>
        <tr r="H649" s="2"/>
      </tp>
      <tp t="s">
        <v>#N/A Field Not Applicable</v>
        <stp/>
        <stp>##V3_BDPV12</stp>
        <stp>FDX Equity</stp>
        <stp>OPT_DELTA</stp>
        <stp>[Pricing File.xlsm]TotalReturnPricing!R773C8</stp>
        <tr r="H773" s="2"/>
      </tp>
      <tp t="s">
        <v>#N/A Field Not Applicable</v>
        <stp/>
        <stp>##V3_BDPV12</stp>
        <stp>CHS Equity</stp>
        <stp>OPT_DELTA</stp>
        <stp>[Pricing File.xlsm]TotalReturnPricing!R218C8</stp>
        <tr r="H218" s="2"/>
      </tp>
      <tp t="s">
        <v>#N/A Field Not Applicable</v>
        <stp/>
        <stp>##V3_BDPV12</stp>
        <stp>DOX Equity</stp>
        <stp>OPT_DELTA</stp>
        <stp>[Pricing File.xlsm]TotalReturnPricing!R613C8</stp>
        <tr r="H613" s="2"/>
      </tp>
      <tp t="s">
        <v>#N/A Field Not Applicable</v>
        <stp/>
        <stp>##V3_BDPV12</stp>
        <stp>TREE Equity</stp>
        <stp>OPT_DELTA</stp>
        <stp>[Pricing File.xlsm]TotalReturnPricing!R775C8</stp>
        <tr r="H775" s="2"/>
      </tp>
      <tp t="s">
        <v>#N/A Field Not Applicable</v>
        <stp/>
        <stp>##V3_BDPV12</stp>
        <stp>HLX Equity</stp>
        <stp>OPT_DELTA</stp>
        <stp>[Pricing File.xlsm]TotalReturnPricing!R183C8</stp>
        <tr r="H183" s="2"/>
      </tp>
      <tp>
        <v>31.5</v>
        <stp/>
        <stp>##V3_BDPV12</stp>
        <stp>CHGG Equity</stp>
        <stp>Px Last</stp>
        <stp>[Pricing File.xlsm]TotalReturnPricing!R262C5</stp>
        <tr r="E262" s="2"/>
      </tp>
      <tp>
        <v>71.92</v>
        <stp/>
        <stp>##V3_BDPV12</stp>
        <stp>FCFS Equity</stp>
        <stp>Px Last</stp>
        <stp>[Pricing File.xlsm]TotalReturnPricing!R579C5</stp>
        <tr r="E579" s="2"/>
      </tp>
      <tp>
        <v>9.94</v>
        <stp/>
        <stp>##V3_BDPV12</stp>
        <stp>HCKT Equity</stp>
        <stp>Px Last</stp>
        <stp>[Pricing File.xlsm]TotalReturnPricing!R789C5</stp>
        <tr r="E789" s="2"/>
      </tp>
      <tp>
        <v>322.29000000000002</v>
        <stp/>
        <stp>##V3_BDPV12</stp>
        <stp>SHOP Equity</stp>
        <stp>Px Last</stp>
        <stp>[Pricing File.xlsm]TotalReturnPricing!R672C5</stp>
        <tr r="E672" s="2"/>
      </tp>
      <tp>
        <v>0.05</v>
        <stp/>
        <stp>##V3_BDPV12</stp>
        <stp>TKOI Equity</stp>
        <stp>Px Last</stp>
        <stp>[Pricing File.xlsm]TotalReturnPricing!R121C5</stp>
        <tr r="E121" s="2"/>
      </tp>
      <tp>
        <v>74.267499999999998</v>
        <stp/>
        <stp>##V3_BDPV12</stp>
        <stp>INR Curncy</stp>
        <stp>Px Bid</stp>
        <stp>[Pricing File.xlsm]TotalReturnPricing!R65C6</stp>
        <tr r="F65" s="2"/>
      </tp>
      <tp>
        <v>0.68</v>
        <stp/>
        <stp>##V3_BDPV12</stp>
        <stp>GRPN Equity</stp>
        <stp>Px Bid</stp>
        <stp>[Pricing File.xlsm]TotalReturnPricing!R45C6</stp>
        <tr r="F45" s="2"/>
      </tp>
      <tp>
        <v>49.59</v>
        <stp/>
        <stp>##V3_BDPV12</stp>
        <stp>H Equity</stp>
        <stp>Px Bid</stp>
        <stp>[Pricing File.xlsm]TotalReturnPricing!R563C6</stp>
        <tr r="F563" s="2"/>
      </tp>
      <tp t="s">
        <v>#N/A N/A</v>
        <stp/>
        <stp>##V3_BDPV12</stp>
        <stp>QNST 200320C00020000 Equity</stp>
        <stp>Px Last</stp>
        <stp>[Pricing File.xlsm]TotalReturnPricing!R857C5</stp>
        <tr r="E857" s="2"/>
      </tp>
      <tp t="s">
        <v>#N/A Invalid Security</v>
        <stp/>
        <stp>##V3_BDPV12</stp>
        <stp>HOM6 Comdty</stp>
        <stp>Px Last</stp>
        <stp>[Pricing File.xlsm]TotalReturnPricing!R850C5</stp>
        <tr r="E850" s="2"/>
      </tp>
      <tp>
        <v>223.43</v>
        <stp/>
        <stp>##V3_BDPV12</stp>
        <stp>INTU Equity</stp>
        <stp>Px Last</stp>
        <stp>[Pricing File.xlsm]TotalReturnPricing!R737C5</stp>
        <tr r="E737" s="2"/>
      </tp>
      <tp>
        <v>28.33</v>
        <stp/>
        <stp>##V3_BDPV12</stp>
        <stp>SATS Equity</stp>
        <stp>Px Last</stp>
        <stp>[Pricing File.xlsm]TotalReturnPricing!R588C5</stp>
        <tr r="E588" s="2"/>
      </tp>
      <tp>
        <v>311.29000000000002</v>
        <stp/>
        <stp>##V3_BDPV12</stp>
        <stp>MKTX Equity</stp>
        <stp>Px Last</stp>
        <stp>[Pricing File.xlsm]TotalReturnPricing!R772C5</stp>
        <tr r="E772" s="2"/>
      </tp>
      <tp>
        <v>44.61</v>
        <stp/>
        <stp>##V3_BDPV12</stp>
        <stp>INTC Equity</stp>
        <stp>Px Last</stp>
        <stp>[Pricing File.xlsm]TotalReturnPricing!R437C5</stp>
        <tr r="E437" s="2"/>
      </tp>
      <tp t="s">
        <v>#N/A Field Not Applicable</v>
        <stp/>
        <stp>##V3_BDPV12</stp>
        <stp>EXPE Equity</stp>
        <stp>OPT_DELTA</stp>
        <stp>[Pricing File.xlsm]TotalReturnPricing!R746C8</stp>
        <tr r="H746" s="2"/>
      </tp>
      <tp t="s">
        <v>#N/A Field Not Applicable</v>
        <stp/>
        <stp>##V3_BDPV12</stp>
        <stp>GRUB Equity</stp>
        <stp>OPT_DELTA</stp>
        <stp>[Pricing File.xlsm]TotalReturnPricing!R521C8</stp>
        <tr r="H521" s="2"/>
      </tp>
      <tp>
        <v>22.95</v>
        <stp/>
        <stp>##V3_BDPV12</stp>
        <stp>SKYW Equity</stp>
        <stp>Px Last</stp>
        <stp>[Pricing File.xlsm]TotalReturnPricing!R442C5</stp>
        <tr r="E442" s="2"/>
      </tp>
      <tp t="s">
        <v>#N/A Field Not Applicable</v>
        <stp/>
        <stp>##V3_BDPV12</stp>
        <stp>HOME Equity</stp>
        <stp>OPT_DELTA</stp>
        <stp>[Pricing File.xlsm]TotalReturnPricing!R806C8</stp>
        <tr r="H806" s="2"/>
      </tp>
      <tp t="s">
        <v>#N/A Field Not Applicable</v>
        <stp/>
        <stp>##V3_BDPV12</stp>
        <stp>LHCG Equity</stp>
        <stp>OPT_DELTA</stp>
        <stp>[Pricing File.xlsm]TotalReturnPricing!R574C8</stp>
        <tr r="H574" s="2"/>
      </tp>
      <tp>
        <v>15.33</v>
        <stp/>
        <stp>##V3_BDPV12</stp>
        <stp>LIF CN Equity</stp>
        <stp>Px Ask</stp>
        <stp>[Pricing File.xlsm]TotalReturnPricing!R58C7</stp>
        <tr r="G58" s="2"/>
      </tp>
      <tp t="s">
        <v>#N/A Field Not Applicable</v>
        <stp/>
        <stp>##V3_BDPV12</stp>
        <stp>OSTK Equity</stp>
        <stp>OPT_DELTA</stp>
        <stp>[Pricing File.xlsm]TotalReturnPricing!R778C8</stp>
        <tr r="H778" s="2"/>
      </tp>
      <tp>
        <v>40.53</v>
        <stp/>
        <stp>##V3_BDPV12</stp>
        <stp>AMAT Equity</stp>
        <stp>Px Last</stp>
        <stp>[Pricing File.xlsm]TotalReturnPricing!R514C5</stp>
        <tr r="E514" s="2"/>
      </tp>
      <tp>
        <v>8.99</v>
        <stp/>
        <stp>##V3_BDPV12</stp>
        <stp>PLAB Equity</stp>
        <stp>Px Last</stp>
        <stp>[Pricing File.xlsm]TotalReturnPricing!R225C5</stp>
        <tr r="E225" s="2"/>
      </tp>
      <tp>
        <v>370.1</v>
        <stp/>
        <stp>##V3_BDPV12</stp>
        <stp>GVC LN Equity</stp>
        <stp>Px Ask</stp>
        <stp>[Pricing File.xlsm]TotalReturnPricing!R106C7</stp>
        <tr r="G106" s="2"/>
      </tp>
      <tp t="s">
        <v>#N/A Field Not Applicable</v>
        <stp/>
        <stp>##V3_BDPV12</stp>
        <stp>SITE Equity</stp>
        <stp>OPT_DELTA</stp>
        <stp>[Pricing File.xlsm]TotalReturnPricing!R826C8</stp>
        <tr r="H826" s="2"/>
      </tp>
      <tp t="s">
        <v>#N/A Field Not Applicable</v>
        <stp/>
        <stp>##V3_BDPV12</stp>
        <stp>JPY Curncy</stp>
        <stp>OPT_DELTA</stp>
        <stp>[Pricing File.xlsm]TotalReturnPricing!R706C8</stp>
        <tr r="H706" s="2"/>
      </tp>
      <tp t="s">
        <v>#N/A Field Not Applicable</v>
        <stp/>
        <stp>##V3_BDPV12</stp>
        <stp>TPX Equity</stp>
        <stp>OPT_DELTA</stp>
        <stp>[Pricing File.xlsm]TotalReturnPricing!R590C8</stp>
        <tr r="H590" s="2"/>
      </tp>
      <tp t="s">
        <v>#N/A Field Not Applicable</v>
        <stp/>
        <stp>##V3_BDPV12</stp>
        <stp>TEX Equity</stp>
        <stp>OPT_DELTA</stp>
        <stp>[Pricing File.xlsm]TotalReturnPricing!R470C8</stp>
        <tr r="H470" s="2"/>
      </tp>
      <tp t="s">
        <v>#N/A Field Not Applicable</v>
        <stp/>
        <stp>##V3_BDPV12</stp>
        <stp>AAP Equity</stp>
        <stp>OPT_DELTA</stp>
        <stp>[Pricing File.xlsm]TotalReturnPricing!R108C8</stp>
        <tr r="H108" s="2"/>
      </tp>
      <tp t="s">
        <v>#N/A Field Not Applicable</v>
        <stp/>
        <stp>##V3_BDPV12</stp>
        <stp>EIX Equity</stp>
        <stp>OPT_DELTA</stp>
        <stp>[Pricing File.xlsm]TotalReturnPricing!R650C8</stp>
        <tr r="H650" s="2"/>
      </tp>
      <tp t="s">
        <v>#N/A Field Not Applicable</v>
        <stp/>
        <stp>##V3_BDPV12</stp>
        <stp>DSX Equity</stp>
        <stp>OPT_DELTA</stp>
        <stp>[Pricing File.xlsm]TotalReturnPricing!R160C8</stp>
        <tr r="H160" s="2"/>
      </tp>
      <tp t="s">
        <v>#N/A Field Not Applicable</v>
        <stp/>
        <stp>##V3_BDPV12</stp>
        <stp>BBY Equity</stp>
        <stp>OPT_DELTA</stp>
        <stp>[Pricing File.xlsm]TotalReturnPricing!R571C8</stp>
        <tr r="H571" s="2"/>
      </tp>
      <tp t="s">
        <v>#N/A Field Not Applicable</v>
        <stp/>
        <stp>##V3_BDPV12</stp>
        <stp>CSX Equity</stp>
        <stp>OPT_DELTA</stp>
        <stp>[Pricing File.xlsm]TotalReturnPricing!R540C8</stp>
        <tr r="H540" s="2"/>
      </tp>
      <tp t="s">
        <v>#N/A Field Not Applicable</v>
        <stp/>
        <stp>##V3_BDPV12</stp>
        <stp>KNX Equity</stp>
        <stp>OPT_DELTA</stp>
        <stp>[Pricing File.xlsm]TotalReturnPricing!R440C8</stp>
        <tr r="H440" s="2"/>
      </tp>
      <tp>
        <v>3.96</v>
        <stp/>
        <stp>##V3_BDPV12</stp>
        <stp>RLGY Equity</stp>
        <stp>Px Last</stp>
        <stp>[Pricing File.xlsm]TotalReturnPricing!R135C5</stp>
        <tr r="E135" s="2"/>
      </tp>
      <tp>
        <v>5.87</v>
        <stp/>
        <stp>##V3_BDPV12</stp>
        <stp>ZNGA Equity</stp>
        <stp>Px Last</stp>
        <stp>[Pricing File.xlsm]TotalReturnPricing!R157C5</stp>
        <tr r="E157" s="2"/>
      </tp>
      <tp>
        <v>1.66</v>
        <stp/>
        <stp>##V3_BDPV12</stp>
        <stp>EIGI Equity</stp>
        <stp>Px Last</stp>
        <stp>[Pricing File.xlsm]TotalReturnPricing!R790C5</stp>
        <tr r="E790" s="2"/>
      </tp>
      <tp>
        <v>33.89</v>
        <stp/>
        <stp>##V3_BDPV12</stp>
        <stp>LOGI Equity</stp>
        <stp>Px Last</stp>
        <stp>[Pricing File.xlsm]TotalReturnPricing!R446C5</stp>
        <tr r="E446" s="2"/>
      </tp>
      <tp>
        <v>106.58</v>
        <stp/>
        <stp>##V3_BDPV12</stp>
        <stp>SAFM Equity</stp>
        <stp>Px Last</stp>
        <stp>[Pricing File.xlsm]TotalReturnPricing!R728C5</stp>
        <tr r="E728" s="2"/>
      </tp>
      <tp>
        <v>67.849999999999994</v>
        <stp/>
        <stp>##V3_BDPV12</stp>
        <stp>SAIA Equity</stp>
        <stp>Px Last</stp>
        <stp>[Pricing File.xlsm]TotalReturnPricing!R548C5</stp>
        <tr r="E548" s="2"/>
      </tp>
      <tp>
        <v>9.48</v>
        <stp/>
        <stp>##V3_BDPV12</stp>
        <stp>IMMU Equity</stp>
        <stp>Px Last</stp>
        <stp>[Pricing File.xlsm]TotalReturnPricing!R214C5</stp>
        <tr r="E214" s="2"/>
      </tp>
      <tp>
        <v>2.8</v>
        <stp/>
        <stp>##V3_BDPV12</stp>
        <stp>HOME Equity</stp>
        <stp>Px Last</stp>
        <stp>[Pricing File.xlsm]TotalReturnPricing!R806C5</stp>
        <tr r="E806" s="2"/>
      </tp>
      <tp>
        <v>5.95</v>
        <stp/>
        <stp>##V3_BDPV12</stp>
        <stp>CMLS Equity</stp>
        <stp>Px Last</stp>
        <stp>[Pricing File.xlsm]TotalReturnPricing!R124C5</stp>
        <tr r="E124" s="2"/>
      </tp>
      <tp>
        <v>122.55</v>
        <stp/>
        <stp>##V3_BDPV12</stp>
        <stp>SAND SS Equity</stp>
        <stp>Px Bid</stp>
        <stp>[Pricing File.xlsm]TotalReturnPricing!R725C6</stp>
        <tr r="F725" s="2"/>
      </tp>
      <tp>
        <v>53.42</v>
        <stp/>
        <stp>##V3_BDPV12</stp>
        <stp>DOOR Equity</stp>
        <stp>Px Last</stp>
        <stp>[Pricing File.xlsm]TotalReturnPricing!R646C5</stp>
        <tr r="E646" s="2"/>
      </tp>
      <tp>
        <v>240.12</v>
        <stp/>
        <stp>##V3_BDPV12</stp>
        <stp>IVV Equity</stp>
        <stp>Px Last</stp>
        <stp>[Pricing File.xlsm]TotalReturnPricing!R53C5</stp>
        <tr r="E53" s="2"/>
      </tp>
      <tp>
        <v>101.97</v>
        <stp/>
        <stp>##V3_BDPV12</stp>
        <stp>SMH Equity</stp>
        <stp>Px Last</stp>
        <stp>[Pricing File.xlsm]TotalReturnPricing!R669C5</stp>
        <tr r="E669" s="2"/>
      </tp>
      <tp>
        <v>103.84</v>
        <stp/>
        <stp>##V3_BDPV12</stp>
        <stp>HOA Comdty</stp>
        <stp>Px Bid</stp>
        <stp>[Pricing File.xlsm]TotalReturnPricing!R68C6</stp>
        <tr r="F68" s="2"/>
      </tp>
      <tp>
        <v>54.74</v>
        <stp/>
        <stp>##V3_BDPV12</stp>
        <stp>ZEN Equity</stp>
        <stp>Px Last</stp>
        <stp>[Pricing File.xlsm]TotalReturnPricing!R410C5</stp>
        <tr r="E410" s="2"/>
      </tp>
      <tp>
        <v>41.34</v>
        <stp/>
        <stp>##V3_BDPV12</stp>
        <stp>SCI Equity</stp>
        <stp>Px Last</stp>
        <stp>[Pricing File.xlsm]TotalReturnPricing!R439C5</stp>
        <tr r="E439" s="2"/>
      </tp>
      <tp t="s">
        <v>#N/A Field Not Applicable</v>
        <stp/>
        <stp>##V3_BDPV12</stp>
        <stp>WJA CN Equity</stp>
        <stp>OPT_DELTA</stp>
        <stp>[Pricing File.xlsm]TotalReturnPricing!R361C8</stp>
        <tr r="H361" s="2"/>
      </tp>
      <tp>
        <v>2.74</v>
        <stp/>
        <stp>##V3_BDPV12</stp>
        <stp>RRC Equity</stp>
        <stp>Px Last</stp>
        <stp>[Pricing File.xlsm]TotalReturnPricing!R348C5</stp>
        <tr r="E348" s="2"/>
      </tp>
      <tp t="s">
        <v>#N/A Field Not Applicable</v>
        <stp/>
        <stp>##V3_BDPV12</stp>
        <stp>ACQ.CN Equity</stp>
        <stp>OPT_DELTA</stp>
        <stp>[Pricing File.xlsm]TotalReturnPricing!R798C8</stp>
        <tr r="H798" s="2"/>
      </tp>
      <tp>
        <v>49.59</v>
        <stp/>
        <stp>##V3_BDPV12</stp>
        <stp>H Equity</stp>
        <stp>Px Bid</stp>
        <stp>[Pricing File.xlsm]TotalReturnPricing!R562C6</stp>
        <tr r="F562" s="2"/>
      </tp>
      <tp>
        <v>7.72</v>
        <stp/>
        <stp>##V3_BDPV12</stp>
        <stp>S Equity</stp>
        <stp>Px Bid</stp>
        <stp>[Pricing File.xlsm]TotalReturnPricing!R212C6</stp>
        <tr r="F212" s="2"/>
      </tp>
      <tp>
        <v>218.57</v>
        <stp/>
        <stp>##V3_BDPV12</stp>
        <stp>VOO Equity</stp>
        <stp>Px Last</stp>
        <stp>[Pricing File.xlsm]TotalReturnPricing!R52C5</stp>
        <tr r="E52" s="2"/>
      </tp>
      <tp>
        <v>242.21</v>
        <stp/>
        <stp>##V3_BDPV12</stp>
        <stp>AAPL Equity</stp>
        <stp>Px Last</stp>
        <stp>[Pricing File.xlsm]TotalReturnPricing!R109C5</stp>
        <tr r="E109" s="2"/>
      </tp>
      <tp>
        <v>4.96</v>
        <stp/>
        <stp>##V3_BDPV12</stp>
        <stp>AMSC Equity</stp>
        <stp>Px Last</stp>
        <stp>[Pricing File.xlsm]TotalReturnPricing!R155C5</stp>
        <tr r="E155" s="2"/>
      </tp>
      <tp>
        <v>18.79</v>
        <stp/>
        <stp>##V3_BDPV12</stp>
        <stp>DISH Equity</stp>
        <stp>Px Last</stp>
        <stp>[Pricing File.xlsm]TotalReturnPricing!R601C5</stp>
        <tr r="E601" s="2"/>
      </tp>
      <tp t="s">
        <v>#N/A Field Not Applicable</v>
        <stp/>
        <stp>##V3_BDPV12</stp>
        <stp>BEBE Equity</stp>
        <stp>OPT_DELTA</stp>
        <stp>[Pricing File.xlsm]TotalReturnPricing!R177C8</stp>
        <tr r="H177" s="2"/>
      </tp>
      <tp t="s">
        <v>#N/A Field Not Applicable</v>
        <stp/>
        <stp>##V3_BDPV12</stp>
        <stp>BKNG Equity</stp>
        <stp>OPT_DELTA</stp>
        <stp>[Pricing File.xlsm]TotalReturnPricing!R795C8</stp>
        <tr r="H795" s="2"/>
      </tp>
      <tp>
        <v>55.38</v>
        <stp/>
        <stp>##V3_BDPV12</stp>
        <stp>DORM Equity</stp>
        <stp>Px Last</stp>
        <stp>[Pricing File.xlsm]TotalReturnPricing!R807C5</stp>
        <tr r="E807" s="2"/>
      </tp>
      <tp t="s">
        <v>#N/A Field Not Applicable</v>
        <stp/>
        <stp>##V3_BDPV12</stp>
        <stp>CREE Equity</stp>
        <stp>OPT_DELTA</stp>
        <stp>[Pricing File.xlsm]TotalReturnPricing!R377C8</stp>
        <tr r="H377" s="2"/>
      </tp>
      <tp t="s">
        <v>#N/A Field Not Applicable</v>
        <stp/>
        <stp>##V3_BDPV12</stp>
        <stp>ETFC Equity</stp>
        <stp>OPT_DELTA</stp>
        <stp>[Pricing File.xlsm]TotalReturnPricing!R481C8</stp>
        <tr r="H481" s="2"/>
      </tp>
      <tp t="s">
        <v>#N/A Field Not Applicable</v>
        <stp/>
        <stp>##V3_BDPV12</stp>
        <stp>EXPD Equity</stp>
        <stp>OPT_DELTA</stp>
        <stp>[Pricing File.xlsm]TotalReturnPricing!R576C8</stp>
        <tr r="H576" s="2"/>
      </tp>
      <tp t="s">
        <v>#N/A Field Not Applicable</v>
        <stp/>
        <stp>##V3_BDPV12</stp>
        <stp>GNMK Equity</stp>
        <stp>OPT_DELTA</stp>
        <stp>[Pricing File.xlsm]TotalReturnPricing!R239C8</stp>
        <tr r="H239" s="2"/>
      </tp>
      <tp>
        <v>0.04</v>
        <stp/>
        <stp>##V3_BDPV12</stp>
        <stp>SAVE 200320C00045000 Equity</stp>
        <stp>Px Last</stp>
        <stp>[Pricing File.xlsm]TotalReturnPricing!R889C5</stp>
        <tr r="E889" s="2"/>
      </tp>
      <tp>
        <v>22.95</v>
        <stp/>
        <stp>##V3_BDPV12</stp>
        <stp>SKYW Equity</stp>
        <stp>Px Last</stp>
        <stp>[Pricing File.xlsm]TotalReturnPricing!R833C5</stp>
        <tr r="E833" s="2"/>
      </tp>
      <tp t="s">
        <v>#N/A Field Not Applicable</v>
        <stp/>
        <stp>##V3_BDPV12</stp>
        <stp>KLAC Equity</stp>
        <stp>OPT_DELTA</stp>
        <stp>[Pricing File.xlsm]TotalReturnPricing!R691C8</stp>
        <tr r="H691" s="2"/>
      </tp>
      <tp t="s">
        <v>#N/A Field Not Applicable</v>
        <stp/>
        <stp>##V3_BDPV12</stp>
        <stp>LHCG Equity</stp>
        <stp>OPT_DELTA</stp>
        <stp>[Pricing File.xlsm]TotalReturnPricing!R575C8</stp>
        <tr r="H575" s="2"/>
      </tp>
      <tp>
        <v>5.65</v>
        <stp/>
        <stp>##V3_BDPV12</stp>
        <stp>EXE CT Equity</stp>
        <stp>Px Ask</stp>
        <stp>[Pricing File.xlsm]TotalReturnPricing!R72C7</stp>
        <tr r="G72" s="2"/>
      </tp>
      <tp t="s">
        <v>#N/A Field Not Applicable</v>
        <stp/>
        <stp>##V3_BDPV12</stp>
        <stp>MYRG Equity</stp>
        <stp>OPT_DELTA</stp>
        <stp>[Pricing File.xlsm]TotalReturnPricing!R415C8</stp>
        <tr r="H415" s="2"/>
      </tp>
      <tp>
        <v>74.272499999999994</v>
        <stp/>
        <stp>##V3_BDPV12</stp>
        <stp>INR Curncy</stp>
        <stp>Px Last</stp>
        <stp>[Pricing File.xlsm]TotalReturnPricing!R65C5</stp>
        <tr r="E65" s="2"/>
      </tp>
      <tp>
        <v>9.15</v>
        <stp/>
        <stp>##V3_BDPV12</stp>
        <stp>IMAX Equity</stp>
        <stp>Px Last</stp>
        <stp>[Pricing File.xlsm]TotalReturnPricing!R335C5</stp>
        <tr r="E335" s="2"/>
      </tp>
      <tp>
        <v>83.23</v>
        <stp/>
        <stp>##V3_BDPV12</stp>
        <stp>AKAM Equity</stp>
        <stp>Px Last</stp>
        <stp>[Pricing File.xlsm]TotalReturnPricing!R513C5</stp>
        <tr r="E513" s="2"/>
      </tp>
      <tp t="s">
        <v>#N/A Field Not Applicable</v>
        <stp/>
        <stp>##V3_BDPV12</stp>
        <stp>PRAA Equity</stp>
        <stp>OPT_DELTA</stp>
        <stp>[Pricing File.xlsm]TotalReturnPricing!R473C8</stp>
        <tr r="H473" s="2"/>
      </tp>
      <tp t="s">
        <v>#N/A Field Not Applicable</v>
        <stp/>
        <stp>##V3_BDPV12</stp>
        <stp>SAVE Equity</stp>
        <stp>OPT_DELTA</stp>
        <stp>[Pricing File.xlsm]TotalReturnPricing!R107C8</stp>
        <tr r="H107" s="2"/>
      </tp>
      <tp t="s">
        <v>#N/A Field Not Applicable</v>
        <stp/>
        <stp>##V3_BDPV12</stp>
        <stp>WPX Equity</stp>
        <stp>OPT_DELTA</stp>
        <stp>[Pricing File.xlsm]TotalReturnPricing!R231C8</stp>
        <tr r="H231" s="2"/>
      </tp>
      <tp t="s">
        <v>#N/A Field Not Applicable</v>
        <stp/>
        <stp>##V3_BDPV12</stp>
        <stp>EXP Equity</stp>
        <stp>OPT_DELTA</stp>
        <stp>[Pricing File.xlsm]TotalReturnPricing!R679C8</stp>
        <tr r="H679" s="2"/>
      </tp>
      <tp t="s">
        <v>#N/A Field Not Applicable</v>
        <stp/>
        <stp>##V3_BDPV12</stp>
        <stp>BBY Equity</stp>
        <stp>OPT_DELTA</stp>
        <stp>[Pricing File.xlsm]TotalReturnPricing!R570C8</stp>
        <tr r="H570" s="2"/>
      </tp>
      <tp t="s">
        <v>#N/A Field Not Applicable</v>
        <stp/>
        <stp>##V3_BDPV12</stp>
        <stp>KMX Equity</stp>
        <stp>OPT_DELTA</stp>
        <stp>[Pricing File.xlsm]TotalReturnPricing!R611C8</stp>
        <tr r="H611" s="2"/>
      </tp>
      <tp t="s">
        <v>#N/A Field Not Applicable</v>
        <stp/>
        <stp>##V3_BDPV12</stp>
        <stp>KEX Equity</stp>
        <stp>OPT_DELTA</stp>
        <stp>[Pricing File.xlsm]TotalReturnPricing!R591C8</stp>
        <tr r="H591" s="2"/>
      </tp>
      <tp>
        <v>11.85</v>
        <stp/>
        <stp>##V3_BDPV12</stp>
        <stp>COHU Equity</stp>
        <stp>Px Last</stp>
        <stp>[Pricing File.xlsm]TotalReturnPricing!R317C5</stp>
        <tr r="E317" s="2"/>
      </tp>
      <tp t="s">
        <v>#N/A Invalid Security</v>
        <stp/>
        <stp>##V3_BDPV12</stp>
        <stp>HOV6 Comdty</stp>
        <stp>Px Last</stp>
        <stp>[Pricing File.xlsm]TotalReturnPricing!R851C5</stp>
        <tr r="E851" s="2"/>
      </tp>
    </main>
    <main first="bloomberg.rtd">
      <tp>
        <v>93.99</v>
        <stp/>
        <stp>##V3_BDPV12</stp>
        <stp xml:space="preserve">RH Equity </stp>
        <stp>Px Bid</stp>
        <stp>[Pricing File.xlsm]TotalReturnPricing!R623C6</stp>
        <tr r="F623" s="2"/>
      </tp>
      <tp t="s">
        <v>#N/A N/A</v>
        <stp/>
        <stp>##V3_BDPV12</stp>
        <stp>CCMP Index</stp>
        <stp>Px Bid</stp>
        <stp>[Pricing File.xlsm]TotalReturnPricing!R797C6</stp>
        <tr r="F797" s="2"/>
      </tp>
      <tp t="s">
        <v>#N/A Field Not Applicable</v>
        <stp/>
        <stp>##V3_BDPV12</stp>
        <stp>ARA EQUITY</stp>
        <stp>OPT_DELTA</stp>
        <stp>[Pricing File.xlsm]TotalReturnPricing!R296C8</stp>
        <tr r="H296" s="2"/>
      </tp>
      <tp>
        <v>7.3599999999999999E-2</v>
        <stp/>
        <stp>##V3_BDPV12</stp>
        <stp>ent Equity</stp>
        <stp>Px Last</stp>
        <stp>[Pricing File.xlsm]TotalReturnPricing!R152C5</stp>
        <tr r="E152" s="2"/>
      </tp>
      <tp>
        <v>8.74</v>
        <stp/>
        <stp>##V3_BDPV12</stp>
        <stp>ARA EQUITY</stp>
        <stp>Px Last</stp>
        <stp>[Pricing File.xlsm]TotalReturnPricing!R296C5</stp>
        <tr r="E296" s="2"/>
      </tp>
      <tp>
        <v>12.16</v>
        <stp/>
        <stp>##V3_BDPV12</stp>
        <stp>1128 HK Equity</stp>
        <stp>Px Last</stp>
        <stp>[Pricing File.xlsm]TotalReturnPricing!R92C5</stp>
        <tr r="E92" s="2"/>
      </tp>
      <tp>
        <v>150.69</v>
        <stp/>
        <stp>##V3_BDPV12</stp>
        <stp xml:space="preserve">CI Equity </stp>
        <stp>Px Bid</stp>
        <stp>[Pricing File.xlsm]TotalReturnPricing!R760C6</stp>
        <tr r="F760" s="2"/>
      </tp>
      <tp t="s">
        <v>#N/A Field Not Applicable</v>
        <stp/>
        <stp>##V3_BDPV12</stp>
        <stp>GENS SP Equity</stp>
        <stp>OPT_DELTA</stp>
        <stp>[Pricing File.xlsm]TotalReturnPricing!R91C8</stp>
        <tr r="H91" s="2"/>
      </tp>
      <tp t="s">
        <v>#N/A Field Not Applicable</v>
        <stp/>
        <stp>##V3_BDPV12</stp>
        <stp>EXE CT Equity</stp>
        <stp>OPT_DELTA</stp>
        <stp>[Pricing File.xlsm]TotalReturnPricing!R72C8</stp>
        <tr r="H72" s="2"/>
      </tp>
      <tp t="s">
        <v>#N/A N/A</v>
        <stp/>
        <stp>##V3_BDPV12</stp>
        <stp>V 200117C00185000 Equity</stp>
        <stp>OPT_DELTA</stp>
        <stp>[Pricing File.xlsm]TotalReturnPricing!R853C8</stp>
        <tr r="H853" s="2"/>
      </tp>
      <tp t="s">
        <v>#N/A Field Not Applicable</v>
        <stp/>
        <stp>##V3_BDPV12</stp>
        <stp>LIF CN Equity</stp>
        <stp>OPT_DELTA</stp>
        <stp>[Pricing File.xlsm]TotalReturnPricing!R58C8</stp>
        <tr r="H58" s="2"/>
      </tp>
      <tp>
        <v>32.56</v>
        <stp/>
        <stp>##V3_BDPV12</stp>
        <stp xml:space="preserve">USB Equity </stp>
        <stp>Px Bid</stp>
        <stp>[Pricing File.xlsm]TotalReturnPricing!R554C6</stp>
        <tr r="F554" s="2"/>
      </tp>
      <tp>
        <v>2824.02</v>
        <stp/>
        <stp>##V3_BDPV12</stp>
        <stp>SPX Index</stp>
        <stp>Px Ask</stp>
        <stp>[Pricing File.xlsm]TotalReturnPricing!R796C7</stp>
        <tr r="G796" s="2"/>
      </tp>
      <tp>
        <v>8.52</v>
        <stp/>
        <stp>##V3_BDPV12</stp>
        <stp>2282 HK Equity</stp>
        <stp>Px Last</stp>
        <stp>[Pricing File.xlsm]TotalReturnPricing!R93C5</stp>
        <tr r="E93" s="2"/>
      </tp>
      <tp>
        <v>1995.5</v>
        <stp/>
        <stp>##V3_BDPV12</stp>
        <stp>9201 JP Equity</stp>
        <stp>Px Ask</stp>
        <stp>[Pricing File.xlsm]TotalReturnPricing!R94C7</stp>
        <tr r="G94" s="2"/>
      </tp>
      <tp>
        <v>1990.5</v>
        <stp/>
        <stp>##V3_BDPV12</stp>
        <stp>9201 JP Equity</stp>
        <stp>Px Bid</stp>
        <stp>[Pricing File.xlsm]TotalReturnPricing!R94C6</stp>
        <tr r="F94" s="2"/>
      </tp>
      <tp t="s">
        <v>#N/A N/A</v>
        <stp/>
        <stp>##V3_BDPV12</stp>
        <stp>RTY Index</stp>
        <stp>Px Ask</stp>
        <stp>[Pricing File.xlsm]TotalReturnPricing!R794C7</stp>
        <tr r="G794" s="2"/>
      </tp>
      <tp>
        <v>83.21</v>
        <stp/>
        <stp>##V3_BDPV12</stp>
        <stp xml:space="preserve">ADI Equity </stp>
        <stp>Px Last</stp>
        <stp>[Pricing File.xlsm]TotalReturnPricing!R651C5</stp>
        <tr r="E651" s="2"/>
      </tp>
      <tp t="s">
        <v>#N/A Field Not Applicable</v>
        <stp/>
        <stp>##V3_BDPV12</stp>
        <stp>7752 JP Equity</stp>
        <stp>OPT_DELTA</stp>
        <stp>[Pricing File.xlsm]TotalReturnPricing!R808C8</stp>
        <tr r="H808" s="2"/>
      </tp>
      <tp t="s">
        <v>#N/A Field Not Applicable</v>
        <stp/>
        <stp>##V3_BDPV12</stp>
        <stp>ALGT Equity</stp>
        <stp>OPT_DELTA</stp>
        <stp>[Pricing File.xlsm]TotalReturnPricing!R63C8</stp>
        <tr r="H63" s="2"/>
      </tp>
      <tp>
        <v>1302</v>
        <stp/>
        <stp>##V3_BDPV12</stp>
        <stp>3863 JP Equity</stp>
        <stp>Px Last</stp>
        <stp>[Pricing File.xlsm]TotalReturnPricing!R96C5</stp>
        <tr r="E96" s="2"/>
      </tp>
      <tp>
        <v>1992.5</v>
        <stp/>
        <stp>##V3_BDPV12</stp>
        <stp>9201 JP Equity</stp>
        <stp>Px Last</stp>
        <stp>[Pricing File.xlsm]TotalReturnPricing!R94C5</stp>
        <tr r="E94" s="2"/>
      </tp>
      <tp t="s">
        <v>#N/A Field Not Applicable</v>
        <stp/>
        <stp>##V3_BDPV12</stp>
        <stp>ALGT Equity</stp>
        <stp>OPT_DELTA</stp>
        <stp>[Pricing File.xlsm]TotalReturnPricing!R44C8</stp>
        <tr r="H44" s="2"/>
      </tp>
      <tp>
        <v>705</v>
        <stp/>
        <stp>##V3_BDPV12</stp>
        <stp>7752 JP Equity</stp>
        <stp>Px Ask</stp>
        <stp>[Pricing File.xlsm]TotalReturnPricing!R95C7</stp>
        <tr r="G95" s="2"/>
      </tp>
      <tp>
        <v>1306</v>
        <stp/>
        <stp>##V3_BDPV12</stp>
        <stp>3863 JP Equity</stp>
        <stp>Px Ask</stp>
        <stp>[Pricing File.xlsm]TotalReturnPricing!R96C7</stp>
        <tr r="G96" s="2"/>
      </tp>
      <tp>
        <v>83.26</v>
        <stp/>
        <stp>##V3_BDPV12</stp>
        <stp xml:space="preserve">ADI Equity </stp>
        <stp>Px Ask</stp>
        <stp>[Pricing File.xlsm]TotalReturnPricing!R651C7</stp>
        <tr r="G651" s="2"/>
      </tp>
      <tp>
        <v>94</v>
        <stp/>
        <stp>##V3_BDPV12</stp>
        <stp xml:space="preserve">RH Equity </stp>
        <stp>Px Last</stp>
        <stp>[Pricing File.xlsm]TotalReturnPricing!R623C5</stp>
        <tr r="E623" s="2"/>
      </tp>
      <tp t="s">
        <v>#N/A Field Not Applicable</v>
        <stp/>
        <stp>##V3_BDPV12</stp>
        <stp>NEO FP Equity</stp>
        <stp>OPT_DELTA</stp>
        <stp>[Pricing File.xlsm]TotalReturnPricing!R74C8</stp>
        <tr r="H74" s="2"/>
      </tp>
      <tp>
        <v>700</v>
        <stp/>
        <stp>##V3_BDPV12</stp>
        <stp>7752 JP Equity</stp>
        <stp>Px Bid</stp>
        <stp>[Pricing File.xlsm]TotalReturnPricing!R95C6</stp>
        <tr r="F95" s="2"/>
      </tp>
      <tp>
        <v>1302</v>
        <stp/>
        <stp>##V3_BDPV12</stp>
        <stp>3863 JP Equity</stp>
        <stp>Px Bid</stp>
        <stp>[Pricing File.xlsm]TotalReturnPricing!R96C6</stp>
        <tr r="F96" s="2"/>
      </tp>
      <tp>
        <v>704</v>
        <stp/>
        <stp>##V3_BDPV12</stp>
        <stp>7752 JP Equity</stp>
        <stp>Px Last</stp>
        <stp>[Pricing File.xlsm]TotalReturnPricing!R95C5</stp>
        <tr r="E95" s="2"/>
      </tp>
      <tp t="s">
        <v>#N/A N/A</v>
        <stp/>
        <stp>##V3_BDPV12</stp>
        <stp>Z 200221P00054000 Equity</stp>
        <stp>OPT_DELTA</stp>
        <stp>[Pricing File.xlsm]TotalReturnPricing!R907C8</stp>
        <tr r="H907" s="2"/>
      </tp>
      <tp t="s">
        <v>#N/A Field Not Applicable</v>
        <stp/>
        <stp>##V3_BDPV12</stp>
        <stp>INFO IN Equity</stp>
        <stp>OPT_DELTA</stp>
        <stp>[Pricing File.xlsm]TotalReturnPricing!R64C8</stp>
        <tr r="H64" s="2"/>
      </tp>
      <tp t="s">
        <v>#N/A Field Not Applicable</v>
        <stp/>
        <stp>##V3_BDPV12</stp>
        <stp>TRVG Equity</stp>
        <stp>OPT_DELTA</stp>
        <stp>[Pricing File.xlsm]TotalReturnPricing!R49C8</stp>
        <tr r="H49" s="2"/>
      </tp>
      <tp t="s">
        <v>#N/A Field Not Applicable</v>
        <stp/>
        <stp>##V3_BDPV12</stp>
        <stp>VIV FP Equity</stp>
        <stp>OPT_DELTA</stp>
        <stp>[Pricing File.xlsm]TotalReturnPricing!R61C8</stp>
        <tr r="H61" s="2"/>
      </tp>
      <tp>
        <v>370</v>
        <stp/>
        <stp>##V3_BDPV12</stp>
        <stp>GVC LN Equity</stp>
        <stp>Px Last</stp>
        <stp>[Pricing File.xlsm]TotalReturnPricing!R106C5</stp>
        <tr r="E106" s="2"/>
      </tp>
      <tp t="s">
        <v>#N/A Field Not Applicable</v>
        <stp/>
        <stp>##V3_BDPV12</stp>
        <stp>ent Equity</stp>
        <stp>OPT_DELTA</stp>
        <stp>[Pricing File.xlsm]TotalReturnPricing!R152C8</stp>
        <tr r="H152" s="2"/>
      </tp>
      <tp>
        <v>6.87</v>
        <stp/>
        <stp>##V3_BDPV12</stp>
        <stp>ACQ.CN Equity</stp>
        <stp>Px Last</stp>
        <stp>[Pricing File.xlsm]TotalReturnPricing!R798C5</stp>
        <tr r="E798" s="2"/>
      </tp>
      <tp t="s">
        <v>#N/A N/A</v>
        <stp/>
        <stp>##V3_BDPV12</stp>
        <stp>RTY Index</stp>
        <stp>Px Bid</stp>
        <stp>[Pricing File.xlsm]TotalReturnPricing!R794C6</stp>
        <tr r="F794" s="2"/>
      </tp>
      <tp t="s">
        <v>#N/A Field Not Applicable</v>
        <stp/>
        <stp>##V3_BDPV12</stp>
        <stp>TRVG Equity</stp>
        <stp>OPT_DELTA</stp>
        <stp>[Pricing File.xlsm]TotalReturnPricing!R48C8</stp>
        <tr r="H48" s="2"/>
      </tp>
      <tp t="s">
        <v>#N/A Field Not Applicable</v>
        <stp/>
        <stp>##V3_BDPV12</stp>
        <stp>WJA CN Equity</stp>
        <stp>OPT_DELTA</stp>
        <stp>[Pricing File.xlsm]TotalReturnPricing!R54C8</stp>
        <tr r="H54" s="2"/>
      </tp>
      <tp>
        <v>2340.0700000000002</v>
        <stp/>
        <stp>##V3_BDPV12</stp>
        <stp>SPX Index</stp>
        <stp>Px Bid</stp>
        <stp>[Pricing File.xlsm]TotalReturnPricing!R796C6</stp>
        <tr r="F796" s="2"/>
      </tp>
      <tp>
        <v>9.65</v>
        <stp/>
        <stp>##V3_BDPV12</stp>
        <stp>FMG AU Equity</stp>
        <stp>Px Last</stp>
        <stp>[Pricing File.xlsm]TotalReturnPricing!R104C5</stp>
        <tr r="E104" s="2"/>
      </tp>
      <tp>
        <v>168.9</v>
        <stp/>
        <stp>##V3_BDPV12</stp>
        <stp>OTB LN Equity</stp>
        <stp>Px Last</stp>
        <stp>[Pricing File.xlsm]TotalReturnPricing!R784C5</stp>
        <tr r="E784" s="2"/>
      </tp>
      <tp>
        <v>0.62</v>
        <stp/>
        <stp>##V3_BDPV12</stp>
        <stp>716 HK Equity</stp>
        <stp>Px Last</stp>
        <stp>[Pricing File.xlsm]TotalReturnPricing!R62C5</stp>
        <tr r="E62" s="2"/>
      </tp>
      <tp>
        <v>15.62</v>
        <stp/>
        <stp>##V3_BDPV12</stp>
        <stp>SEK AU Equity</stp>
        <stp>Px Last</stp>
        <stp>[Pricing File.xlsm]TotalReturnPricing!R295C5</stp>
        <tr r="E295" s="2"/>
      </tp>
      <tp>
        <v>123.4</v>
        <stp/>
        <stp>##V3_BDPV12</stp>
        <stp>SAND SS Equity</stp>
        <stp>Px Last</stp>
        <stp>[Pricing File.xlsm]TotalReturnPricing!R725C5</stp>
        <tr r="E725" s="2"/>
      </tp>
      <tp>
        <v>84</v>
        <stp/>
        <stp>##V3_BDPV12</stp>
        <stp>888 LN Equity</stp>
        <stp>Px Last</stp>
        <stp>[Pricing File.xlsm]TotalReturnPricing!R102C5</stp>
        <tr r="E102" s="2"/>
      </tp>
      <tp t="s">
        <v>#N/A Field Not Applicable</v>
        <stp/>
        <stp>##V3_BDPV12</stp>
        <stp>EDR SM Equity</stp>
        <stp>OPT_DELTA</stp>
        <stp>[Pricing File.xlsm]TotalReturnPricing!R73C8</stp>
        <tr r="H73" s="2"/>
      </tp>
      <tp>
        <v>0.61</v>
        <stp/>
        <stp>##V3_BDPV12</stp>
        <stp>BBD/B CN Equity</stp>
        <stp>Px Ask</stp>
        <stp>[Pricing File.xlsm]TotalReturnPricing!R57C7</stp>
        <tr r="G57" s="2"/>
      </tp>
      <tp t="s">
        <v>#N/A Field Not Applicable</v>
        <stp/>
        <stp>##V3_BDPV12</stp>
        <stp>SDF GR Equity</stp>
        <stp>OPT_DELTA</stp>
        <stp>[Pricing File.xlsm]TotalReturnPricing!R71C8</stp>
        <tr r="H71" s="2"/>
      </tp>
      <tp>
        <v>12.14</v>
        <stp/>
        <stp>##V3_BDPV12</stp>
        <stp>1128 HK Equity</stp>
        <stp>Px Bid</stp>
        <stp>[Pricing File.xlsm]TotalReturnPricing!R92C6</stp>
        <tr r="F92" s="2"/>
      </tp>
      <tp>
        <v>29.76</v>
        <stp/>
        <stp>##V3_BDPV12</stp>
        <stp>UMI BB Equity</stp>
        <stp>Px Last</stp>
        <stp>[Pricing File.xlsm]TotalReturnPricing!R123C5</stp>
        <tr r="E123" s="2"/>
      </tp>
      <tp t="s">
        <v>#N/A Field Not Applicable</v>
        <stp/>
        <stp>##V3_BDPV12</stp>
        <stp>AF FP Equity</stp>
        <stp>OPT_DELTA</stp>
        <stp>[Pricing File.xlsm]TotalReturnPricing!R70C8</stp>
        <tr r="H70" s="2"/>
      </tp>
      <tp>
        <v>22.21</v>
        <stp/>
        <stp>##V3_BDPV12</stp>
        <stp>UPM FH Equity</stp>
        <stp>Px Last</stp>
        <stp>[Pricing File.xlsm]TotalReturnPricing!R103C5</stp>
        <tr r="E103" s="2"/>
      </tp>
      <tp t="s">
        <v>#N/A Field Not Applicable</v>
        <stp/>
        <stp>##V3_BDPV12</stp>
        <stp>GC CN Equity</stp>
        <stp>OPT_DELTA</stp>
        <stp>[Pricing File.xlsm]TotalReturnPricing!R55C8</stp>
        <tr r="H55" s="2"/>
      </tp>
      <tp>
        <v>157.05000000000001</v>
        <stp/>
        <stp>##V3_BDPV12</stp>
        <stp>PTEC LN Equity</stp>
        <stp>Px Last</stp>
        <stp>[Pricing File.xlsm]TotalReturnPricing!R100C5</stp>
        <tr r="E100" s="2"/>
      </tp>
      <tp>
        <v>12.16</v>
        <stp/>
        <stp>##V3_BDPV12</stp>
        <stp>1128 HK Equity</stp>
        <stp>Px Ask</stp>
        <stp>[Pricing File.xlsm]TotalReturnPricing!R92C7</stp>
        <tr r="G92" s="2"/>
      </tp>
      <tp>
        <v>65.94</v>
        <stp/>
        <stp>##V3_BDPV12</stp>
        <stp>WMH LN Equity</stp>
        <stp>Px Last</stp>
        <stp>[Pricing File.xlsm]TotalReturnPricing!R810C5</stp>
        <tr r="E810" s="2"/>
      </tp>
      <tp>
        <v>15.07</v>
        <stp/>
        <stp>##V3_BDPV12</stp>
        <stp>LIF CN Equity</stp>
        <stp>Px Last</stp>
        <stp>[Pricing File.xlsm]TotalReturnPricing!R290C5</stp>
        <tr r="E290" s="2"/>
      </tp>
      <tp>
        <v>83.21</v>
        <stp/>
        <stp>##V3_BDPV12</stp>
        <stp xml:space="preserve">ADI Equity </stp>
        <stp>Px Bid</stp>
        <stp>[Pricing File.xlsm]TotalReturnPricing!R651C6</stp>
        <tr r="F651" s="2"/>
      </tp>
      <tp t="s">
        <v>#N/A N/A</v>
        <stp/>
        <stp>##V3_BDPV12</stp>
        <stp>WJA CN Equity</stp>
        <stp>Px Last</stp>
        <stp>[Pricing File.xlsm]TotalReturnPricing!R361C5</stp>
        <tr r="E361" s="2"/>
      </tp>
      <tp>
        <v>25</v>
        <stp/>
        <stp>##V3_BDPV12</stp>
        <stp>ALM LN Equity</stp>
        <stp>Px Last</stp>
        <stp>[Pricing File.xlsm]TotalReturnPricing!R101C5</stp>
        <tr r="E101" s="2"/>
      </tp>
      <tp>
        <v>0.69</v>
        <stp/>
        <stp>##V3_BDPV12</stp>
        <stp>BBD/B CN Equity</stp>
        <stp>Px Bid</stp>
        <stp>[Pricing File.xlsm]TotalReturnPricing!R57C6</stp>
        <tr r="F57" s="2"/>
      </tp>
      <tp t="s">
        <v>#N/A Field Not Applicable</v>
        <stp/>
        <stp>##V3_BDPV12</stp>
        <stp>27 HK Equity</stp>
        <stp>OPT_DELTA</stp>
        <stp>[Pricing File.xlsm]TotalReturnPricing!R43C8</stp>
        <tr r="H43" s="2"/>
      </tp>
      <tp t="s">
        <v>#N/A Field Not Applicable</v>
        <stp/>
        <stp>##V3_BDPV12</stp>
        <stp>27 HK Equity</stp>
        <stp>OPT_DELTA</stp>
        <stp>[Pricing File.xlsm]TotalReturnPricing!R42C8</stp>
        <tr r="H42" s="2"/>
      </tp>
      <tp>
        <v>32.57</v>
        <stp/>
        <stp>##V3_BDPV12</stp>
        <stp xml:space="preserve">USB Equity </stp>
        <stp>Px Last</stp>
        <stp>[Pricing File.xlsm]TotalReturnPricing!R554C5</stp>
        <tr r="E554" s="2"/>
      </tp>
      <tp t="s">
        <v>#N/A Field Not Applicable</v>
        <stp/>
        <stp>##V3_BDPV12</stp>
        <stp>AC CN Equity</stp>
        <stp>OPT_DELTA</stp>
        <stp>[Pricing File.xlsm]TotalReturnPricing!R59C8</stp>
        <tr r="H59" s="2"/>
      </tp>
      <tp>
        <v>150.69999999999999</v>
        <stp/>
        <stp>##V3_BDPV12</stp>
        <stp xml:space="preserve">CI Equity </stp>
        <stp>Px Ask</stp>
        <stp>[Pricing File.xlsm]TotalReturnPricing!R760C7</stp>
        <tr r="G760" s="2"/>
      </tp>
      <tp t="s">
        <v>#N/A Field Not Applicable</v>
        <stp/>
        <stp>##V3_BDPV12</stp>
        <stp>1128 HK Equity</stp>
        <stp>OPT_DELTA</stp>
        <stp>[Pricing File.xlsm]TotalReturnPricing!R105C8</stp>
        <tr r="H105" s="2"/>
      </tp>
      <tp t="s">
        <v>#N/A Field Not Applicable</v>
        <stp/>
        <stp>##V3_BDPV12</stp>
        <stp>GRPN Equity</stp>
        <stp>OPT_DELTA</stp>
        <stp>[Pricing File.xlsm]TotalReturnPricing!R45C8</stp>
        <tr r="H45" s="2"/>
      </tp>
      <tp>
        <v>94.01</v>
        <stp/>
        <stp>##V3_BDPV12</stp>
        <stp xml:space="preserve">RH Equity </stp>
        <stp>Px Ask</stp>
        <stp>[Pricing File.xlsm]TotalReturnPricing!R623C7</stp>
        <tr r="G623" s="2"/>
      </tp>
      <tp t="s">
        <v>#N/A N/A</v>
        <stp/>
        <stp>##V3_BDPV12</stp>
        <stp>CCMP Index</stp>
        <stp>Px Ask</stp>
        <stp>[Pricing File.xlsm]TotalReturnPricing!R797C7</stp>
        <tr r="G797" s="2"/>
      </tp>
      <tp t="s">
        <v>#N/A Field Not Applicable</v>
        <stp/>
        <stp>##V3_BDPV12</stp>
        <stp>1128 HK Equity</stp>
        <stp>OPT_DELTA</stp>
        <stp>[Pricing File.xlsm]TotalReturnPricing!R814C8</stp>
        <tr r="H814" s="2"/>
      </tp>
      <tp t="s">
        <v>#N/A Field Not Applicable</v>
        <stp/>
        <stp>##V3_BDPV12</stp>
        <stp>TRUE Equity</stp>
        <stp>OPT_DELTA</stp>
        <stp>[Pricing File.xlsm]TotalReturnPricing!R41C8</stp>
        <tr r="H41" s="2"/>
      </tp>
      <tp t="s">
        <v>#N/A Field Not Applicable</v>
        <stp/>
        <stp>##V3_BDPV12</stp>
        <stp>NTDOY Equity</stp>
        <stp>OPT_DELTA</stp>
        <stp>[Pricing File.xlsm]TotalReturnPricing!R97C8</stp>
        <tr r="H97" s="2"/>
      </tp>
      <tp>
        <v>32.57</v>
        <stp/>
        <stp>##V3_BDPV12</stp>
        <stp xml:space="preserve">USB Equity </stp>
        <stp>Px Ask</stp>
        <stp>[Pricing File.xlsm]TotalReturnPricing!R554C7</stp>
        <tr r="G554" s="2"/>
      </tp>
      <tp>
        <v>8.5299999999999994</v>
        <stp/>
        <stp>##V3_BDPV12</stp>
        <stp>2282 HK Equity</stp>
        <stp>Px Ask</stp>
        <stp>[Pricing File.xlsm]TotalReturnPricing!R93C7</stp>
        <tr r="G93" s="2"/>
      </tp>
      <tp t="s">
        <v>#N/A Field Not Applicable</v>
        <stp/>
        <stp>##V3_BDPV12</stp>
        <stp>YOO CN Equity</stp>
        <stp>OPT_DELTA</stp>
        <stp>[Pricing File.xlsm]TotalReturnPricing!R56C8</stp>
        <tr r="H56" s="2"/>
      </tp>
      <tp>
        <v>8.52</v>
        <stp/>
        <stp>##V3_BDPV12</stp>
        <stp>2282 HK Equity</stp>
        <stp>Px Bid</stp>
        <stp>[Pricing File.xlsm]TotalReturnPricing!R93C6</stp>
        <tr r="F93" s="2"/>
      </tp>
      <tp t="s">
        <v>#N/A Field Not Applicable</v>
        <stp/>
        <stp>##V3_BDPV12</stp>
        <stp>PCYO Equity</stp>
        <stp>OPT_DELTA</stp>
        <stp>[Pricing File.xlsm]TotalReturnPricing!R98C8</stp>
        <tr r="H98" s="2"/>
      </tp>
      <tp t="s">
        <v>#N/A Field Not Applicable</v>
        <stp/>
        <stp>##V3_BDPV12</stp>
        <stp>WIZZ LN Equity</stp>
        <stp>OPT_DELTA</stp>
        <stp>[Pricing File.xlsm]TotalReturnPricing!R99C8</stp>
        <tr r="H99" s="2"/>
      </tp>
      <tp>
        <v>150.69</v>
        <stp/>
        <stp>##V3_BDPV12</stp>
        <stp xml:space="preserve">CI Equity </stp>
        <stp>Px Last</stp>
        <stp>[Pricing File.xlsm]TotalReturnPricing!R760C5</stp>
        <tr r="E760" s="2"/>
      </tp>
      <tp>
        <v>15.92</v>
        <stp/>
        <stp>##V3_BDPV12</stp>
        <stp>AAL Equity</stp>
        <stp>Px Ask</stp>
        <stp>[Pricing File.xlsm]TotalReturnPricing!R541C7</stp>
        <tr r="G541" s="2"/>
      </tp>
      <tp>
        <v>32.53</v>
        <stp/>
        <stp>##V3_BDPV12</stp>
        <stp>ALK Equity</stp>
        <stp>Px Ask</stp>
        <stp>[Pricing File.xlsm]TotalReturnPricing!R671C7</stp>
        <tr r="G671" s="2"/>
      </tp>
      <tp>
        <v>38.71</v>
        <stp/>
        <stp>##V3_BDPV12</stp>
        <stp>AMD Equity</stp>
        <stp>Px Ask</stp>
        <stp>[Pricing File.xlsm]TotalReturnPricing!R261C7</stp>
        <tr r="G261" s="2"/>
      </tp>
      <tp>
        <v>23.55</v>
        <stp/>
        <stp>##V3_BDPV12</stp>
        <stp>AVT Equity</stp>
        <stp>Px Ask</stp>
        <stp>[Pricing File.xlsm]TotalReturnPricing!R471C7</stp>
        <tr r="G471" s="2"/>
      </tp>
      <tp>
        <v>49.73</v>
        <stp/>
        <stp>##V3_BDPV12</stp>
        <stp>ARW Equity</stp>
        <stp>Px Ask</stp>
        <stp>[Pricing File.xlsm]TotalReturnPricing!R661C7</stp>
        <tr r="G661" s="2"/>
      </tp>
      <tp>
        <v>84.32</v>
        <stp/>
        <stp>##V3_BDPV12</stp>
        <stp>AYI Equity</stp>
        <stp>Px Ask</stp>
        <stp>[Pricing File.xlsm]TotalReturnPricing!R771C7</stp>
        <tr r="G771" s="2"/>
      </tp>
      <tp>
        <v>2.68</v>
        <stp/>
        <stp>##V3_BDPV12</stp>
        <stp>TRUE Equity</stp>
        <stp>Px Ask</stp>
        <stp>[Pricing File.xlsm]TotalReturnPricing!R311C7</stp>
        <tr r="G311" s="2"/>
      </tp>
      <tp>
        <v>0.44009999999999999</v>
        <stp/>
        <stp>##V3_BDPV12</stp>
        <stp>CBL Equity</stp>
        <stp>Px Ask</stp>
        <stp>[Pricing File.xlsm]TotalReturnPricing!R221C7</stp>
        <tr r="G221" s="2"/>
      </tp>
      <tp>
        <v>44.22</v>
        <stp/>
        <stp>##V3_BDPV12</stp>
        <stp>CAH Equity</stp>
        <stp>Px Ask</stp>
        <stp>[Pricing File.xlsm]TotalReturnPricing!R641C7</stp>
        <tr r="G641" s="2"/>
      </tp>
      <tp>
        <v>148.61000000000001</v>
        <stp/>
        <stp>##V3_BDPV12</stp>
        <stp>CME Equity</stp>
        <stp>Px Ask</stp>
        <stp>[Pricing File.xlsm]TotalReturnPricing!R721C7</stp>
        <tr r="G721" s="2"/>
      </tp>
      <tp>
        <v>10.33</v>
        <stp/>
        <stp>##V3_BDPV12</stp>
        <stp>CNQ Equity</stp>
        <stp>Px Ask</stp>
        <stp>[Pricing File.xlsm]TotalReturnPricing!R411C7</stp>
        <tr r="G411" s="2"/>
      </tp>
      <tp>
        <v>26.11</v>
        <stp/>
        <stp>##V3_BDPV12</stp>
        <stp>COP Equity</stp>
        <stp>Px Ask</stp>
        <stp>[Pricing File.xlsm]TotalReturnPricing!R501C7</stp>
        <tr r="G501" s="2"/>
      </tp>
      <tp>
        <v>17.760000000000002</v>
        <stp/>
        <stp>##V3_BDPV12</stp>
        <stp>BEN Equity</stp>
        <stp>Px Ask</stp>
        <stp>[Pricing File.xlsm]TotalReturnPricing!R511C7</stp>
        <tr r="G511" s="2"/>
      </tp>
      <tp>
        <v>63.84</v>
        <stp/>
        <stp>##V3_BDPV12</stp>
        <stp>BAH Equity</stp>
        <stp>Px Ask</stp>
        <stp>[Pricing File.xlsm]TotalReturnPricing!R431C7</stp>
        <tr r="G431" s="2"/>
      </tp>
      <tp>
        <v>57.32</v>
        <stp/>
        <stp>##V3_BDPV12</stp>
        <stp>BBY Equity</stp>
        <stp>Px Ask</stp>
        <stp>[Pricing File.xlsm]TotalReturnPricing!R571C7</stp>
        <tr r="G571" s="2"/>
      </tp>
      <tp>
        <v>1.7</v>
        <stp/>
        <stp>##V3_BDPV12</stp>
        <stp>BTN Equity</stp>
        <stp>Px Ask</stp>
        <stp>[Pricing File.xlsm]TotalReturnPricing!R191C7</stp>
        <tr r="G191" s="2"/>
      </tp>
      <tp>
        <v>10.82</v>
        <stp/>
        <stp>##V3_BDPV12</stp>
        <stp>BYD Equity</stp>
        <stp>Px Ask</stp>
        <stp>[Pricing File.xlsm]TotalReturnPricing!R371C7</stp>
        <tr r="G371" s="2"/>
      </tp>
      <tp>
        <v>5.62</v>
        <stp/>
        <stp>##V3_BDPV12</stp>
        <stp>EXE CT Equity</stp>
        <stp>Px Last</stp>
        <stp>[Pricing File.xlsm]TotalReturnPricing!R72C5</stp>
        <tr r="E72" s="2"/>
      </tp>
      <tp>
        <v>5.0519999999999996</v>
        <stp/>
        <stp>##V3_BDPV12</stp>
        <stp>SDF GR Equity</stp>
        <stp>Px Last</stp>
        <stp>[Pricing File.xlsm]TotalReturnPricing!R71C5</stp>
        <tr r="E71" s="2"/>
      </tp>
      <tp>
        <v>1.37</v>
        <stp/>
        <stp>##V3_BDPV12</stp>
        <stp>DVD Equity</stp>
        <stp>Px Ask</stp>
        <stp>[Pricing File.xlsm]TotalReturnPricing!R141C7</stp>
        <tr r="G141" s="2"/>
      </tp>
      <tp>
        <v>24.55</v>
        <stp/>
        <stp>##V3_BDPV12</stp>
        <stp>FBC Equity</stp>
        <stp>Px Ask</stp>
        <stp>[Pricing File.xlsm]TotalReturnPricing!R421C7</stp>
        <tr r="G421" s="2"/>
      </tp>
      <tp>
        <v>150.18</v>
        <stp/>
        <stp>##V3_BDPV12</stp>
        <stp>IAC Equity</stp>
        <stp>Px Ask</stp>
        <stp>[Pricing File.xlsm]TotalReturnPricing!R701C7</stp>
        <tr r="G701" s="2"/>
      </tp>
      <tp>
        <v>103.3</v>
        <stp/>
        <stp>##V3_BDPV12</stp>
        <stp>IWM Equity</stp>
        <stp>Px Ask</stp>
        <stp>[Pricing File.xlsm]TotalReturnPricing!R831C7</stp>
        <tr r="G831" s="2"/>
      </tp>
      <tp>
        <v>54.12</v>
        <stp/>
        <stp>##V3_BDPV12</stp>
        <stp>SYNA Equity</stp>
        <stp>Px Ask</stp>
        <stp>[Pricing File.xlsm]TotalReturnPricing!R566C7</stp>
        <tr r="G566" s="2"/>
      </tp>
      <tp>
        <v>36.71</v>
        <stp/>
        <stp>##V3_BDPV12</stp>
        <stp>KEX Equity</stp>
        <stp>Px Ask</stp>
        <stp>[Pricing File.xlsm]TotalReturnPricing!R591C7</stp>
        <tr r="G591" s="2"/>
      </tp>
      <tp>
        <v>54.95</v>
        <stp/>
        <stp>##V3_BDPV12</stp>
        <stp>KMX Equity</stp>
        <stp>Px Ask</stp>
        <stp>[Pricing File.xlsm]TotalReturnPricing!R611C7</stp>
        <tr r="G611" s="2"/>
      </tp>
      <tp>
        <v>0.3</v>
        <stp/>
        <stp>##V3_BDPV12</stp>
        <stp>HTZ 210115C00025000 Equity</stp>
        <stp>Px Ask</stp>
        <stp>[Pricing File.xlsm]TotalReturnPricing!R855C7</stp>
        <tr r="G855" s="2"/>
      </tp>
      <tp>
        <v>299.64</v>
        <stp/>
        <stp>##V3_BDPV12</stp>
        <stp>ORLY Equity</stp>
        <stp>Px Bid</stp>
        <stp>[Pricing File.xlsm]TotalReturnPricing!R770C6</stp>
        <tr r="F770" s="2"/>
      </tp>
      <tp>
        <v>53.75</v>
        <stp/>
        <stp>##V3_BDPV12</stp>
        <stp>OSK Equity</stp>
        <stp>Px Ask</stp>
        <stp>[Pricing File.xlsm]TotalReturnPricing!R621C7</stp>
        <tr r="G621" s="2"/>
      </tp>
      <tp t="s">
        <v>#N/A N/A</v>
        <stp/>
        <stp>##V3_BDPV12</stp>
        <stp>LYFT 200221P00042500 Equity</stp>
        <stp>Px Ask</stp>
        <stp>[Pricing File.xlsm]TotalReturnPricing!R879C7</stp>
        <tr r="G879" s="2"/>
      </tp>
      <tp t="s">
        <v>#N/A N/A</v>
        <stp/>
        <stp>##V3_BDPV12</stp>
        <stp>NCI Equity</stp>
        <stp>Px Ask</stp>
        <stp>[Pricing File.xlsm]TotalReturnPricing!R321C7</stp>
        <tr r="G321" s="2"/>
      </tp>
      <tp>
        <v>12.28</v>
        <stp/>
        <stp>##V3_BDPV12</stp>
        <stp>NWL Equity</stp>
        <stp>Px Ask</stp>
        <stp>[Pricing File.xlsm]TotalReturnPricing!R551C7</stp>
        <tr r="G551" s="2"/>
      </tp>
      <tp>
        <v>126.5</v>
        <stp/>
        <stp>##V3_BDPV12</stp>
        <stp>NSC Equity</stp>
        <stp>Px Ask</stp>
        <stp>[Pricing File.xlsm]TotalReturnPricing!R711C7</stp>
        <tr r="G711" s="2"/>
      </tp>
      <tp>
        <v>18.75</v>
        <stp/>
        <stp>##V3_BDPV12</stp>
        <stp>VCYT Equity</stp>
        <stp>Px Ask</stp>
        <stp>[Pricing File.xlsm]TotalReturnPricing!R213C7</stp>
        <tr r="G213" s="2"/>
      </tp>
      <tp>
        <v>0.2</v>
        <stp/>
        <stp>##V3_BDPV12</stp>
        <stp>SCIL Equity</stp>
        <stp>Px Ask</stp>
        <stp>[Pricing File.xlsm]TotalReturnPricing!R126C7</stp>
        <tr r="G126" s="2"/>
      </tp>
      <tp>
        <v>87.9</v>
        <stp/>
        <stp>##V3_BDPV12</stp>
        <stp>SBNY Equity</stp>
        <stp>Px Ask</stp>
        <stp>[Pricing File.xlsm]TotalReturnPricing!R736C7</stp>
        <tr r="G736" s="2"/>
      </tp>
      <tp>
        <v>9.14</v>
        <stp/>
        <stp>##V3_BDPV12</stp>
        <stp>IMAX Equity</stp>
        <stp>Px Bid</stp>
        <stp>[Pricing File.xlsm]TotalReturnPricing!R336C6</stp>
        <tr r="F336" s="2"/>
      </tp>
      <tp>
        <v>5.82</v>
        <stp/>
        <stp>##V3_BDPV12</stp>
        <stp>PAGP Equity</stp>
        <stp>Px Ask</stp>
        <stp>[Pricing File.xlsm]TotalReturnPricing!R385C7</stp>
        <tr r="G385" s="2"/>
      </tp>
      <tp>
        <v>1.96</v>
        <stp/>
        <stp>##V3_BDPV12</stp>
        <stp>SWN Equity</stp>
        <stp>Px Ask</stp>
        <stp>[Pricing File.xlsm]TotalReturnPricing!R801C7</stp>
        <tr r="G801" s="2"/>
      </tp>
      <tp>
        <v>1079.5999999999999</v>
        <stp/>
        <stp>##V3_BDPV12</stp>
        <stp>GOOG Equity</stp>
        <stp>Px Bid</stp>
        <stp>[Pricing File.xlsm]TotalReturnPricing!R788C6</stp>
        <tr r="F788" s="2"/>
      </tp>
      <tp>
        <v>24.13</v>
        <stp/>
        <stp>##V3_BDPV12</stp>
        <stp>MINI Equity</stp>
        <stp>Px Bid</stp>
        <stp>[Pricing File.xlsm]TotalReturnPricing!R402C6</stp>
        <tr r="F402" s="2"/>
      </tp>
      <tp>
        <v>26.46</v>
        <stp/>
        <stp>##V3_BDPV12</stp>
        <stp>WFC Equity</stp>
        <stp>Px Ask</stp>
        <stp>[Pricing File.xlsm]TotalReturnPricing!R561C7</stp>
        <tr r="G561" s="2"/>
      </tp>
      <tp>
        <v>30.05</v>
        <stp/>
        <stp>##V3_BDPV12</stp>
        <stp>WMS Equity</stp>
        <stp>Px Ask</stp>
        <stp>[Pricing File.xlsm]TotalReturnPricing!R331C7</stp>
        <tr r="G331" s="2"/>
      </tp>
      <tp>
        <v>3.41</v>
        <stp/>
        <stp>##V3_BDPV12</stp>
        <stp>WPX Equity</stp>
        <stp>Px Ask</stp>
        <stp>[Pricing File.xlsm]TotalReturnPricing!R231C7</stp>
        <tr r="G231" s="2"/>
      </tp>
      <tp>
        <v>311.27999999999997</v>
        <stp/>
        <stp>##V3_BDPV12</stp>
        <stp>MKTX Equity</stp>
        <stp>Px Bid</stp>
        <stp>[Pricing File.xlsm]TotalReturnPricing!R772C6</stp>
        <tr r="F772" s="2"/>
      </tp>
      <tp>
        <v>0.05</v>
        <stp/>
        <stp>##V3_BDPV12</stp>
        <stp>TKOI Equity</stp>
        <stp>Px Ask</stp>
        <stp>[Pricing File.xlsm]TotalReturnPricing!R121C7</stp>
        <tr r="G121" s="2"/>
      </tp>
      <tp>
        <v>6.88</v>
        <stp/>
        <stp>##V3_BDPV12</stp>
        <stp>PK Equity</stp>
        <stp>Px Bid</stp>
        <stp>[Pricing File.xlsm]TotalReturnPricing!R381C6</stp>
        <tr r="F381" s="2"/>
      </tp>
      <tp t="s">
        <v>#N/A N/A</v>
        <stp/>
        <stp>##V3_BDPV12</stp>
        <stp>XON Equity</stp>
        <stp>Px Ask</stp>
        <stp>[Pricing File.xlsm]TotalReturnPricing!R351C7</stp>
        <tr r="G351" s="2"/>
      </tp>
      <tp>
        <v>6.12</v>
        <stp/>
        <stp>##V3_BDPV12</stp>
        <stp>GT Equity</stp>
        <stp>Px Bid</stp>
        <stp>[Pricing File.xlsm]TotalReturnPricing!R441C6</stp>
        <tr r="F441" s="2"/>
      </tp>
      <tp>
        <v>55.08</v>
        <stp/>
        <stp>##V3_BDPV12</stp>
        <stp>XPO Equity</stp>
        <stp>Px Ask</stp>
        <stp>[Pricing File.xlsm]TotalReturnPricing!R581C7</stp>
        <tr r="G581" s="2"/>
      </tp>
      <tp>
        <v>6.81</v>
        <stp/>
        <stp>##V3_BDPV12</stp>
        <stp>AA Equity</stp>
        <stp>Px Bid</stp>
        <stp>[Pricing File.xlsm]TotalReturnPricing!R451C6</stp>
        <tr r="F451" s="2"/>
      </tp>
      <tp>
        <v>38.21</v>
        <stp/>
        <stp>##V3_BDPV12</stp>
        <stp>MO Equity</stp>
        <stp>Px Bid</stp>
        <stp>[Pricing File.xlsm]TotalReturnPricing!R811C6</stp>
        <tr r="F811" s="2"/>
      </tp>
      <tp>
        <v>3.04</v>
        <stp/>
        <stp>##V3_BDPV12</stp>
        <stp>AM Equity</stp>
        <stp>Px Bid</stp>
        <stp>[Pricing File.xlsm]TotalReturnPricing!R841C6</stp>
        <tr r="F841" s="2"/>
      </tp>
      <tp>
        <v>164.96</v>
        <stp/>
        <stp>##V3_BDPV12</stp>
        <stp>HD Equity</stp>
        <stp>Px Bid</stp>
        <stp>[Pricing File.xlsm]TotalReturnPricing!R741C6</stp>
        <tr r="F741" s="2"/>
      </tp>
      <tp>
        <v>57.36</v>
        <stp/>
        <stp>##V3_BDPV12</stp>
        <stp>SITE Equity</stp>
        <stp>Px Ask</stp>
        <stp>[Pricing File.xlsm]TotalReturnPricing!R826C7</stp>
        <tr r="G826" s="2"/>
      </tp>
      <tp>
        <v>95.67</v>
        <stp/>
        <stp>##V3_BDPV12</stp>
        <stp>FFIV Equity</stp>
        <stp>Px Bid</stp>
        <stp>[Pricing File.xlsm]TotalReturnPricing!R719C6</stp>
        <tr r="F719" s="2"/>
      </tp>
      <tp>
        <v>0.5</v>
        <stp/>
        <stp>##V3_BDPV12</stp>
        <stp>BKNG 200320C02000000 Equity</stp>
        <stp>Px Ask</stp>
        <stp>[Pricing File.xlsm]TotalReturnPricing!R904C7</stp>
        <tr r="G904" s="2"/>
      </tp>
      <tp>
        <v>106</v>
        <stp/>
        <stp>##V3_BDPV12</stp>
        <stp>JPY Curncy</stp>
        <stp>Px Ask</stp>
        <stp>[Pricing File.xlsm]TotalReturnPricing!R706C7</stp>
        <tr r="G706" s="2"/>
      </tp>
      <tp>
        <v>71.91</v>
        <stp/>
        <stp>##V3_BDPV12</stp>
        <stp>FCFS Equity</stp>
        <stp>Px Bid</stp>
        <stp>[Pricing File.xlsm]TotalReturnPricing!R579C6</stp>
        <tr r="F579" s="2"/>
      </tp>
      <tp>
        <v>8.99</v>
        <stp/>
        <stp>##V3_BDPV12</stp>
        <stp>PLAB Equity</stp>
        <stp>Px Ask</stp>
        <stp>[Pricing File.xlsm]TotalReturnPricing!R225C7</stp>
        <tr r="G225" s="2"/>
      </tp>
      <tp>
        <v>36.04</v>
        <stp/>
        <stp>##V3_BDPV12</stp>
        <stp>CMCSA Equity</stp>
        <stp>Px Last</stp>
        <stp>[Pricing File.xlsm]TotalReturnPricing!R478C5</stp>
        <tr r="E478" s="2"/>
      </tp>
      <tp>
        <v>7.78</v>
        <stp/>
        <stp>##V3_BDPV12</stp>
        <stp>VECO  Equity</stp>
        <stp>Px Ask</stp>
        <stp>[Pricing File.xlsm]TotalReturnPricing!R413C7</stp>
        <tr r="G413" s="2"/>
      </tp>
      <tp>
        <v>13.93</v>
        <stp/>
        <stp>##V3_BDPV12</stp>
        <stp>SSYS Equity</stp>
        <stp>Px Ask</stp>
        <stp>[Pricing File.xlsm]TotalReturnPricing!R367C7</stp>
        <tr r="G367" s="2"/>
      </tp>
      <tp>
        <v>36.11</v>
        <stp/>
        <stp>##V3_BDPV12</stp>
        <stp>ADS Equity</stp>
        <stp>Px Ask</stp>
        <stp>[Pricing File.xlsm]TotalReturnPricing!R780C7</stp>
        <tr r="G780" s="2"/>
      </tp>
      <tp>
        <v>12.66</v>
        <stp/>
        <stp>##V3_BDPV12</stp>
        <stp>CCU Equity</stp>
        <stp>Px Ask</stp>
        <stp>[Pricing File.xlsm]TotalReturnPricing!R380C7</stp>
        <tr r="G380" s="2"/>
      </tp>
      <tp>
        <v>14.57</v>
        <stp/>
        <stp>##V3_BDPV12</stp>
        <stp>CCL Equity</stp>
        <stp>Px Ask</stp>
        <stp>[Pricing File.xlsm]TotalReturnPricing!R610C7</stp>
        <tr r="G610" s="2"/>
      </tp>
      <tp>
        <v>131.44999999999999</v>
        <stp/>
        <stp>##V3_BDPV12</stp>
        <stp>CMI Equity</stp>
        <stp>Px Ask</stp>
        <stp>[Pricing File.xlsm]TotalReturnPricing!R820C7</stp>
        <tr r="G820" s="2"/>
      </tp>
      <tp>
        <v>49</v>
        <stp/>
        <stp>##V3_BDPV12</stp>
        <stp>CCK Equity</stp>
        <stp>Px Ask</stp>
        <stp>[Pricing File.xlsm]TotalReturnPricing!R580C7</stp>
        <tr r="G580" s="2"/>
      </tp>
      <tp>
        <v>44.22</v>
        <stp/>
        <stp>##V3_BDPV12</stp>
        <stp>CAH Equity</stp>
        <stp>Px Ask</stp>
        <stp>[Pricing File.xlsm]TotalReturnPricing!R640C7</stp>
        <tr r="G640" s="2"/>
      </tp>
      <tp>
        <v>26.1</v>
        <stp/>
        <stp>##V3_BDPV12</stp>
        <stp>CBT Equity</stp>
        <stp>Px Ask</stp>
        <stp>[Pricing File.xlsm]TotalReturnPricing!R560C7</stp>
        <tr r="G560" s="2"/>
      </tp>
      <tp>
        <v>0.20169999999999999</v>
        <stp/>
        <stp>##V3_BDPV12</stp>
        <stp>CHK Equity</stp>
        <stp>Px Ask</stp>
        <stp>[Pricing File.xlsm]TotalReturnPricing!R170C7</stp>
        <tr r="G170" s="2"/>
      </tp>
      <tp>
        <v>30.36</v>
        <stp/>
        <stp>##V3_BDPV12</stp>
        <stp>CNA Equity</stp>
        <stp>Px Ask</stp>
        <stp>[Pricing File.xlsm]TotalReturnPricing!R530C7</stp>
        <tr r="G530" s="2"/>
      </tp>
      <tp>
        <v>64.12</v>
        <stp/>
        <stp>##V3_BDPV12</stp>
        <stp>CRI Equity</stp>
        <stp>Px Ask</stp>
        <stp>[Pricing File.xlsm]TotalReturnPricing!R670C7</stp>
        <tr r="G670" s="2"/>
      </tp>
      <tp>
        <v>48.93</v>
        <stp/>
        <stp>##V3_BDPV12</stp>
        <stp>CSX Equity</stp>
        <stp>Px Ask</stp>
        <stp>[Pricing File.xlsm]TotalReturnPricing!R540C7</stp>
        <tr r="G540" s="2"/>
      </tp>
      <tp>
        <v>2.54</v>
        <stp/>
        <stp>##V3_BDPV12</stp>
        <stp>CYH Equity</stp>
        <stp>Px Ask</stp>
        <stp>[Pricing File.xlsm]TotalReturnPricing!R200C7</stp>
        <tr r="G200" s="2"/>
      </tp>
      <tp t="s">
        <v>#N/A N/A</v>
        <stp/>
        <stp>##V3_BDPV12</stp>
        <stp>TPGH Equity</stp>
        <stp>Px Ask</stp>
        <stp>[Pricing File.xlsm]TotalReturnPricing!R840C7</stp>
        <tr r="G840" s="2"/>
      </tp>
      <tp>
        <v>57.32</v>
        <stp/>
        <stp>##V3_BDPV12</stp>
        <stp>BBY Equity</stp>
        <stp>Px Ask</stp>
        <stp>[Pricing File.xlsm]TotalReturnPricing!R570C7</stp>
        <tr r="G570" s="2"/>
      </tp>
      <tp t="s">
        <v>#N/A N/A</v>
        <stp/>
        <stp>##V3_BDPV12</stp>
        <stp>BKS Equity</stp>
        <stp>Px Ask</stp>
        <stp>[Pricing File.xlsm]TotalReturnPricing!R210C7</stp>
        <tr r="G210" s="2"/>
      </tp>
      <tp>
        <v>46.17</v>
        <stp/>
        <stp>##V3_BDPV12</stp>
        <stp>EIX Equity</stp>
        <stp>Px Ask</stp>
        <stp>[Pricing File.xlsm]TotalReturnPricing!R650C7</stp>
        <tr r="G650" s="2"/>
      </tp>
      <tp>
        <v>0.1037</v>
        <stp/>
        <stp>##V3_BDPV12</stp>
        <stp>ENT Equity</stp>
        <stp>Px Ask</stp>
        <stp>[Pricing File.xlsm]TotalReturnPricing!R110C7</stp>
        <tr r="G110" s="2"/>
      </tp>
      <tp>
        <v>53.12</v>
        <stp/>
        <stp>##V3_BDPV12</stp>
        <stp>EXP Equity</stp>
        <stp>Px Ask</stp>
        <stp>[Pricing File.xlsm]TotalReturnPricing!R680C7</stp>
        <tr r="G680" s="2"/>
      </tp>
      <tp>
        <v>1.59</v>
        <stp/>
        <stp>##V3_BDPV12</stp>
        <stp>DSX Equity</stp>
        <stp>Px Ask</stp>
        <stp>[Pricing File.xlsm]TotalReturnPricing!R160C7</stp>
        <tr r="G160" s="2"/>
      </tp>
      <tp>
        <v>1.37</v>
        <stp/>
        <stp>##V3_BDPV12</stp>
        <stp>DVD Equity</stp>
        <stp>Px Ask</stp>
        <stp>[Pricing File.xlsm]TotalReturnPricing!R140C7</stp>
        <tr r="G140" s="2"/>
      </tp>
      <tp t="s">
        <v>#N/A N/A</v>
        <stp/>
        <stp>##V3_BDPV12</stp>
        <stp>FII Equity</stp>
        <stp>Px Ask</stp>
        <stp>[Pricing File.xlsm]TotalReturnPricing!R400C7</stp>
        <tr r="G400" s="2"/>
      </tp>
      <tp>
        <v>1.76</v>
        <stp/>
        <stp>##V3_BDPV12</stp>
        <stp>LTRX Equity</stp>
        <stp>Px Bid</stp>
        <stp>[Pricing File.xlsm]TotalReturnPricing!R142C6</stp>
        <tr r="F142" s="2"/>
      </tp>
      <tp>
        <v>101.49</v>
        <stp/>
        <stp>##V3_BDPV12</stp>
        <stp>IFF Equity</stp>
        <stp>Px Ask</stp>
        <stp>[Pricing File.xlsm]TotalReturnPricing!R730C7</stp>
        <tr r="G730" s="2"/>
      </tp>
      <tp>
        <v>99.09</v>
        <stp/>
        <stp>##V3_BDPV12</stp>
        <stp>IBM Equity</stp>
        <stp>Px Ask</stp>
        <stp>[Pricing File.xlsm]TotalReturnPricing!R740C7</stp>
        <tr r="G740" s="2"/>
      </tp>
      <tp>
        <v>9.68</v>
        <stp/>
        <stp>##V3_BDPV12</stp>
        <stp>HST Equity</stp>
        <stp>Px Ask</stp>
        <stp>[Pricing File.xlsm]TotalReturnPricing!R310C7</stp>
        <tr r="G310" s="2"/>
      </tp>
      <tp>
        <v>0.05</v>
        <stp/>
        <stp>##V3_BDPV12</stp>
        <stp>HTZ 200320C00021000 Equity</stp>
        <stp>Px Ask</stp>
        <stp>[Pricing File.xlsm]TotalReturnPricing!R902C7</stp>
        <tr r="G902" s="2"/>
      </tp>
      <tp>
        <v>28.79</v>
        <stp/>
        <stp>##V3_BDPV12</stp>
        <stp>KNX Equity</stp>
        <stp>Px Ask</stp>
        <stp>[Pricing File.xlsm]TotalReturnPricing!R440C7</stp>
        <tr r="G440" s="2"/>
      </tp>
      <tp>
        <v>0.15</v>
        <stp/>
        <stp>##V3_BDPV12</stp>
        <stp>EXPE 200320C00110000 Equity</stp>
        <stp>Px Ask</stp>
        <stp>[Pricing File.xlsm]TotalReturnPricing!R892C7</stp>
        <tr r="G892" s="2"/>
      </tp>
      <tp t="s">
        <v>#N/A N/A</v>
        <stp/>
        <stp>##V3_BDPV12</stp>
        <stp>TRIP 200320C00031500 Equity</stp>
        <stp>Px Bid</stp>
        <stp>[Pricing File.xlsm]TotalReturnPricing!R888C6</stp>
        <tr r="F888" s="2"/>
      </tp>
      <tp>
        <v>9.9499999999999993</v>
        <stp/>
        <stp>##V3_BDPV12</stp>
        <stp>MOS Equity</stp>
        <stp>Px Ask</stp>
        <stp>[Pricing File.xlsm]TotalReturnPricing!R360C7</stp>
        <tr r="G360" s="2"/>
      </tp>
      <tp>
        <v>3.68</v>
        <stp/>
        <stp>##V3_BDPV12</stp>
        <stp>LQDT Equity</stp>
        <stp>Px Bid</stp>
        <stp>[Pricing File.xlsm]TotalReturnPricing!R192C6</stp>
        <tr r="F192" s="2"/>
      </tp>
      <tp>
        <v>17.739999999999998</v>
        <stp/>
        <stp>##V3_BDPV12</stp>
        <stp>MRVL Equity</stp>
        <stp>Px Bid</stp>
        <stp>[Pricing File.xlsm]TotalReturnPricing!R283C6</stp>
        <tr r="F283" s="2"/>
      </tp>
      <tp>
        <v>0.68</v>
        <stp/>
        <stp>##V3_BDPV12</stp>
        <stp>GRPN Equity</stp>
        <stp>Px Bid</stp>
        <stp>[Pricing File.xlsm]TotalReturnPricing!R159C6</stp>
        <tr r="F159" s="2"/>
      </tp>
      <tp t="s">
        <v>#N/A N/A</v>
        <stp/>
        <stp>##V3_BDPV12</stp>
        <stp>NCI Equity</stp>
        <stp>Px Ask</stp>
        <stp>[Pricing File.xlsm]TotalReturnPricing!R320C7</stp>
        <tr r="G320" s="2"/>
      </tp>
      <tp>
        <v>10.28</v>
        <stp/>
        <stp>##V3_BDPV12</stp>
        <stp>NWS Equity</stp>
        <stp>Px Ask</stp>
        <stp>[Pricing File.xlsm]TotalReturnPricing!R270C7</stp>
        <tr r="G270" s="2"/>
      </tp>
      <tp>
        <v>19.739999999999998</v>
        <stp/>
        <stp>##V3_BDPV12</stp>
        <stp>GLPI Equity</stp>
        <stp>Px Bid</stp>
        <stp>[Pricing File.xlsm]TotalReturnPricing!R459C6</stp>
        <tr r="F459" s="2"/>
      </tp>
      <tp>
        <v>64.510000000000005</v>
        <stp/>
        <stp>##V3_BDPV12</stp>
        <stp>QCOM Equity</stp>
        <stp>Px Ask</stp>
        <stp>[Pricing File.xlsm]TotalReturnPricing!R555C7</stp>
        <tr r="G555" s="2"/>
      </tp>
      <tp>
        <v>28.69</v>
        <stp/>
        <stp>##V3_BDPV12</stp>
        <stp>PAG Equity</stp>
        <stp>Px Ask</stp>
        <stp>[Pricing File.xlsm]TotalReturnPricing!R500C7</stp>
        <tr r="G500" s="2"/>
      </tp>
      <tp>
        <v>43.35</v>
        <stp/>
        <stp>##V3_BDPV12</stp>
        <stp>PRU Equity</stp>
        <stp>Px Ask</stp>
        <stp>[Pricing File.xlsm]TotalReturnPricing!R710C7</stp>
        <tr r="G710" s="2"/>
      </tp>
      <tp>
        <v>82.43</v>
        <stp/>
        <stp>##V3_BDPV12</stp>
        <stp>PPG Equity</stp>
        <stp>Px Ask</stp>
        <stp>[Pricing File.xlsm]TotalReturnPricing!R700C7</stp>
        <tr r="G700" s="2"/>
      </tp>
      <tp>
        <v>11.66</v>
        <stp/>
        <stp>##V3_BDPV12</stp>
        <stp>SAVE Equity</stp>
        <stp>Px Ask</stp>
        <stp>[Pricing File.xlsm]TotalReturnPricing!R107C7</stp>
        <tr r="G107" s="2"/>
      </tp>
      <tp>
        <v>44.54</v>
        <stp/>
        <stp>##V3_BDPV12</stp>
        <stp>INTC Equity</stp>
        <stp>Px Bid</stp>
        <stp>[Pricing File.xlsm]TotalReturnPricing!R437C6</stp>
        <tr r="F437" s="2"/>
      </tp>
      <tp>
        <v>223.42</v>
        <stp/>
        <stp>##V3_BDPV12</stp>
        <stp>INTU Equity</stp>
        <stp>Px Bid</stp>
        <stp>[Pricing File.xlsm]TotalReturnPricing!R737C6</stp>
        <tr r="F737" s="2"/>
      </tp>
      <tp>
        <v>4.53</v>
        <stp/>
        <stp>##V3_BDPV12</stp>
        <stp>GNMK Equity</stp>
        <stp>Px Bid</stp>
        <stp>[Pricing File.xlsm]TotalReturnPricing!R239C6</stp>
        <tr r="F239" s="2"/>
      </tp>
      <tp>
        <v>2.4500000000000002</v>
        <stp/>
        <stp>##V3_BDPV12</stp>
        <stp>PACB Equity</stp>
        <stp>Px Ask</stp>
        <stp>[Pricing File.xlsm]TotalReturnPricing!R154C7</stp>
        <tr r="G154" s="2"/>
      </tp>
      <tp>
        <v>2.79</v>
        <stp/>
        <stp>##V3_BDPV12</stp>
        <stp>HOME Equity</stp>
        <stp>Px Bid</stp>
        <stp>[Pricing File.xlsm]TotalReturnPricing!R806C6</stp>
        <tr r="F806" s="2"/>
      </tp>
      <tp>
        <v>40.26</v>
        <stp/>
        <stp>##V3_BDPV12</stp>
        <stp>RIO Equity</stp>
        <stp>Px Ask</stp>
        <stp>[Pricing File.xlsm]TotalReturnPricing!R510C7</stp>
        <tr r="G510" s="2"/>
      </tp>
      <tp>
        <v>66.599999999999994</v>
        <stp/>
        <stp>##V3_BDPV12</stp>
        <stp>RJF Equity</stp>
        <stp>Px Ask</stp>
        <stp>[Pricing File.xlsm]TotalReturnPricing!R660C7</stp>
        <tr r="G660" s="2"/>
      </tp>
      <tp>
        <v>57.83</v>
        <stp/>
        <stp>##V3_BDPV12</stp>
        <stp>RPM Equity</stp>
        <stp>Px Ask</stp>
        <stp>[Pricing File.xlsm]TotalReturnPricing!R550C7</stp>
        <tr r="G550" s="2"/>
      </tp>
      <tp t="s">
        <v>#N/A N/A</v>
        <stp/>
        <stp>##V3_BDPV12</stp>
        <stp>GHDX Equity</stp>
        <stp>Px Bid</stp>
        <stp>[Pricing File.xlsm]TotalReturnPricing!R419C6</stp>
        <tr r="F419" s="2"/>
      </tp>
      <tp>
        <v>83.23</v>
        <stp/>
        <stp>##V3_BDPV12</stp>
        <stp>URI Equity</stp>
        <stp>Px Ask</stp>
        <stp>[Pricing File.xlsm]TotalReturnPricing!R720C7</stp>
        <tr r="G720" s="2"/>
      </tp>
      <tp>
        <v>14.34</v>
        <stp/>
        <stp>##V3_BDPV12</stp>
        <stp>TEX Equity</stp>
        <stp>Px Ask</stp>
        <stp>[Pricing File.xlsm]TotalReturnPricing!R470C7</stp>
        <tr r="G470" s="2"/>
      </tp>
      <tp>
        <v>16.420000000000002</v>
        <stp/>
        <stp>##V3_BDPV12</stp>
        <stp>TRN Equity</stp>
        <stp>Px Ask</stp>
        <stp>[Pricing File.xlsm]TotalReturnPricing!R390C7</stp>
        <tr r="G390" s="2"/>
      </tp>
      <tp>
        <v>39.36</v>
        <stp/>
        <stp>##V3_BDPV12</stp>
        <stp>TPX Equity</stp>
        <stp>Px Ask</stp>
        <stp>[Pricing File.xlsm]TotalReturnPricing!R590C7</stp>
        <tr r="G590" s="2"/>
      </tp>
      <tp>
        <v>9.31</v>
        <stp/>
        <stp>##V3_BDPV12</stp>
        <stp>RECN Equity</stp>
        <stp>Px Ask</stp>
        <stp>[Pricing File.xlsm]TotalReturnPricing!R256C7</stp>
        <tr r="G256" s="2"/>
      </tp>
      <tp>
        <v>2.76</v>
        <stp/>
        <stp>##V3_BDPV12</stp>
        <stp>WIT Equity</stp>
        <stp>Px Ask</stp>
        <stp>[Pricing File.xlsm]TotalReturnPricing!R180C7</stp>
        <tr r="G180" s="2"/>
      </tp>
      <tp t="s">
        <v>#N/A N/A</v>
        <stp/>
        <stp>##V3_BDPV12</stp>
        <stp>WEX 200221C00220000 Equity</stp>
        <stp>Px Ask</stp>
        <stp>[Pricing File.xlsm]TotalReturnPricing!R852C7</stp>
        <tr r="G852" s="2"/>
      </tp>
      <tp>
        <v>13.74</v>
        <stp/>
        <stp>##V3_BDPV12</stp>
        <stp>RDFN Equity</stp>
        <stp>Px Ask</stp>
        <stp>[Pricing File.xlsm]TotalReturnPricing!R836C7</stp>
        <tr r="G836" s="2"/>
      </tp>
      <tp>
        <v>129.6</v>
        <stp/>
        <stp>##V3_BDPV12</stp>
        <stp>BA Equity</stp>
        <stp>Px Bid</stp>
        <stp>[Pricing File.xlsm]TotalReturnPricing!R420C6</stp>
        <tr r="F420" s="2"/>
      </tp>
      <tp>
        <v>187.13</v>
        <stp/>
        <stp>##V3_BDPV12</stp>
        <stp>CP Equity</stp>
        <stp>Px Bid</stp>
        <stp>[Pricing File.xlsm]TotalReturnPricing!R750C6</stp>
        <tr r="F750" s="2"/>
      </tp>
      <tp t="s">
        <v>#N/A N/A</v>
        <stp/>
        <stp>##V3_BDPV12</stp>
        <stp>HK Equity</stp>
        <stp>Px Bid</stp>
        <stp>[Pricing File.xlsm]TotalReturnPricing!R190C6</stp>
        <tr r="F190" s="2"/>
      </tp>
      <tp>
        <v>27.22</v>
        <stp/>
        <stp>##V3_BDPV12</stp>
        <stp>MC Equity</stp>
        <stp>Px Bid</stp>
        <stp>[Pricing File.xlsm]TotalReturnPricing!R480C6</stp>
        <tr r="F480" s="2"/>
      </tp>
      <tp t="s">
        <v>#N/A N/A</v>
        <stp/>
        <stp>##V3_BDPV12</stp>
        <stp>MB Equity</stp>
        <stp>Px Bid</stp>
        <stp>[Pricing File.xlsm]TotalReturnPricing!R370C6</stp>
        <tr r="F370" s="2"/>
      </tp>
      <tp>
        <v>54.74</v>
        <stp/>
        <stp>##V3_BDPV12</stp>
        <stp>ZEN Equity</stp>
        <stp>Px Ask</stp>
        <stp>[Pricing File.xlsm]TotalReturnPricing!R410C7</stp>
        <tr r="G410" s="2"/>
      </tp>
      <tp>
        <v>75.37</v>
        <stp/>
        <stp>##V3_BDPV12</stp>
        <stp>JBHT Equity</stp>
        <stp>Px Bid</stp>
        <stp>[Pricing File.xlsm]TotalReturnPricing!R674C6</stp>
        <tr r="F674" s="2"/>
      </tp>
      <tp>
        <v>583.15</v>
        <stp/>
        <stp>##V3_BDPV12</stp>
        <stp>INFO IN Equity</stp>
        <stp>Px Ask</stp>
        <stp>[Pricing File.xlsm]TotalReturnPricing!R64C7</stp>
        <tr r="G64" s="2"/>
      </tp>
      <tp>
        <v>36.03</v>
        <stp/>
        <stp>##V3_BDPV12</stp>
        <stp>CMCSA Equity</stp>
        <stp>Px Ask</stp>
        <stp>[Pricing File.xlsm]TotalReturnPricing!R478C7</stp>
        <tr r="G478" s="2"/>
      </tp>
      <tp t="s">
        <v>#N/A Field Not Applicable</v>
        <stp/>
        <stp>##V3_BDPV12</stp>
        <stp>H Equity</stp>
        <stp>OPT_DELTA</stp>
        <stp>[Pricing File.xlsm]TotalReturnPricing!R562C8</stp>
        <tr r="H562" s="2"/>
      </tp>
      <tp>
        <v>67.459999999999994</v>
        <stp/>
        <stp>##V3_BDPV12</stp>
        <stp>TSCO Equity</stp>
        <stp>Px Ask</stp>
        <stp>[Pricing File.xlsm]TotalReturnPricing!R573C7</stp>
        <tr r="G573" s="2"/>
      </tp>
      <tp>
        <v>80.5</v>
        <stp/>
        <stp>##V3_BDPV12</stp>
        <stp>ABC Equity</stp>
        <stp>Px Ask</stp>
        <stp>[Pricing File.xlsm]TotalReturnPricing!R113C7</stp>
        <tr r="G113" s="2"/>
      </tp>
      <tp>
        <v>70.58</v>
        <stp/>
        <stp>##V3_BDPV12</stp>
        <stp>AMN Equity</stp>
        <stp>Px Ask</stp>
        <stp>[Pricing File.xlsm]TotalReturnPricing!R463C7</stp>
        <tr r="G463" s="2"/>
      </tp>
      <tp>
        <v>202.75</v>
        <stp/>
        <stp>##V3_BDPV12</stp>
        <stp>AMT Equity</stp>
        <stp>Px Ask</stp>
        <stp>[Pricing File.xlsm]TotalReturnPricing!R733C7</stp>
        <tr r="G733" s="2"/>
      </tp>
      <tp>
        <v>85.87</v>
        <stp/>
        <stp>##V3_BDPV12</stp>
        <stp>AXP Equity</stp>
        <stp>Px Ask</stp>
        <stp>[Pricing File.xlsm]TotalReturnPricing!R663C7</stp>
        <tr r="G663" s="2"/>
      </tp>
      <tp>
        <v>6.51</v>
        <stp/>
        <stp>##V3_BDPV12</stp>
        <stp>RRTS Equity</stp>
        <stp>Px Ask</stp>
        <stp>[Pricing File.xlsm]TotalReturnPricing!R195C7</stp>
        <tr r="G195" s="2"/>
      </tp>
      <tp>
        <v>46.95</v>
        <stp/>
        <stp>##V3_BDPV12</stp>
        <stp>PRSC Equity</stp>
        <stp>Px Ask</stp>
        <stp>[Pricing File.xlsm]TotalReturnPricing!R547C7</stp>
        <tr r="G547" s="2"/>
      </tp>
      <tp t="s">
        <v>#N/A N/A</v>
        <stp/>
        <stp>##V3_BDPV12</stp>
        <stp>CLD Equity</stp>
        <stp>Px Ask</stp>
        <stp>[Pricing File.xlsm]TotalReturnPricing!R813C7</stp>
        <tr r="G813" s="2"/>
      </tp>
      <tp>
        <v>27.19</v>
        <stp/>
        <stp>##V3_BDPV12</stp>
        <stp>CAG Equity</stp>
        <stp>Px Ask</stp>
        <stp>[Pricing File.xlsm]TotalReturnPricing!R433C7</stp>
        <tr r="G433" s="2"/>
      </tp>
      <tp>
        <v>3.98</v>
        <stp/>
        <stp>##V3_BDPV12</stp>
        <stp>CLF Equity</stp>
        <stp>Px Ask</stp>
        <stp>[Pricing File.xlsm]TotalReturnPricing!R203C7</stp>
        <tr r="G203" s="2"/>
      </tp>
      <tp>
        <v>6.07</v>
        <stp/>
        <stp>##V3_BDPV12</stp>
        <stp>CZR Equity</stp>
        <stp>Px Ask</stp>
        <stp>[Pricing File.xlsm]TotalReturnPricing!R803C7</stp>
        <tr r="G803" s="2"/>
      </tp>
      <tp>
        <v>124.3</v>
        <stp/>
        <stp>##V3_BDPV12</stp>
        <stp>CRM Equity</stp>
        <stp>Px Ask</stp>
        <stp>[Pricing File.xlsm]TotalReturnPricing!R673C7</stp>
        <tr r="G673" s="2"/>
      </tp>
      <tp>
        <v>95.71</v>
        <stp/>
        <stp>##V3_BDPV12</stp>
        <stp>SPLK Equity</stp>
        <stp>Px Ask</stp>
        <stp>[Pricing File.xlsm]TotalReturnPricing!R584C7</stp>
        <tr r="G584" s="2"/>
      </tp>
      <tp>
        <v>357.28</v>
        <stp/>
        <stp>##V3_BDPV12</stp>
        <stp>BLK Equity</stp>
        <stp>Px Ask</stp>
        <stp>[Pricing File.xlsm]TotalReturnPricing!R783C7</stp>
        <tr r="G783" s="2"/>
      </tp>
      <tp>
        <v>71.709999999999994</v>
        <stp/>
        <stp>##V3_BDPV12</stp>
        <stp>TWLO Equity</stp>
        <stp>Px Ask</stp>
        <stp>[Pricing File.xlsm]TotalReturnPricing!R403C7</stp>
        <tr r="G403" s="2"/>
      </tp>
      <tp t="s">
        <v>#N/A N/A</v>
        <stp/>
        <stp>##V3_BDPV12</stp>
        <stp>WJA CN Equity</stp>
        <stp>Px Last</stp>
        <stp>[Pricing File.xlsm]TotalReturnPricing!R54C5</stp>
        <tr r="E54" s="2"/>
      </tp>
      <tp>
        <v>50.85</v>
        <stp/>
        <stp>##V3_BDPV12</stp>
        <stp>DOX Equity</stp>
        <stp>Px Ask</stp>
        <stp>[Pricing File.xlsm]TotalReturnPricing!R613C7</stp>
        <tr r="G613" s="2"/>
      </tp>
      <tp>
        <v>95.01</v>
        <stp/>
        <stp>##V3_BDPV12</stp>
        <stp>DIS Equity</stp>
        <stp>Px Ask</stp>
        <stp>[Pricing File.xlsm]TotalReturnPricing!R703C7</stp>
        <tr r="G703" s="2"/>
      </tp>
      <tp>
        <v>0.29509999999999997</v>
        <stp/>
        <stp>##V3_BDPV12</stp>
        <stp>DNR Equity</stp>
        <stp>Px Ask</stp>
        <stp>[Pricing File.xlsm]TotalReturnPricing!R133C7</stp>
        <tr r="G133" s="2"/>
      </tp>
      <tp>
        <v>3.69</v>
        <stp/>
        <stp>##V3_BDPV12</stp>
        <stp>EZPW Equity</stp>
        <stp>Px Bid</stp>
        <stp>[Pricing File.xlsm]TotalReturnPricing!R208C6</stp>
        <tr r="F208" s="2"/>
      </tp>
      <tp>
        <v>90.5</v>
        <stp/>
        <stp>##V3_BDPV12</stp>
        <stp>FDX Equity</stp>
        <stp>Px Ask</stp>
        <stp>[Pricing File.xlsm]TotalReturnPricing!R773C7</stp>
        <tr r="G773" s="2"/>
      </tp>
      <tp t="s">
        <v>#N/A Field Not Applicable</v>
        <stp/>
        <stp>##V3_BDPV12</stp>
        <stp>USGG30YR Index</stp>
        <stp>OPT_DELTA</stp>
        <stp>[Pricing File.xlsm]TotalReturnPricing!R151C8</stp>
        <tr r="H151" s="2"/>
      </tp>
      <tp>
        <v>0.9</v>
        <stp/>
        <stp>##V3_BDPV12</stp>
        <stp>EXPE 200717C00120000 Equity</stp>
        <stp>Px Ask</stp>
        <stp>[Pricing File.xlsm]TotalReturnPricing!R905C7</stp>
        <tr r="G905" s="2"/>
      </tp>
      <tp>
        <v>5.35</v>
        <stp/>
        <stp>##V3_BDPV12</stp>
        <stp>IGT Equity</stp>
        <stp>Px Ask</stp>
        <stp>[Pricing File.xlsm]TotalReturnPricing!R323C7</stp>
        <tr r="G323" s="2"/>
      </tp>
      <tp t="s">
        <v>#N/A N/A</v>
        <stp/>
        <stp>##V3_BDPV12</stp>
        <stp>ITG Equity</stp>
        <stp>Px Ask</stp>
        <stp>[Pricing File.xlsm]TotalReturnPricing!R343C7</stp>
        <tr r="G343" s="2"/>
      </tp>
      <tp>
        <v>0.1079</v>
        <stp/>
        <stp>##V3_BDPV12</stp>
        <stp>HUSA Equity</stp>
        <stp>Px Bid</stp>
        <stp>[Pricing File.xlsm]TotalReturnPricing!R125C6</stp>
        <tr r="F125" s="2"/>
      </tp>
      <tp>
        <v>5.94</v>
        <stp/>
        <stp>##V3_BDPV12</stp>
        <stp>HAL Equity</stp>
        <stp>Px Ask</stp>
        <stp>[Pricing File.xlsm]TotalReturnPricing!R493C7</stp>
        <tr r="G493" s="2"/>
      </tp>
      <tp>
        <v>84.45</v>
        <stp/>
        <stp>##V3_BDPV12</stp>
        <stp>HCA Equity</stp>
        <stp>Px Ask</stp>
        <stp>[Pricing File.xlsm]TotalReturnPricing!R653C7</stp>
        <tr r="G653" s="2"/>
      </tp>
      <tp>
        <v>1.94</v>
        <stp/>
        <stp>##V3_BDPV12</stp>
        <stp>HLX Equity</stp>
        <stp>Px Ask</stp>
        <stp>[Pricing File.xlsm]TotalReturnPricing!R183C7</stp>
        <tr r="G183" s="2"/>
      </tp>
      <tp>
        <v>14.01</v>
        <stp/>
        <stp>##V3_BDPV12</stp>
        <stp>KBR Equity</stp>
        <stp>Px Ask</stp>
        <stp>[Pricing File.xlsm]TotalReturnPricing!R273C7</stp>
        <tr r="G273" s="2"/>
      </tp>
      <tp>
        <v>15.9</v>
        <stp/>
        <stp>##V3_BDPV12</stp>
        <stp>HTZ 200717P00020000 Equity</stp>
        <stp>Px Ask</stp>
        <stp>[Pricing File.xlsm]TotalReturnPricing!R884C7</stp>
        <tr r="G884" s="2"/>
      </tp>
      <tp t="s">
        <v>#N/A N/A</v>
        <stp/>
        <stp>##V3_BDPV12</stp>
        <stp>EXPE 200221C00110000 Equity</stp>
        <stp>Px Ask</stp>
        <stp>[Pricing File.xlsm]TotalReturnPricing!R880C7</stp>
        <tr r="G880" s="2"/>
      </tp>
      <tp>
        <v>17.2</v>
        <stp/>
        <stp>##V3_BDPV12</stp>
        <stp>JWN Equity</stp>
        <stp>Px Ask</stp>
        <stp>[Pricing File.xlsm]TotalReturnPricing!R533C7</stp>
        <tr r="G533" s="2"/>
      </tp>
      <tp>
        <v>18.8</v>
        <stp/>
        <stp>##V3_BDPV12</stp>
        <stp>LVS 200417P00057500 Equity</stp>
        <stp>Px Ask</stp>
        <stp>[Pricing File.xlsm]TotalReturnPricing!R910C7</stp>
        <tr r="G910" s="2"/>
      </tp>
      <tp>
        <v>28.6</v>
        <stp/>
        <stp>##V3_BDPV12</stp>
        <stp>EPAY Equity</stp>
        <stp>Px Bid</stp>
        <stp>[Pricing File.xlsm]TotalReturnPricing!R828C6</stp>
        <tr r="F828" s="2"/>
      </tp>
      <tp>
        <v>85.39</v>
        <stp/>
        <stp>##V3_BDPV12</stp>
        <stp>LEA Equity</stp>
        <stp>Px Ask</stp>
        <stp>[Pricing File.xlsm]TotalReturnPricing!R743C7</stp>
        <tr r="G743" s="2"/>
      </tp>
      <tp>
        <v>76.06</v>
        <stp/>
        <stp>##V3_BDPV12</stp>
        <stp>LAD Equity</stp>
        <stp>Px Ask</stp>
        <stp>[Pricing File.xlsm]TotalReturnPricing!R693C7</stp>
        <tr r="G693" s="2"/>
      </tp>
      <tp>
        <v>72.58</v>
        <stp/>
        <stp>##V3_BDPV12</stp>
        <stp>LOW Equity</stp>
        <stp>Px Ask</stp>
        <stp>[Pricing File.xlsm]TotalReturnPricing!R643C7</stp>
        <tr r="G643" s="2"/>
      </tp>
      <tp t="s">
        <v>#N/A N/A</v>
        <stp/>
        <stp>##V3_BDPV12</stp>
        <stp>ISCA Equity</stp>
        <stp>Px Bid</stp>
        <stp>[Pricing File.xlsm]TotalReturnPricing!R444C6</stp>
        <tr r="F444" s="2"/>
      </tp>
      <tp>
        <v>135.41</v>
        <stp/>
        <stp>##V3_BDPV12</stp>
        <stp>MSFT Equity</stp>
        <stp>Px Bid</stp>
        <stp>[Pricing File.xlsm]TotalReturnPricing!R630C6</stp>
        <tr r="F630" s="2"/>
      </tp>
      <tp>
        <v>22.54</v>
        <stp/>
        <stp>##V3_BDPV12</stp>
        <stp>TCOM Equity</stp>
        <stp>Px Ask</stp>
        <stp>[Pricing File.xlsm]TotalReturnPricing!R843C7</stp>
        <tr r="G843" s="2"/>
      </tp>
      <tp>
        <v>30.58</v>
        <stp/>
        <stp>##V3_BDPV12</stp>
        <stp>SCHW Equity</stp>
        <stp>Px Ask</stp>
        <stp>[Pricing File.xlsm]TotalReturnPricing!R844C7</stp>
        <tr r="G844" s="2"/>
      </tp>
      <tp>
        <v>20.29</v>
        <stp/>
        <stp>##V3_BDPV12</stp>
        <stp>UBER Equity</stp>
        <stp>Px Ask</stp>
        <stp>[Pricing File.xlsm]TotalReturnPricing!R842C7</stp>
        <tr r="G842" s="2"/>
      </tp>
      <tp>
        <v>9.48</v>
        <stp/>
        <stp>##V3_BDPV12</stp>
        <stp>IMMU Equity</stp>
        <stp>Px Bid</stp>
        <stp>[Pricing File.xlsm]TotalReturnPricing!R214C6</stp>
        <tr r="F214" s="2"/>
      </tp>
      <tp>
        <v>65.180000000000007</v>
        <stp/>
        <stp>##V3_BDPV12</stp>
        <stp>OMCL Equity</stp>
        <stp>Px Bid</stp>
        <stp>[Pricing File.xlsm]TotalReturnPricing!R492C6</stp>
        <tr r="F492" s="2"/>
      </tp>
      <tp t="s">
        <v>#N/A N/A</v>
        <stp/>
        <stp>##V3_BDPV12</stp>
        <stp>PJC Equity</stp>
        <stp>Px Ask</stp>
        <stp>[Pricing File.xlsm]TotalReturnPricing!R603C7</stp>
        <tr r="G603" s="2"/>
      </tp>
      <tp>
        <v>16.190000000000001</v>
        <stp/>
        <stp>##V3_BDPV12</stp>
        <stp>PPC Equity</stp>
        <stp>Px Ask</stp>
        <stp>[Pricing File.xlsm]TotalReturnPricing!R363C7</stp>
        <tr r="G363" s="2"/>
      </tp>
      <tp>
        <v>13.74</v>
        <stp/>
        <stp>##V3_BDPV12</stp>
        <stp>SAH Equity</stp>
        <stp>Px Ask</stp>
        <stp>[Pricing File.xlsm]TotalReturnPricing!R313C7</stp>
        <tr r="G313" s="2"/>
      </tp>
      <tp>
        <v>47.73</v>
        <stp/>
        <stp>##V3_BDPV12</stp>
        <stp>STT Equity</stp>
        <stp>Px Ask</stp>
        <stp>[Pricing File.xlsm]TotalReturnPricing!R683C7</stp>
        <tr r="G683" s="2"/>
      </tp>
      <tp>
        <v>29.95</v>
        <stp/>
        <stp>##V3_BDPV12</stp>
        <stp>RCL Equity</stp>
        <stp>Px Ask</stp>
        <stp>[Pricing File.xlsm]TotalReturnPricing!R713C7</stp>
        <tr r="G713" s="2"/>
      </tp>
      <tp>
        <v>24.09</v>
        <stp/>
        <stp>##V3_BDPV12</stp>
        <stp>RHP Equity</stp>
        <stp>Px Ask</stp>
        <stp>[Pricing File.xlsm]TotalReturnPricing!R593C7</stp>
        <tr r="G593" s="2"/>
      </tp>
      <tp>
        <v>2.25</v>
        <stp/>
        <stp>##V3_BDPV12</stp>
        <stp>UMC Equity</stp>
        <stp>Px Ask</stp>
        <stp>[Pricing File.xlsm]TotalReturnPricing!R143C7</stp>
        <tr r="G143" s="2"/>
      </tp>
      <tp>
        <v>32.57</v>
        <stp/>
        <stp>##V3_BDPV12</stp>
        <stp>USB Equity</stp>
        <stp>Px Ask</stp>
        <stp>[Pricing File.xlsm]TotalReturnPricing!R553C7</stp>
        <tr r="G553" s="2"/>
      </tp>
      <tp t="s">
        <v>#N/A Invalid Security</v>
        <stp/>
        <stp>##V3_BDPV12</stp>
        <stp>HOG6 Comdty</stp>
        <stp>Px Bid</stp>
        <stp>[Pricing File.xlsm]TotalReturnPricing!R848C6</stp>
        <tr r="F848" s="2"/>
      </tp>
      <tp t="s">
        <v>#N/A N/A</v>
        <stp/>
        <stp>##V3_BDPV12</stp>
        <stp>TRK Equity</stp>
        <stp>Px Ask</stp>
        <stp>[Pricing File.xlsm]TotalReturnPricing!R333C7</stp>
        <tr r="G333" s="2"/>
      </tp>
      <tp>
        <v>45.55</v>
        <stp/>
        <stp>##V3_BDPV12</stp>
        <stp>SEIC Equity</stp>
        <stp>Px Ask</stp>
        <stp>[Pricing File.xlsm]TotalReturnPricing!R564C7</stp>
        <tr r="G564" s="2"/>
      </tp>
      <tp t="s">
        <v>#N/A N/A</v>
        <stp/>
        <stp>##V3_BDPV12</stp>
        <stp>WEX 200221C00210000 Equity</stp>
        <stp>Px Ask</stp>
        <stp>[Pricing File.xlsm]TotalReturnPricing!R861C7</stp>
        <tr r="G861" s="2"/>
      </tp>
      <tp>
        <v>6.09</v>
        <stp/>
        <stp>##V3_BDPV12</stp>
        <stp>VG Equity</stp>
        <stp>Px Bid</stp>
        <stp>[Pricing File.xlsm]TotalReturnPricing!R193C6</stp>
        <tr r="F193" s="2"/>
      </tp>
      <tp>
        <v>23.65</v>
        <stp/>
        <stp>##V3_BDPV12</stp>
        <stp>FL Equity</stp>
        <stp>Px Bid</stp>
        <stp>[Pricing File.xlsm]TotalReturnPricing!R523C6</stp>
        <tr r="F523" s="2"/>
      </tp>
      <tp>
        <v>6.65</v>
        <stp/>
        <stp>##V3_BDPV12</stp>
        <stp>GE Equity</stp>
        <stp>Px Bid</stp>
        <stp>[Pricing File.xlsm]TotalReturnPricing!R373C6</stp>
        <tr r="F373" s="2"/>
      </tp>
      <tp>
        <v>121.91</v>
        <stp/>
        <stp>##V3_BDPV12</stp>
        <stp>LH Equity</stp>
        <stp>Px Bid</stp>
        <stp>[Pricing File.xlsm]TotalReturnPricing!R753C6</stp>
        <tr r="F753" s="2"/>
      </tp>
      <tp>
        <v>296.83</v>
        <stp/>
        <stp>##V3_BDPV12</stp>
        <stp>NFLX Equity</stp>
        <stp>Px Bid</stp>
        <stp>[Pricing File.xlsm]TotalReturnPricing!R763C6</stp>
        <tr r="F763" s="2"/>
      </tp>
      <tp>
        <v>1.65</v>
        <stp/>
        <stp>##V3_BDPV12</stp>
        <stp>MCHX Equity</stp>
        <stp>Px Bid</stp>
        <stp>[Pricing File.xlsm]TotalReturnPricing!R150C6</stp>
        <tr r="F150" s="2"/>
      </tp>
      <tp>
        <v>3.96</v>
        <stp/>
        <stp>##V3_BDPV12</stp>
        <stp>RLGY Equity</stp>
        <stp>Px Ask</stp>
        <stp>[Pricing File.xlsm]TotalReturnPricing!R135C7</stp>
        <tr r="G135" s="2"/>
      </tp>
      <tp>
        <v>582.85</v>
        <stp/>
        <stp>##V3_BDPV12</stp>
        <stp>INFO IN Equity</stp>
        <stp>Px Bid</stp>
        <stp>[Pricing File.xlsm]TotalReturnPricing!R64C6</stp>
        <tr r="F64" s="2"/>
      </tp>
      <tp t="s">
        <v>#N/A Field Not Applicable</v>
        <stp/>
        <stp>##V3_BDPV12</stp>
        <stp>H Equity</stp>
        <stp>OPT_DELTA</stp>
        <stp>[Pricing File.xlsm]TotalReturnPricing!R563C8</stp>
        <tr r="H563" s="2"/>
      </tp>
      <tp>
        <v>15.48</v>
        <stp/>
        <stp>##V3_BDPV12</stp>
        <stp>ABB Equity</stp>
        <stp>Px Ask</stp>
        <stp>[Pricing File.xlsm]TotalReturnPricing!R112C7</stp>
        <tr r="G112" s="2"/>
      </tp>
      <tp>
        <v>5.46</v>
        <stp/>
        <stp>##V3_BDPV12</stp>
        <stp>APA Equity</stp>
        <stp>Px Ask</stp>
        <stp>[Pricing File.xlsm]TotalReturnPricing!R542C7</stp>
        <tr r="G542" s="2"/>
      </tp>
      <tp>
        <v>85.87</v>
        <stp/>
        <stp>##V3_BDPV12</stp>
        <stp>AXP Equity</stp>
        <stp>Px Ask</stp>
        <stp>[Pricing File.xlsm]TotalReturnPricing!R662C7</stp>
        <tr r="G662" s="2"/>
      </tp>
      <tp>
        <v>46.95</v>
        <stp/>
        <stp>##V3_BDPV12</stp>
        <stp>PRSC Equity</stp>
        <stp>Px Ask</stp>
        <stp>[Pricing File.xlsm]TotalReturnPricing!R546C7</stp>
        <tr r="G546" s="2"/>
      </tp>
      <tp>
        <v>44.98</v>
        <stp/>
        <stp>##V3_BDPV12</stp>
        <stp>CLH Equity</stp>
        <stp>Px Ask</stp>
        <stp>[Pricing File.xlsm]TotalReturnPricing!R572C7</stp>
        <tr r="G572" s="2"/>
      </tp>
      <tp>
        <v>44.22</v>
        <stp/>
        <stp>##V3_BDPV12</stp>
        <stp>CAH Equity</stp>
        <stp>Px Ask</stp>
        <stp>[Pricing File.xlsm]TotalReturnPricing!R822C7</stp>
        <tr r="G822" s="2"/>
      </tp>
      <tp>
        <v>15.79</v>
        <stp/>
        <stp>##V3_BDPV12</stp>
        <stp>CAE Equity</stp>
        <stp>Px Ask</stp>
        <stp>[Pricing File.xlsm]TotalReturnPricing!R812C7</stp>
        <tr r="G812" s="2"/>
      </tp>
      <tp>
        <v>148.61000000000001</v>
        <stp/>
        <stp>##V3_BDPV12</stp>
        <stp>CME Equity</stp>
        <stp>Px Ask</stp>
        <stp>[Pricing File.xlsm]TotalReturnPricing!R722C7</stp>
        <tr r="G722" s="2"/>
      </tp>
      <tp>
        <v>1.96</v>
        <stp/>
        <stp>##V3_BDPV12</stp>
        <stp>BBW Equity</stp>
        <stp>Px Ask</stp>
        <stp>[Pricing File.xlsm]TotalReturnPricing!R222C7</stp>
        <tr r="G222" s="2"/>
      </tp>
      <tp>
        <v>20.440000000000001</v>
        <stp/>
        <stp>##V3_BDPV12</stp>
        <stp>BAC Equity</stp>
        <stp>Px Ask</stp>
        <stp>[Pricing File.xlsm]TotalReturnPricing!R362C7</stp>
        <tr r="G362" s="2"/>
      </tp>
      <tp>
        <v>0.5</v>
        <stp/>
        <stp>##V3_BDPV12</stp>
        <stp>ALK 200417C00070000 Equity</stp>
        <stp>Px Ask</stp>
        <stp>[Pricing File.xlsm]TotalReturnPricing!R866C7</stp>
        <tr r="G866" s="2"/>
      </tp>
      <tp>
        <v>8.69</v>
        <stp/>
        <stp>##V3_BDPV12</stp>
        <stp>EQT Equity</stp>
        <stp>Px Ask</stp>
        <stp>[Pricing File.xlsm]TotalReturnPricing!R612C7</stp>
        <tr r="G612" s="2"/>
      </tp>
      <tp>
        <v>86.39</v>
        <stp/>
        <stp>##V3_BDPV12</stp>
        <stp>DGX Equity</stp>
        <stp>Px Ask</stp>
        <stp>[Pricing File.xlsm]TotalReturnPricing!R702C7</stp>
        <tr r="G702" s="2"/>
      </tp>
      <tp>
        <v>108.15</v>
        <stp/>
        <stp>##V3_BDPV12</stp>
        <stp>TTWO Equity</stp>
        <stp>Px Ask</stp>
        <stp>[Pricing File.xlsm]TotalReturnPricing!R652C7</stp>
        <tr r="G652" s="2"/>
      </tp>
      <tp>
        <v>79.599999999999994</v>
        <stp/>
        <stp>##V3_BDPV12</stp>
        <stp>UTHR Equity</stp>
        <stp>Px Ask</stp>
        <stp>[Pricing File.xlsm]TotalReturnPricing!R723C7</stp>
        <tr r="G723" s="2"/>
      </tp>
      <tp>
        <v>29.84</v>
        <stp/>
        <stp>##V3_BDPV12</stp>
        <stp>FND Equity</stp>
        <stp>Px Ask</stp>
        <stp>[Pricing File.xlsm]TotalReturnPricing!R462C7</stp>
        <tr r="G462" s="2"/>
      </tp>
      <tp>
        <v>71.010000000000005</v>
        <stp/>
        <stp>##V3_BDPV12</stp>
        <stp>FMC Equity</stp>
        <stp>Px Ask</stp>
        <stp>[Pricing File.xlsm]TotalReturnPricing!R642C7</stp>
        <tr r="G642" s="2"/>
      </tp>
      <tp>
        <v>5.35</v>
        <stp/>
        <stp>##V3_BDPV12</stp>
        <stp>IGT Equity</stp>
        <stp>Px Ask</stp>
        <stp>[Pricing File.xlsm]TotalReturnPricing!R322C7</stp>
        <tr r="G322" s="2"/>
      </tp>
      <tp>
        <v>0.05</v>
        <stp/>
        <stp>##V3_BDPV12</stp>
        <stp>IGT 200320C00014000 Equity</stp>
        <stp>Px Ask</stp>
        <stp>[Pricing File.xlsm]TotalReturnPricing!R875C7</stp>
        <tr r="G875" s="2"/>
      </tp>
      <tp t="s">
        <v>#N/A N/A</v>
        <stp/>
        <stp>##V3_BDPV12</stp>
        <stp>ITG Equity</stp>
        <stp>Px Ask</stp>
        <stp>[Pricing File.xlsm]TotalReturnPricing!R342C7</stp>
        <tr r="G342" s="2"/>
      </tp>
      <tp>
        <v>240.13</v>
        <stp/>
        <stp>##V3_BDPV12</stp>
        <stp>IVV Equity</stp>
        <stp>Px Ask</stp>
        <stp>[Pricing File.xlsm]TotalReturnPricing!R832C7</stp>
        <tr r="G832" s="2"/>
      </tp>
      <tp>
        <v>15</v>
        <stp/>
        <stp>##V3_BDPV12</stp>
        <stp>NUAN Equity</stp>
        <stp>Px Bid</stp>
        <stp>[Pricing File.xlsm]TotalReturnPricing!R292C6</stp>
        <tr r="F292" s="2"/>
      </tp>
      <tp>
        <v>7.1</v>
        <stp/>
        <stp>##V3_BDPV12</stp>
        <stp>HLT 200417C00075000 Equity</stp>
        <stp>Px Ask</stp>
        <stp>[Pricing File.xlsm]TotalReturnPricing!R913C7</stp>
        <tr r="G913" s="2"/>
      </tp>
      <tp>
        <v>0.8</v>
        <stp/>
        <stp>##V3_BDPV12</stp>
        <stp>HTZ 210115C00017000 Equity</stp>
        <stp>Px Ask</stp>
        <stp>[Pricing File.xlsm]TotalReturnPricing!R854C7</stp>
        <tr r="G854" s="2"/>
      </tp>
      <tp>
        <v>20.69</v>
        <stp/>
        <stp>##V3_BDPV12</stp>
        <stp>MLI Equity</stp>
        <stp>Px Ask</stp>
        <stp>[Pricing File.xlsm]TotalReturnPricing!R412C7</stp>
        <tr r="G412" s="2"/>
      </tp>
      <tp>
        <v>99.54</v>
        <stp/>
        <stp>##V3_BDPV12</stp>
        <stp>MTB Equity</stp>
        <stp>Px Ask</stp>
        <stp>[Pricing File.xlsm]TotalReturnPricing!R752C7</stp>
        <tr r="G752" s="2"/>
      </tp>
      <tp>
        <v>16.989999999999998</v>
        <stp/>
        <stp>##V3_BDPV12</stp>
        <stp>MRTN Equity</stp>
        <stp>Px Bid</stp>
        <stp>[Pricing File.xlsm]TotalReturnPricing!R281C6</stp>
        <tr r="F281" s="2"/>
      </tp>
      <tp>
        <v>42.72</v>
        <stp/>
        <stp>##V3_BDPV12</stp>
        <stp>ORCL Equity</stp>
        <stp>Px Bid</stp>
        <stp>[Pricing File.xlsm]TotalReturnPricing!R543C6</stp>
        <tr r="F543" s="2"/>
      </tp>
      <tp>
        <v>1.75</v>
        <stp/>
        <stp>##V3_BDPV12</stp>
        <stp>OPK Equity</stp>
        <stp>Px Ask</stp>
        <stp>[Pricing File.xlsm]TotalReturnPricing!R182C7</stp>
        <tr r="G182" s="2"/>
      </tp>
      <tp>
        <v>51.58</v>
        <stp/>
        <stp>##V3_BDPV12</stp>
        <stp>HSIC Equity</stp>
        <stp>Px Bid</stp>
        <stp>[Pricing File.xlsm]TotalReturnPricing!R764C6</stp>
        <tr r="F764" s="2"/>
      </tp>
      <tp t="s">
        <v>#N/A N/A</v>
        <stp/>
        <stp>##V3_BDPV12</stp>
        <stp>ISCA Equity</stp>
        <stp>Px Bid</stp>
        <stp>[Pricing File.xlsm]TotalReturnPricing!R445C6</stp>
        <tr r="F445" s="2"/>
      </tp>
      <tp>
        <v>0.79</v>
        <stp/>
        <stp>##V3_BDPV12</stp>
        <stp>NOG Equity</stp>
        <stp>Px Ask</stp>
        <stp>[Pricing File.xlsm]TotalReturnPricing!R132C7</stp>
        <tr r="G132" s="2"/>
      </tp>
      <tp>
        <v>126.5</v>
        <stp/>
        <stp>##V3_BDPV12</stp>
        <stp>NSC Equity</stp>
        <stp>Px Ask</stp>
        <stp>[Pricing File.xlsm]TotalReturnPricing!R712C7</stp>
        <tr r="G712" s="2"/>
      </tp>
      <tp t="s">
        <v>#N/A N/A</v>
        <stp/>
        <stp>##V3_BDPV12</stp>
        <stp>BCEI 200221C00025000 Equity</stp>
        <stp>Px Ask</stp>
        <stp>[Pricing File.xlsm]TotalReturnPricing!R883C7</stp>
        <tr r="G883" s="2"/>
      </tp>
      <tp>
        <v>38.57</v>
        <stp/>
        <stp>##V3_BDPV12</stp>
        <stp>OLLI Equity</stp>
        <stp>Px Bid</stp>
        <stp>[Pricing File.xlsm]TotalReturnPricing!R503C6</stp>
        <tr r="F503" s="2"/>
      </tp>
      <tp>
        <v>17.02</v>
        <stp/>
        <stp>##V3_BDPV12</stp>
        <stp>UCBI Equity</stp>
        <stp>Px Ask</stp>
        <stp>[Pricing File.xlsm]TotalReturnPricing!R393C7</stp>
        <tr r="G393" s="2"/>
      </tp>
      <tp>
        <v>9.14</v>
        <stp/>
        <stp>##V3_BDPV12</stp>
        <stp>IMAX Equity</stp>
        <stp>Px Bid</stp>
        <stp>[Pricing File.xlsm]TotalReturnPricing!R335C6</stp>
        <tr r="F335" s="2"/>
      </tp>
      <tp>
        <v>24.99</v>
        <stp/>
        <stp>##V3_BDPV12</stp>
        <stp>ENSG Equity</stp>
        <stp>Px Bid</stp>
        <stp>[Pricing File.xlsm]TotalReturnPricing!R349C6</stp>
        <tr r="F349" s="2"/>
      </tp>
      <tp>
        <v>7.9</v>
        <stp/>
        <stp>##V3_BDPV12</stp>
        <stp>VALE Equity</stp>
        <stp>Px Ask</stp>
        <stp>[Pricing File.xlsm]TotalReturnPricing!R220C7</stp>
        <tr r="G220" s="2"/>
      </tp>
      <tp>
        <v>6.43</v>
        <stp/>
        <stp>##V3_BDPV12</stp>
        <stp>SABR Equity</stp>
        <stp>Px Ask</stp>
        <stp>[Pricing File.xlsm]TotalReturnPricing!R845C7</stp>
        <tr r="G845" s="2"/>
      </tp>
      <tp>
        <v>20.92</v>
        <stp/>
        <stp>##V3_BDPV12</stp>
        <stp>SEE Equity</stp>
        <stp>Px Ask</stp>
        <stp>[Pricing File.xlsm]TotalReturnPricing!R502C7</stp>
        <tr r="G502" s="2"/>
      </tp>
      <tp>
        <v>13.74</v>
        <stp/>
        <stp>##V3_BDPV12</stp>
        <stp>SAH Equity</stp>
        <stp>Px Ask</stp>
        <stp>[Pricing File.xlsm]TotalReturnPricing!R312C7</stp>
        <tr r="G312" s="2"/>
      </tp>
      <tp>
        <v>21.22</v>
        <stp/>
        <stp>##V3_BDPV12</stp>
        <stp>SKX Equity</stp>
        <stp>Px Ask</stp>
        <stp>[Pricing File.xlsm]TotalReturnPricing!R392C7</stp>
        <tr r="G392" s="2"/>
      </tp>
      <tp>
        <v>406.08</v>
        <stp/>
        <stp>##V3_BDPV12</stp>
        <stp>SHW Equity</stp>
        <stp>Px Ask</stp>
        <stp>[Pricing File.xlsm]TotalReturnPricing!R782C7</stp>
        <tr r="G782" s="2"/>
      </tp>
      <tp>
        <v>41.44</v>
        <stp/>
        <stp>##V3_BDPV12</stp>
        <stp>STX Equity</stp>
        <stp>Px Ask</stp>
        <stp>[Pricing File.xlsm]TotalReturnPricing!R422C7</stp>
        <tr r="G422" s="2"/>
      </tp>
      <tp>
        <v>1.2</v>
        <stp/>
        <stp>##V3_BDPV12</stp>
        <stp>MOSY Equity</stp>
        <stp>Px Bid</stp>
        <stp>[Pricing File.xlsm]TotalReturnPricing!R131C6</stp>
        <tr r="F131" s="2"/>
      </tp>
      <tp>
        <v>1.98</v>
        <stp/>
        <stp>##V3_BDPV12</stp>
        <stp>RLH Equity</stp>
        <stp>Px Ask</stp>
        <stp>[Pricing File.xlsm]TotalReturnPricing!R202C7</stp>
        <tr r="G202" s="2"/>
      </tp>
      <tp t="s">
        <v>#N/A Invalid Security</v>
        <stp/>
        <stp>##V3_BDPV12</stp>
        <stp>HOG7 Comdty</stp>
        <stp>Px Bid</stp>
        <stp>[Pricing File.xlsm]TotalReturnPricing!R849C6</stp>
        <tr r="F849" s="2"/>
      </tp>
      <tp t="s">
        <v>#N/A N/A</v>
        <stp/>
        <stp>##V3_BDPV12</stp>
        <stp>SFLY Equity</stp>
        <stp>Px Ask</stp>
        <stp>[Pricing File.xlsm]TotalReturnPricing!R535C7</stp>
        <tr r="G535" s="2"/>
      </tp>
      <tp>
        <v>1.7</v>
        <stp/>
        <stp>##V3_BDPV12</stp>
        <stp>TWI Equity</stp>
        <stp>Px Ask</stp>
        <stp>[Pricing File.xlsm]TotalReturnPricing!R252C7</stp>
        <tr r="G252" s="2"/>
      </tp>
      <tp>
        <v>29.41</v>
        <stp/>
        <stp>##V3_BDPV12</stp>
        <stp>WERN Equity</stp>
        <stp>Px Ask</stp>
        <stp>[Pricing File.xlsm]TotalReturnPricing!R401C7</stp>
        <tr r="G401" s="2"/>
      </tp>
      <tp t="s">
        <v>#N/A N/A</v>
        <stp/>
        <stp>##V3_BDPV12</stp>
        <stp>WCG Equity</stp>
        <stp>Px Ask</stp>
        <stp>[Pricing File.xlsm]TotalReturnPricing!R762C7</stp>
        <tr r="G762" s="2"/>
      </tp>
      <tp>
        <v>12.35</v>
        <stp/>
        <stp>##V3_BDPV12</stp>
        <stp>WEN Equity</stp>
        <stp>Px Ask</stp>
        <stp>[Pricing File.xlsm]TotalReturnPricing!R282C7</stp>
        <tr r="G282" s="2"/>
      </tp>
      <tp>
        <v>23.71</v>
        <stp/>
        <stp>##V3_BDPV12</stp>
        <stp>WBS Equity</stp>
        <stp>Px Ask</stp>
        <stp>[Pricing File.xlsm]TotalReturnPricing!R552C7</stp>
        <tr r="G552" s="2"/>
      </tp>
      <tp>
        <v>30.05</v>
        <stp/>
        <stp>##V3_BDPV12</stp>
        <stp>WMS Equity</stp>
        <stp>Px Ask</stp>
        <stp>[Pricing File.xlsm]TotalReturnPricing!R332C7</stp>
        <tr r="G332" s="2"/>
      </tp>
      <tp>
        <v>87.87</v>
        <stp/>
        <stp>##V3_BDPV12</stp>
        <stp>WIX Equity</stp>
        <stp>Px Ask</stp>
        <stp>[Pricing File.xlsm]TotalReturnPricing!R632C7</stp>
        <tr r="G632" s="2"/>
      </tp>
      <tp>
        <v>4.7</v>
        <stp/>
        <stp>##V3_BDPV12</stp>
        <stp>UAL 200417C00045000 Equity</stp>
        <stp>Px Ask</stp>
        <stp>[Pricing File.xlsm]TotalReturnPricing!R923C7</stp>
        <tr r="G923" s="2"/>
      </tp>
      <tp>
        <v>18.73</v>
        <stp/>
        <stp>##V3_BDPV12</stp>
        <stp>VPG Equity</stp>
        <stp>Px Ask</stp>
        <stp>[Pricing File.xlsm]TotalReturnPricing!R302C7</stp>
        <tr r="G302" s="2"/>
      </tp>
      <tp>
        <v>5.18</v>
        <stp/>
        <stp>##V3_BDPV12</stp>
        <stp>MDRX Equity</stp>
        <stp>Px Bid</stp>
        <stp>[Pricing File.xlsm]TotalReturnPricing!R241C6</stp>
        <tr r="F241" s="2"/>
      </tp>
      <tp>
        <v>6.65</v>
        <stp/>
        <stp>##V3_BDPV12</stp>
        <stp>GE Equity</stp>
        <stp>Px Bid</stp>
        <stp>[Pricing File.xlsm]TotalReturnPricing!R372C6</stp>
        <tr r="F372" s="2"/>
      </tp>
      <tp>
        <v>7.95</v>
        <stp/>
        <stp>##V3_BDPV12</stp>
        <stp>LC Equity</stp>
        <stp>Px Bid</stp>
        <stp>[Pricing File.xlsm]TotalReturnPricing!R792C6</stp>
        <tr r="F792" s="2"/>
      </tp>
      <tp>
        <v>31.65</v>
        <stp/>
        <stp>##V3_BDPV12</stp>
        <stp>MS Equity</stp>
        <stp>Px Bid</stp>
        <stp>[Pricing File.xlsm]TotalReturnPricing!R522C6</stp>
        <tr r="F522" s="2"/>
      </tp>
      <tp t="s">
        <v>#N/A N/A</v>
        <stp/>
        <stp>##V3_BDPV12</stp>
        <stp>SAVE 200320C00045000 Equity</stp>
        <stp>Px Bid</stp>
        <stp>[Pricing File.xlsm]TotalReturnPricing!R889C6</stp>
        <tr r="F889" s="2"/>
      </tp>
      <tp>
        <v>0.32</v>
        <stp/>
        <stp>##V3_BDPV12</stp>
        <stp>JAKK Equity</stp>
        <stp>Px Bid</stp>
        <stp>[Pricing File.xlsm]TotalReturnPricing!R156C6</stp>
        <tr r="F156" s="2"/>
      </tp>
      <tp>
        <v>32.229999999999997</v>
        <stp/>
        <stp>##V3_BDPV12</stp>
        <stp>EBAY Equity</stp>
        <stp>Px Bid</stp>
        <stp>[Pricing File.xlsm]TotalReturnPricing!R449C6</stp>
        <tr r="F449" s="2"/>
      </tp>
      <tp>
        <v>8.4700000000000006</v>
        <stp/>
        <stp>##V3_BDPV12</stp>
        <stp>HBAN Equity</stp>
        <stp>Px Bid</stp>
        <stp>[Pricing File.xlsm]TotalReturnPricing!R254C6</stp>
        <tr r="F254" s="2"/>
      </tp>
      <tp>
        <v>34.520000000000003</v>
        <stp/>
        <stp>##V3_BDPV12</stp>
        <stp>ECPG Equity</stp>
        <stp>Px Bid</stp>
        <stp>[Pricing File.xlsm]TotalReturnPricing!R479C6</stp>
        <tr r="F479" s="2"/>
      </tp>
      <tp t="s">
        <v>#N/A N/A</v>
        <stp/>
        <stp>##V3_BDPV12</stp>
        <stp>OCLR Equity</stp>
        <stp>Px Bid</stp>
        <stp>[Pricing File.xlsm]TotalReturnPricing!R223C6</stp>
        <tr r="F223" s="2"/>
      </tp>
      <tp>
        <v>0.1037</v>
        <stp/>
        <stp>##V3_BDPV12</stp>
        <stp>ent Equity</stp>
        <stp>Px Ask</stp>
        <stp>[Pricing File.xlsm]TotalReturnPricing!R152C7</stp>
        <tr r="G152" s="2"/>
      </tp>
      <tp t="s">
        <v>#N/A Field Not Applicable</v>
        <stp/>
        <stp>##V3_BDPV12</stp>
        <stp>CP Equity</stp>
        <stp>OPT_DELTA</stp>
        <stp>[Pricing File.xlsm]TotalReturnPricing!R749C8</stp>
        <tr r="H749" s="2"/>
      </tp>
      <tp>
        <v>12.38</v>
        <stp/>
        <stp>##V3_BDPV12</stp>
        <stp>DGICA Equity</stp>
        <stp>Px Ask</stp>
        <stp>[Pricing File.xlsm]TotalReturnPricing!R274C7</stp>
        <tr r="G274" s="2"/>
      </tp>
      <tp>
        <v>11.43</v>
        <stp/>
        <stp>##V3_BDPV12</stp>
        <stp>USCR Equity</stp>
        <stp>Px Ask</stp>
        <stp>[Pricing File.xlsm]TotalReturnPricing!R824C7</stp>
        <tr r="G824" s="2"/>
      </tp>
      <tp t="s">
        <v>#N/A N/A</v>
        <stp/>
        <stp>##V3_BDPV12</stp>
        <stp>AET Equity</stp>
        <stp>Px Ask</stp>
        <stp>[Pricing File.xlsm]TotalReturnPricing!R745C7</stp>
        <tr r="G745" s="2"/>
      </tp>
      <tp>
        <v>12.47</v>
        <stp/>
        <stp>##V3_BDPV12</stp>
        <stp>TRWH Equity</stp>
        <stp>Px Ask</stp>
        <stp>[Pricing File.xlsm]TotalReturnPricing!R835C7</stp>
        <tr r="G835" s="2"/>
      </tp>
      <tp>
        <v>1.49</v>
        <stp/>
        <stp>##V3_BDPV12</stp>
        <stp>YRCW Equity</stp>
        <stp>Px Ask</stp>
        <stp>[Pricing File.xlsm]TotalReturnPricing!R248C7</stp>
        <tr r="G248" s="2"/>
      </tp>
      <tp>
        <v>253.88</v>
        <stp/>
        <stp>##V3_BDPV12</stp>
        <stp>TREE Equity</stp>
        <stp>Px Ask</stp>
        <stp>[Pricing File.xlsm]TotalReturnPricing!R775C7</stp>
        <tr r="G775" s="2"/>
      </tp>
      <tp>
        <v>14.36</v>
        <stp/>
        <stp>##V3_BDPV12</stp>
        <stp>CAR Equity</stp>
        <stp>Px Ask</stp>
        <stp>[Pricing File.xlsm]TotalReturnPricing!R425C7</stp>
        <tr r="G425" s="2"/>
      </tp>
      <tp>
        <v>93.41</v>
        <stp/>
        <stp>##V3_BDPV12</stp>
        <stp>CAT Equity</stp>
        <stp>Px Ask</stp>
        <stp>[Pricing File.xlsm]TotalReturnPricing!R715C7</stp>
        <tr r="G715" s="2"/>
      </tp>
      <tp>
        <v>31.48</v>
        <stp/>
        <stp>##V3_BDPV12</stp>
        <stp>CMA Equity</stp>
        <stp>Px Ask</stp>
        <stp>[Pricing File.xlsm]TotalReturnPricing!R625C7</stp>
        <tr r="G625" s="2"/>
      </tp>
      <tp>
        <v>6.07</v>
        <stp/>
        <stp>##V3_BDPV12</stp>
        <stp>CZR Equity</stp>
        <stp>Px Ask</stp>
        <stp>[Pricing File.xlsm]TotalReturnPricing!R245C7</stp>
        <tr r="G245" s="2"/>
      </tp>
      <tp>
        <v>4.88</v>
        <stp/>
        <stp>##V3_BDPV12</stp>
        <stp>SPWH Equity</stp>
        <stp>Px Ask</stp>
        <stp>[Pricing File.xlsm]TotalReturnPricing!R162C7</stp>
        <tr r="G162" s="2"/>
      </tp>
      <tp>
        <v>2.27</v>
        <stp/>
        <stp>##V3_BDPV12</stp>
        <stp>BKD Equity</stp>
        <stp>Px Ask</stp>
        <stp>[Pricing File.xlsm]TotalReturnPricing!R265C7</stp>
        <tr r="G265" s="2"/>
      </tp>
      <tp>
        <v>3.16</v>
        <stp/>
        <stp>##V3_BDPV12</stp>
        <stp>TVTY Equity</stp>
        <stp>Px Ask</stp>
        <stp>[Pricing File.xlsm]TotalReturnPricing!R475C7</stp>
        <tr r="G475" s="2"/>
      </tp>
      <tp t="s">
        <v>#N/A N/A</v>
        <stp/>
        <stp>##V3_BDPV12</stp>
        <stp>NYNY Equity</stp>
        <stp>Px Bid</stp>
        <stp>[Pricing File.xlsm]TotalReturnPricing!R355C6</stp>
        <tr r="F355" s="2"/>
      </tp>
      <tp>
        <v>19.11</v>
        <stp/>
        <stp>##V3_BDPV12</stp>
        <stp>LYFT Equity</stp>
        <stp>Px Bid</stp>
        <stp>[Pricing File.xlsm]TotalReturnPricing!R837C6</stp>
        <tr r="F837" s="2"/>
      </tp>
      <tp>
        <v>34.86</v>
        <stp/>
        <stp>##V3_BDPV12</stp>
        <stp>DDS Equity</stp>
        <stp>Px Ask</stp>
        <stp>[Pricing File.xlsm]TotalReturnPricing!R645C7</stp>
        <tr r="G645" s="2"/>
      </tp>
      <tp>
        <v>37.869999999999997</v>
        <stp/>
        <stp>##V3_BDPV12</stp>
        <stp>DFS Equity</stp>
        <stp>Px Ask</stp>
        <stp>[Pricing File.xlsm]TotalReturnPricing!R585C7</stp>
        <tr r="G585" s="2"/>
      </tp>
      <tp t="s">
        <v>#N/A N/A</v>
        <stp/>
        <stp>##V3_BDPV12</stp>
        <stp>DDE Equity</stp>
        <stp>Px Ask</stp>
        <stp>[Pricing File.xlsm]TotalReturnPricing!R825C7</stp>
        <tr r="G825" s="2"/>
      </tp>
      <tp>
        <v>21.2</v>
        <stp/>
        <stp>##V3_BDPV12</stp>
        <stp>DKS Equity</stp>
        <stp>Px Ask</stp>
        <stp>[Pricing File.xlsm]TotalReturnPricing!R455C7</stp>
        <tr r="G455" s="2"/>
      </tp>
      <tp>
        <v>71.739999999999995</v>
        <stp/>
        <stp>##V3_BDPV12</stp>
        <stp>DVA Equity</stp>
        <stp>Px Ask</stp>
        <stp>[Pricing File.xlsm]TotalReturnPricing!R605C7</stp>
        <tr r="G605" s="2"/>
      </tp>
      <tp>
        <v>49.21</v>
        <stp/>
        <stp>##V3_BDPV12</stp>
        <stp>DRI Equity</stp>
        <stp>Px Ask</stp>
        <stp>[Pricing File.xlsm]TotalReturnPricing!R665C7</stp>
        <tr r="G665" s="2"/>
      </tp>
      <tp>
        <v>105.16</v>
        <stp/>
        <stp>##V3_BDPV12</stp>
        <stp>STMP Equity</stp>
        <stp>Px Ask</stp>
        <stp>[Pricing File.xlsm]TotalReturnPricing!R742C7</stp>
        <tr r="G742" s="2"/>
      </tp>
      <tp>
        <v>22.5</v>
        <stp/>
        <stp>##V3_BDPV12</stp>
        <stp>FLS Equity</stp>
        <stp>Px Ask</stp>
        <stp>[Pricing File.xlsm]TotalReturnPricing!R515C7</stp>
        <tr r="G515" s="2"/>
      </tp>
      <tp>
        <v>28.29</v>
        <stp/>
        <stp>##V3_BDPV12</stp>
        <stp>FNF Equity</stp>
        <stp>Px Ask</stp>
        <stp>[Pricing File.xlsm]TotalReturnPricing!R525C7</stp>
        <tr r="G525" s="2"/>
      </tp>
      <tp>
        <v>7.77</v>
        <stp/>
        <stp>##V3_BDPV12</stp>
        <stp>FRO Equity</stp>
        <stp>Px Ask</stp>
        <stp>[Pricing File.xlsm]TotalReturnPricing!R175C7</stp>
        <tr r="G175" s="2"/>
      </tp>
      <tp>
        <v>82.92</v>
        <stp/>
        <stp>##V3_BDPV12</stp>
        <stp>FRC Equity</stp>
        <stp>Px Ask</stp>
        <stp>[Pricing File.xlsm]TotalReturnPricing!R695C7</stp>
        <tr r="G695" s="2"/>
      </tp>
      <tp t="s">
        <v>#N/A N/A</v>
        <stp/>
        <stp>##V3_BDPV12</stp>
        <stp>CTRP Equity</stp>
        <stp>Px Bid</stp>
        <stp>[Pricing File.xlsm]TotalReturnPricing!R578C6</stp>
        <tr r="F578" s="2"/>
      </tp>
      <tp>
        <v>8.75</v>
        <stp/>
        <stp>##V3_BDPV12</stp>
        <stp>IVZ Equity</stp>
        <stp>Px Ask</stp>
        <stp>[Pricing File.xlsm]TotalReturnPricing!R435C7</stp>
        <tr r="G435" s="2"/>
      </tp>
      <tp>
        <v>58.45</v>
        <stp/>
        <stp>##V3_BDPV12</stp>
        <stp>LYFT 210115P00075000 Equity</stp>
        <stp>Px Ask</stp>
        <stp>[Pricing File.xlsm]TotalReturnPricing!R899C7</stp>
        <tr r="G899" s="2"/>
      </tp>
      <tp>
        <v>40.11</v>
        <stp/>
        <stp>##V3_BDPV12</stp>
        <stp>HXL Equity</stp>
        <stp>Px Ask</stp>
        <stp>[Pricing File.xlsm]TotalReturnPricing!R545C7</stp>
        <tr r="G545" s="2"/>
      </tp>
      <tp>
        <v>13.2</v>
        <stp/>
        <stp>##V3_BDPV12</stp>
        <stp>HTZ 200320P00017000 Equity</stp>
        <stp>Px Ask</stp>
        <stp>[Pricing File.xlsm]TotalReturnPricing!R901C7</stp>
        <tr r="G901" s="2"/>
      </tp>
      <tp>
        <v>54.95</v>
        <stp/>
        <stp>##V3_BDPV12</stp>
        <stp>WYNN Equity</stp>
        <stp>Px Ask</stp>
        <stp>[Pricing File.xlsm]TotalReturnPricing!R726C7</stp>
        <tr r="G726" s="2"/>
      </tp>
      <tp>
        <v>88.36</v>
        <stp/>
        <stp>##V3_BDPV12</stp>
        <stp>JPM Equity</stp>
        <stp>Px Ask</stp>
        <stp>[Pricing File.xlsm]TotalReturnPricing!R675C7</stp>
        <tr r="G675" s="2"/>
      </tp>
      <tp>
        <v>7.83</v>
        <stp/>
        <stp>##V3_BDPV12</stp>
        <stp>MTG Equity</stp>
        <stp>Px Ask</stp>
        <stp>[Pricing File.xlsm]TotalReturnPricing!R235C7</stp>
        <tr r="G235" s="2"/>
      </tp>
      <tp>
        <v>40.39</v>
        <stp/>
        <stp>##V3_BDPV12</stp>
        <stp>LVS Equity</stp>
        <stp>Px Ask</stp>
        <stp>[Pricing File.xlsm]TotalReturnPricing!R595C7</stp>
        <tr r="G595" s="2"/>
      </tp>
      <tp>
        <v>1.6</v>
        <stp/>
        <stp>##V3_BDPV12</stp>
        <stp>LXU Equity</stp>
        <stp>Px Ask</stp>
        <stp>[Pricing File.xlsm]TotalReturnPricing!R205C7</stp>
        <tr r="G205" s="2"/>
      </tp>
      <tp>
        <v>8.59</v>
        <stp/>
        <stp>##V3_BDPV12</stp>
        <stp>PCYO Equity</stp>
        <stp>Px Ask</stp>
        <stp>[Pricing File.xlsm]TotalReturnPricing!R201C7</stp>
        <tr r="G201" s="2"/>
      </tp>
      <tp>
        <v>15.37</v>
        <stp/>
        <stp>##V3_BDPV12</stp>
        <stp>RCII Equity</stp>
        <stp>Px Ask</stp>
        <stp>[Pricing File.xlsm]TotalReturnPricing!R253C7</stp>
        <tr r="G253" s="2"/>
      </tp>
      <tp>
        <v>14.55</v>
        <stp/>
        <stp>##V3_BDPV12</stp>
        <stp>MMYT Equity</stp>
        <stp>Px Bid</stp>
        <stp>[Pricing File.xlsm]TotalReturnPricing!R426C6</stp>
        <tr r="F426" s="2"/>
      </tp>
      <tp>
        <v>11.84</v>
        <stp/>
        <stp>##V3_BDPV12</stp>
        <stp>PBCT Equity</stp>
        <stp>Px Ask</stp>
        <stp>[Pricing File.xlsm]TotalReturnPricing!R301C7</stp>
        <tr r="G301" s="2"/>
      </tp>
      <tp>
        <v>13.11</v>
        <stp/>
        <stp>##V3_BDPV12</stp>
        <stp>SBGI Equity</stp>
        <stp>Px Ask</stp>
        <stp>[Pricing File.xlsm]TotalReturnPricing!R452C7</stp>
        <tr r="G452" s="2"/>
      </tp>
      <tp t="s">
        <v>#N/A N/A</v>
        <stp/>
        <stp>##V3_BDPV12</stp>
        <stp>PIR Equity</stp>
        <stp>Px Ask</stp>
        <stp>[Pricing File.xlsm]TotalReturnPricing!R165C7</stp>
        <tr r="G165" s="2"/>
      </tp>
      <tp>
        <v>59.76</v>
        <stp/>
        <stp>##V3_BDPV12</stp>
        <stp>PXD Equity</stp>
        <stp>Px Ask</stp>
        <stp>[Pricing File.xlsm]TotalReturnPricing!R755C7</stp>
        <tr r="G755" s="2"/>
      </tp>
      <tp>
        <v>57.41</v>
        <stp/>
        <stp>##V3_BDPV12</stp>
        <stp>SAIC Equity</stp>
        <stp>Px Ask</stp>
        <stp>[Pricing File.xlsm]TotalReturnPricing!R622C7</stp>
        <tr r="G622" s="2"/>
      </tp>
      <tp>
        <v>14.41</v>
        <stp/>
        <stp>##V3_BDPV12</stp>
        <stp>SLB Equity</stp>
        <stp>Px Ask</stp>
        <stp>[Pricing File.xlsm]TotalReturnPricing!R615C7</stp>
        <tr r="G615" s="2"/>
      </tp>
      <tp>
        <v>90.63</v>
        <stp/>
        <stp>##V3_BDPV12</stp>
        <stp>SMG Equity</stp>
        <stp>Px Ask</stp>
        <stp>[Pricing File.xlsm]TotalReturnPricing!R685C7</stp>
        <tr r="G685" s="2"/>
      </tp>
      <tp t="s">
        <v>#N/A N/A</v>
        <stp/>
        <stp>##V3_BDPV12</stp>
        <stp>SSW Equity</stp>
        <stp>Px Ask</stp>
        <stp>[Pricing File.xlsm]TotalReturnPricing!R185C7</stp>
        <tr r="G185" s="2"/>
      </tp>
      <tp>
        <v>1.3</v>
        <stp/>
        <stp>##V3_BDPV12</stp>
        <stp>RIG Equity</stp>
        <stp>Px Ask</stp>
        <stp>[Pricing File.xlsm]TotalReturnPricing!R215C7</stp>
        <tr r="G215" s="2"/>
      </tp>
      <tp>
        <v>43.44</v>
        <stp/>
        <stp>##V3_BDPV12</stp>
        <stp>RHI Equity</stp>
        <stp>Px Ask</stp>
        <stp>[Pricing File.xlsm]TotalReturnPricing!R495C7</stp>
        <tr r="G495" s="2"/>
      </tp>
      <tp>
        <v>6.15</v>
        <stp/>
        <stp>##V3_BDPV12</stp>
        <stp>RRR Equity</stp>
        <stp>Px Ask</stp>
        <stp>[Pricing File.xlsm]TotalReturnPricing!R365C7</stp>
        <tr r="G365" s="2"/>
      </tp>
      <tp>
        <v>60.77</v>
        <stp/>
        <stp>##V3_BDPV12</stp>
        <stp>CHRW Equity</stp>
        <stp>Px Bid</stp>
        <stp>[Pricing File.xlsm]TotalReturnPricing!R608C6</stp>
        <tr r="F608" s="2"/>
      </tp>
      <tp>
        <v>8.5399999999999991</v>
        <stp/>
        <stp>##V3_BDPV12</stp>
        <stp>PGTI Equity</stp>
        <stp>Px Ask</stp>
        <stp>[Pricing File.xlsm]TotalReturnPricing!R251C7</stp>
        <tr r="G251" s="2"/>
      </tp>
      <tp>
        <v>24.85</v>
        <stp/>
        <stp>##V3_BDPV12</stp>
        <stp>UFS Equity</stp>
        <stp>Px Ask</stp>
        <stp>[Pricing File.xlsm]TotalReturnPricing!R465C7</stp>
        <tr r="G465" s="2"/>
      </tp>
      <tp>
        <v>224.98</v>
        <stp/>
        <stp>##V3_BDPV12</stp>
        <stp>UNH Equity</stp>
        <stp>Px Ask</stp>
        <stp>[Pricing File.xlsm]TotalReturnPricing!R765C7</stp>
        <tr r="G765" s="2"/>
      </tp>
      <tp>
        <v>81.72</v>
        <stp/>
        <stp>##V3_BDPV12</stp>
        <stp>UHS Equity</stp>
        <stp>Px Ask</stp>
        <stp>[Pricing File.xlsm]TotalReturnPricing!R705C7</stp>
        <tr r="G705" s="2"/>
      </tp>
      <tp t="s">
        <v>#N/A N/A</v>
        <stp/>
        <stp>##V3_BDPV12</stp>
        <stp>BIOS Equity</stp>
        <stp>Px Bid</stp>
        <stp>[Pricing File.xlsm]TotalReturnPricing!R149C6</stp>
        <tr r="F149" s="2"/>
      </tp>
      <tp>
        <v>89.69</v>
        <stp/>
        <stp>##V3_BDPV12</stp>
        <stp>BIDU Equity</stp>
        <stp>Px Bid</stp>
        <stp>[Pricing File.xlsm]TotalReturnPricing!R769C6</stp>
        <tr r="F769" s="2"/>
      </tp>
      <tp>
        <v>93.81</v>
        <stp/>
        <stp>##V3_BDPV12</stp>
        <stp>TGT Equity</stp>
        <stp>Px Ask</stp>
        <stp>[Pricing File.xlsm]TotalReturnPricing!R565C7</stp>
        <tr r="G565" s="2"/>
      </tp>
      <tp>
        <v>254.87</v>
        <stp/>
        <stp>##V3_BDPV12</stp>
        <stp>TDY Equity</stp>
        <stp>Px Ask</stp>
        <stp>[Pricing File.xlsm]TotalReturnPricing!R735C7</stp>
        <tr r="G735" s="2"/>
      </tp>
      <tp t="s">
        <v>#N/A N/A</v>
        <stp/>
        <stp>##V3_BDPV12</stp>
        <stp>SEMG Equity</stp>
        <stp>Px Ask</stp>
        <stp>[Pricing File.xlsm]TotalReturnPricing!R382C7</stp>
        <tr r="G382" s="2"/>
      </tp>
      <tp>
        <v>0.24510000000000001</v>
        <stp/>
        <stp>##V3_BDPV12</stp>
        <stp>PEIX Equity</stp>
        <stp>Px Ask</stp>
        <stp>[Pricing File.xlsm]TotalReturnPricing!R181C7</stp>
        <tr r="G181" s="2"/>
      </tp>
      <tp>
        <v>23.07</v>
        <stp/>
        <stp>##V3_BDPV12</stp>
        <stp>SKYW Equity</stp>
        <stp>Px Ask</stp>
        <stp>[Pricing File.xlsm]TotalReturnPricing!R442C7</stp>
        <tr r="G442" s="2"/>
      </tp>
      <tp>
        <v>99.75</v>
        <stp/>
        <stp>##V3_BDPV12</stp>
        <stp>WM Equity</stp>
        <stp>Px Bid</stp>
        <stp>[Pricing File.xlsm]TotalReturnPricing!R635C6</stp>
        <tr r="F635" s="2"/>
      </tp>
      <tp>
        <v>1.64</v>
        <stp/>
        <stp>##V3_BDPV12</stp>
        <stp>SM Equity</stp>
        <stp>Px Bid</stp>
        <stp>[Pricing File.xlsm]TotalReturnPricing!R305C6</stp>
        <tr r="F305" s="2"/>
      </tp>
      <tp>
        <v>34.49</v>
        <stp/>
        <stp>##V3_BDPV12</stp>
        <stp>XOM Equity</stp>
        <stp>Px Ask</stp>
        <stp>[Pricing File.xlsm]TotalReturnPricing!R655C7</stp>
        <tr r="G655" s="2"/>
      </tp>
      <tp>
        <v>9.86</v>
        <stp/>
        <stp>##V3_BDPV12</stp>
        <stp>XHR Equity</stp>
        <stp>Px Ask</stp>
        <stp>[Pricing File.xlsm]TotalReturnPricing!R325C7</stp>
        <tr r="G325" s="2"/>
      </tp>
      <tp>
        <v>235.64</v>
        <stp/>
        <stp>##V3_BDPV12</stp>
        <stp>MA Equity</stp>
        <stp>Px Bid</stp>
        <stp>[Pricing File.xlsm]TotalReturnPricing!R805C6</stp>
        <tr r="F805" s="2"/>
      </tp>
      <tp>
        <v>34.450000000000003</v>
        <stp/>
        <stp>##V3_BDPV12</stp>
        <stp>MU Equity</stp>
        <stp>Px Bid</stp>
        <stp>[Pricing File.xlsm]TotalReturnPricing!R405C6</stp>
        <tr r="F405" s="2"/>
      </tp>
      <tp>
        <v>13.16</v>
        <stp/>
        <stp>##V3_BDPV12</stp>
        <stp>HA Equity</stp>
        <stp>Px Bid</stp>
        <stp>[Pricing File.xlsm]TotalReturnPricing!R485C6</stp>
        <tr r="F485" s="2"/>
      </tp>
      <tp>
        <v>48.85</v>
        <stp/>
        <stp>##V3_BDPV12</stp>
        <stp>MGRC Equity</stp>
        <stp>Px Bid</stp>
        <stp>[Pricing File.xlsm]TotalReturnPricing!R436C6</stp>
        <tr r="F436" s="2"/>
      </tp>
      <tp>
        <v>322.29000000000002</v>
        <stp/>
        <stp>##V3_BDPV12</stp>
        <stp>SHOP Equity</stp>
        <stp>Px Ask</stp>
        <stp>[Pricing File.xlsm]TotalReturnPricing!R672C7</stp>
        <tr r="G672" s="2"/>
      </tp>
      <tp>
        <v>5</v>
        <stp/>
        <stp>##V3_BDPV12</stp>
        <stp>ALGT 200417C00150000 Equity</stp>
        <stp>Px Ask</stp>
        <stp>[Pricing File.xlsm]TotalReturnPricing!R864C7</stp>
        <tr r="G864" s="2"/>
      </tp>
      <tp>
        <v>77.52</v>
        <stp/>
        <stp>##V3_BDPV12</stp>
        <stp>CBRL Equity</stp>
        <stp>Px Bid</stp>
        <stp>[Pricing File.xlsm]TotalReturnPricing!R748C6</stp>
        <tr r="F748" s="2"/>
      </tp>
      <tp>
        <v>76.28</v>
        <stp/>
        <stp>##V3_BDPV12</stp>
        <stp>CCOI Equity</stp>
        <stp>Px Bid</stp>
        <stp>[Pricing File.xlsm]TotalReturnPricing!R498C6</stp>
        <tr r="F498" s="2"/>
      </tp>
      <tp t="s">
        <v>#N/A N/A</v>
        <stp/>
        <stp>##V3_BDPV12</stp>
        <stp>AAC Equity</stp>
        <stp>Px Ask</stp>
        <stp>[Pricing File.xlsm]TotalReturnPricing!R184C7</stp>
        <tr r="G184" s="2"/>
      </tp>
      <tp>
        <v>46.44</v>
        <stp/>
        <stp>##V3_BDPV12</stp>
        <stp>ABG Equity</stp>
        <stp>Px Ask</stp>
        <stp>[Pricing File.xlsm]TotalReturnPricing!R114C7</stp>
        <tr r="G114" s="2"/>
      </tp>
      <tp>
        <v>95.26</v>
        <stp/>
        <stp>##V3_BDPV12</stp>
        <stp>AAP Equity</stp>
        <stp>Px Ask</stp>
        <stp>[Pricing File.xlsm]TotalReturnPricing!R704C7</stp>
        <tr r="G704" s="2"/>
      </tp>
      <tp>
        <v>9.8000000000000007</v>
        <stp/>
        <stp>##V3_BDPV12</stp>
        <stp>ANF Equity</stp>
        <stp>Px Ask</stp>
        <stp>[Pricing File.xlsm]TotalReturnPricing!R224C7</stp>
        <tr r="G224" s="2"/>
      </tp>
      <tp>
        <v>1.75</v>
        <stp/>
        <stp>##V3_BDPV12</stp>
        <stp>AQB Equity</stp>
        <stp>Px Ask</stp>
        <stp>[Pricing File.xlsm]TotalReturnPricing!R194C7</stp>
        <tr r="G194" s="2"/>
      </tp>
      <tp t="s">
        <v>#N/A N/A</v>
        <stp/>
        <stp>##V3_BDPV12</stp>
        <stp>APC Equity</stp>
        <stp>Px Ask</stp>
        <stp>[Pricing File.xlsm]TotalReturnPricing!R524C7</stp>
        <tr r="G524" s="2"/>
      </tp>
      <tp>
        <v>22.59</v>
        <stp/>
        <stp>##V3_BDPV12</stp>
        <stp>SRDX Equity</stp>
        <stp>Px Ask</stp>
        <stp>[Pricing File.xlsm]TotalReturnPricing!R383C7</stp>
        <tr r="G383" s="2"/>
      </tp>
      <tp>
        <v>13.4</v>
        <stp/>
        <stp>##V3_BDPV12</stp>
        <stp>URBN Equity</stp>
        <stp>Px Ask</stp>
        <stp>[Pricing File.xlsm]TotalReturnPricing!R315C7</stp>
        <tr r="G315" s="2"/>
      </tp>
      <tp>
        <v>93.41</v>
        <stp/>
        <stp>##V3_BDPV12</stp>
        <stp>CAT Equity</stp>
        <stp>Px Ask</stp>
        <stp>[Pricing File.xlsm]TotalReturnPricing!R714C7</stp>
        <tr r="G714" s="2"/>
      </tp>
      <tp>
        <v>47.98</v>
        <stp/>
        <stp>##V3_BDPV12</stp>
        <stp>CPA Equity</stp>
        <stp>Px Ask</stp>
        <stp>[Pricing File.xlsm]TotalReturnPricing!R724C7</stp>
        <tr r="G724" s="2"/>
      </tp>
      <tp>
        <v>9.11</v>
        <stp/>
        <stp>##V3_BDPV12</stp>
        <stp>CYD Equity</stp>
        <stp>Px Ask</stp>
        <stp>[Pricing File.xlsm]TotalReturnPricing!R344C7</stp>
        <tr r="G344" s="2"/>
      </tp>
      <tp>
        <v>2.27</v>
        <stp/>
        <stp>##V3_BDPV12</stp>
        <stp>BKD Equity</stp>
        <stp>Px Ask</stp>
        <stp>[Pricing File.xlsm]TotalReturnPricing!R264C7</stp>
        <tr r="G264" s="2"/>
      </tp>
      <tp>
        <v>23.93</v>
        <stp/>
        <stp>##V3_BDPV12</stp>
        <stp>EPR Equity</stp>
        <stp>Px Ask</stp>
        <stp>[Pricing File.xlsm]TotalReturnPricing!R624C7</stp>
        <tr r="G624" s="2"/>
      </tp>
      <tp>
        <v>75.95</v>
        <stp/>
        <stp>##V3_BDPV12</stp>
        <stp>DOV Equity</stp>
        <stp>Px Ask</stp>
        <stp>[Pricing File.xlsm]TotalReturnPricing!R664C7</stp>
        <tr r="G664" s="2"/>
      </tp>
      <tp>
        <v>21.2</v>
        <stp/>
        <stp>##V3_BDPV12</stp>
        <stp>DKS Equity</stp>
        <stp>Px Ask</stp>
        <stp>[Pricing File.xlsm]TotalReturnPricing!R454C7</stp>
        <tr r="G454" s="2"/>
      </tp>
      <tp>
        <v>8.34</v>
        <stp/>
        <stp>##V3_BDPV12</stp>
        <stp>GPS Equity</stp>
        <stp>Px Ask</stp>
        <stp>[Pricing File.xlsm]TotalReturnPricing!R364C7</stp>
        <tr r="G364" s="2"/>
      </tp>
      <tp>
        <v>139.83000000000001</v>
        <stp/>
        <stp>##V3_BDPV12</stp>
        <stp>GPN Equity</stp>
        <stp>Px Ask</stp>
        <stp>[Pricing File.xlsm]TotalReturnPricing!R684C7</stp>
        <tr r="G684" s="2"/>
      </tp>
      <tp>
        <v>6.7</v>
        <stp/>
        <stp>##V3_BDPV12</stp>
        <stp>STAY Equity</stp>
        <stp>Px Ask</stp>
        <stp>[Pricing File.xlsm]TotalReturnPricing!R823C7</stp>
        <tr r="G823" s="2"/>
      </tp>
      <tp>
        <v>90.5</v>
        <stp/>
        <stp>##V3_BDPV12</stp>
        <stp>FDX Equity</stp>
        <stp>Px Ask</stp>
        <stp>[Pricing File.xlsm]TotalReturnPricing!R774C7</stp>
        <tr r="G774" s="2"/>
      </tp>
      <tp>
        <v>84.45</v>
        <stp/>
        <stp>##V3_BDPV12</stp>
        <stp>HCA Equity</stp>
        <stp>Px Ask</stp>
        <stp>[Pricing File.xlsm]TotalReturnPricing!R654C7</stp>
        <tr r="G654" s="2"/>
      </tp>
      <tp>
        <v>1.4</v>
        <stp/>
        <stp>##V3_BDPV12</stp>
        <stp>HTZ 210115C00013000 Equity</stp>
        <stp>Px Ask</stp>
        <stp>[Pricing File.xlsm]TotalReturnPricing!R906C7</stp>
        <tr r="G906" s="2"/>
      </tp>
      <tp>
        <v>0.25</v>
        <stp/>
        <stp>##V3_BDPV12</stp>
        <stp>HTZ 200717C00020000 Equity</stp>
        <stp>Px Ask</stp>
        <stp>[Pricing File.xlsm]TotalReturnPricing!R903C7</stp>
        <tr r="G903" s="2"/>
      </tp>
      <tp t="s">
        <v>#N/A N/A</v>
        <stp/>
        <stp>##V3_BDPV12</stp>
        <stp>EXPE 200221C00105000 Equity</stp>
        <stp>Px Ask</stp>
        <stp>[Pricing File.xlsm]TotalReturnPricing!R882C7</stp>
        <tr r="G882" s="2"/>
      </tp>
      <tp>
        <v>0.53469999999999995</v>
        <stp/>
        <stp>##V3_BDPV12</stp>
        <stp>JCP Equity</stp>
        <stp>Px Ask</stp>
        <stp>[Pricing File.xlsm]TotalReturnPricing!R174C7</stp>
        <tr r="G174" s="2"/>
      </tp>
      <tp>
        <v>121.28</v>
        <stp/>
        <stp>##V3_BDPV12</stp>
        <stp>MCK Equity</stp>
        <stp>Px Ask</stp>
        <stp>[Pricing File.xlsm]TotalReturnPricing!R754C7</stp>
        <tr r="G754" s="2"/>
      </tp>
      <tp>
        <v>35.15</v>
        <stp/>
        <stp>##V3_BDPV12</stp>
        <stp>MAS Equity</stp>
        <stp>Px Ask</stp>
        <stp>[Pricing File.xlsm]TotalReturnPricing!R464C7</stp>
        <tr r="G464" s="2"/>
      </tp>
      <tp>
        <v>76.06</v>
        <stp/>
        <stp>##V3_BDPV12</stp>
        <stp>LAD Equity</stp>
        <stp>Px Ask</stp>
        <stp>[Pricing File.xlsm]TotalReturnPricing!R694C7</stp>
        <tr r="G694" s="2"/>
      </tp>
      <tp>
        <v>40.39</v>
        <stp/>
        <stp>##V3_BDPV12</stp>
        <stp>LVS Equity</stp>
        <stp>Px Ask</stp>
        <stp>[Pricing File.xlsm]TotalReturnPricing!R594C7</stp>
        <tr r="G594" s="2"/>
      </tp>
      <tp>
        <v>51.27</v>
        <stp/>
        <stp>##V3_BDPV12</stp>
        <stp>CRUS Equity</stp>
        <stp>Px Bid</stp>
        <stp>[Pricing File.xlsm]TotalReturnPricing!R599C6</stp>
        <tr r="F599" s="2"/>
      </tp>
      <tp>
        <v>213.53</v>
        <stp/>
        <stp>##V3_BDPV12</stp>
        <stp>LRCX Equity</stp>
        <stp>Px Bid</stp>
        <stp>[Pricing File.xlsm]TotalReturnPricing!R756C6</stp>
        <tr r="F756" s="2"/>
      </tp>
      <tp>
        <v>30.9</v>
        <stp/>
        <stp>##V3_BDPV12</stp>
        <stp>NYT Equity</stp>
        <stp>Px Ask</stp>
        <stp>[Pricing File.xlsm]TotalReturnPricing!R324C7</stp>
        <tr r="G324" s="2"/>
      </tp>
      <tp>
        <v>14.21</v>
        <stp/>
        <stp>##V3_BDPV12</stp>
        <stp>MLCO Equity</stp>
        <stp>Px Bid</stp>
        <stp>[Pricing File.xlsm]TotalReturnPricing!R817C6</stp>
        <tr r="F817" s="2"/>
      </tp>
      <tp>
        <v>129.5</v>
        <stp/>
        <stp>##V3_BDPV12</stp>
        <stp>KLAC Equity</stp>
        <stp>Px Bid</stp>
        <stp>[Pricing File.xlsm]TotalReturnPricing!R691C6</stp>
        <tr r="F691" s="2"/>
      </tp>
      <tp>
        <v>5.25</v>
        <stp/>
        <stp>##V3_BDPV12</stp>
        <stp>TBBK Equity</stp>
        <stp>Px Ask</stp>
        <stp>[Pricing File.xlsm]TotalReturnPricing!R204C7</stp>
        <tr r="G204" s="2"/>
      </tp>
      <tp>
        <v>30.64</v>
        <stp/>
        <stp>##V3_BDPV12</stp>
        <stp>PTR Equity</stp>
        <stp>Px Ask</stp>
        <stp>[Pricing File.xlsm]TotalReturnPricing!R604C7</stp>
        <tr r="G604" s="2"/>
      </tp>
      <tp>
        <v>18.739999999999998</v>
        <stp/>
        <stp>##V3_BDPV12</stp>
        <stp>SANM Equity</stp>
        <stp>Px Ask</stp>
        <stp>[Pricing File.xlsm]TotalReturnPricing!R453C7</stp>
        <tr r="G453" s="2"/>
      </tp>
      <tp>
        <v>6.8</v>
        <stp/>
        <stp>##V3_BDPV12</stp>
        <stp>SLM Equity</stp>
        <stp>Px Ask</stp>
        <stp>[Pricing File.xlsm]TotalReturnPricing!R234C7</stp>
        <tr r="G234" s="2"/>
      </tp>
      <tp>
        <v>12.03</v>
        <stp/>
        <stp>##V3_BDPV12</stp>
        <stp>SUM Equity</stp>
        <stp>Px Ask</stp>
        <stp>[Pricing File.xlsm]TotalReturnPricing!R394C7</stp>
        <tr r="G394" s="2"/>
      </tp>
      <tp>
        <v>8.5</v>
        <stp/>
        <stp>##V3_BDPV12</stp>
        <stp>COWN Equity</stp>
        <stp>Px Bid</stp>
        <stp>[Pricing File.xlsm]TotalReturnPricing!R289C6</stp>
        <tr r="F289" s="2"/>
      </tp>
      <tp>
        <v>33.880000000000003</v>
        <stp/>
        <stp>##V3_BDPV12</stp>
        <stp>LOGI Equity</stp>
        <stp>Px Bid</stp>
        <stp>[Pricing File.xlsm]TotalReturnPricing!R446C6</stp>
        <tr r="F446" s="2"/>
      </tp>
      <tp>
        <v>13.12</v>
        <stp/>
        <stp>##V3_BDPV12</stp>
        <stp>RAD Equity</stp>
        <stp>Px Ask</stp>
        <stp>[Pricing File.xlsm]TotalReturnPricing!R144C7</stp>
        <tr r="G144" s="2"/>
      </tp>
      <tp>
        <v>1.61</v>
        <stp/>
        <stp>##V3_BDPV12</stp>
        <stp>RRD Equity</stp>
        <stp>Px Ask</stp>
        <stp>[Pricing File.xlsm]TotalReturnPricing!R244C7</stp>
        <tr r="G244" s="2"/>
      </tp>
      <tp>
        <v>9.51</v>
        <stp/>
        <stp>##V3_BDPV12</stp>
        <stp>RWT Equity</stp>
        <stp>Px Ask</stp>
        <stp>[Pricing File.xlsm]TotalReturnPricing!R294C7</stp>
        <tr r="G294" s="2"/>
      </tp>
      <tp t="s">
        <v>#N/A N/A</v>
        <stp/>
        <stp>##V3_BDPV12</stp>
        <stp>SKYW 200417C00065000 Equity</stp>
        <stp>Px Bid</stp>
        <stp>[Pricing File.xlsm]TotalReturnPricing!R878C6</stp>
        <tr r="F878" s="2"/>
      </tp>
      <tp>
        <v>15.68</v>
        <stp/>
        <stp>##V3_BDPV12</stp>
        <stp>BHLB Equity</stp>
        <stp>Px Bid</stp>
        <stp>[Pricing File.xlsm]TotalReturnPricing!R458C6</stp>
        <tr r="F458" s="2"/>
      </tp>
      <tp>
        <v>1.6E-2</v>
        <stp/>
        <stp>##V3_BDPV12</stp>
        <stp>PFTI Equity</stp>
        <stp>Px Ask</stp>
        <stp>[Pricing File.xlsm]TotalReturnPricing!R120C7</stp>
        <tr r="G120" s="2"/>
      </tp>
      <tp>
        <v>21.76</v>
        <stp/>
        <stp>##V3_BDPV12</stp>
        <stp>PFSI Equity</stp>
        <stp>Px Ask</stp>
        <stp>[Pricing File.xlsm]TotalReturnPricing!R300C7</stp>
        <tr r="G300" s="2"/>
      </tp>
      <tp>
        <v>48.16</v>
        <stp/>
        <stp>##V3_BDPV12</stp>
        <stp>TER Equity</stp>
        <stp>Px Ask</stp>
        <stp>[Pricing File.xlsm]TotalReturnPricing!R434C7</stp>
        <tr r="G434" s="2"/>
      </tp>
      <tp>
        <v>14.98</v>
        <stp/>
        <stp>##V3_BDPV12</stp>
        <stp>THC Equity</stp>
        <stp>Px Ask</stp>
        <stp>[Pricing File.xlsm]TotalReturnPricing!R304C7</stp>
        <tr r="G304" s="2"/>
      </tp>
      <tp>
        <v>13.36</v>
        <stp/>
        <stp>##V3_BDPV12</stp>
        <stp>TSG Equity</stp>
        <stp>Px Ask</stp>
        <stp>[Pricing File.xlsm]TotalReturnPricing!R804C7</stp>
        <tr r="G804" s="2"/>
      </tp>
      <tp>
        <v>26.49</v>
        <stp/>
        <stp>##V3_BDPV12</stp>
        <stp>SERV Equity</stp>
        <stp>Px Ask</stp>
        <stp>[Pricing File.xlsm]TotalReturnPricing!R483C7</stp>
        <tr r="G483" s="2"/>
      </tp>
      <tp>
        <v>2.46</v>
        <stp/>
        <stp>##V3_BDPV12</stp>
        <stp>WETF Equity</stp>
        <stp>Px Ask</stp>
        <stp>[Pricing File.xlsm]TotalReturnPricing!R227C7</stp>
        <tr r="G227" s="2"/>
      </tp>
      <tp>
        <v>8.5399999999999991</v>
        <stp/>
        <stp>##V3_BDPV12</stp>
        <stp>PENN Equity</stp>
        <stp>Px Ask</stp>
        <stp>[Pricing File.xlsm]TotalReturnPricing!R330C7</stp>
        <tr r="G330" s="2"/>
      </tp>
      <tp>
        <v>0.53</v>
        <stp/>
        <stp>##V3_BDPV12</stp>
        <stp>UAL 200619C00090000 Equity</stp>
        <stp>Px Ask</stp>
        <stp>[Pricing File.xlsm]TotalReturnPricing!R872C7</stp>
        <tr r="G872" s="2"/>
      </tp>
      <tp>
        <v>23.07</v>
        <stp/>
        <stp>##V3_BDPV12</stp>
        <stp>SKYW Equity</stp>
        <stp>Px Ask</stp>
        <stp>[Pricing File.xlsm]TotalReturnPricing!R833C7</stp>
        <tr r="G833" s="2"/>
      </tp>
      <tp>
        <v>85.32</v>
        <stp/>
        <stp>##V3_BDPV12</stp>
        <stp>NDAQ Equity</stp>
        <stp>Px Bid</stp>
        <stp>[Pricing File.xlsm]TotalReturnPricing!R634C6</stp>
        <tr r="F634" s="2"/>
      </tp>
      <tp>
        <v>9.4</v>
        <stp/>
        <stp>##V3_BDPV12</stp>
        <stp>BV Equity</stp>
        <stp>Px Bid</stp>
        <stp>[Pricing File.xlsm]TotalReturnPricing!R164C6</stp>
        <tr r="F164" s="2"/>
      </tp>
      <tp>
        <v>34.450000000000003</v>
        <stp/>
        <stp>##V3_BDPV12</stp>
        <stp>MU Equity</stp>
        <stp>Px Bid</stp>
        <stp>[Pricing File.xlsm]TotalReturnPricing!R404C6</stp>
        <tr r="F404" s="2"/>
      </tp>
      <tp>
        <v>13.16</v>
        <stp/>
        <stp>##V3_BDPV12</stp>
        <stp>HA Equity</stp>
        <stp>Px Bid</stp>
        <stp>[Pricing File.xlsm]TotalReturnPricing!R484C6</stp>
        <tr r="F484" s="2"/>
      </tp>
      <tp>
        <v>0.35</v>
        <stp/>
        <stp>##V3_BDPV12</stp>
        <stp>PFSI 200821C00035000 Equity</stp>
        <stp>Px Bid</stp>
        <stp>[Pricing File.xlsm]TotalReturnPricing!R897C6</stp>
        <tr r="F897" s="2"/>
      </tp>
      <tp>
        <v>5.05</v>
        <stp/>
        <stp>##V3_BDPV12</stp>
        <stp>TIVO Equity</stp>
        <stp>Px Ask</stp>
        <stp>[Pricing File.xlsm]TotalReturnPricing!R314C7</stp>
        <tr r="G314" s="2"/>
      </tp>
      <tp>
        <v>7.51</v>
        <stp/>
        <stp>##V3_BDPV12</stp>
        <stp>QNST Equity</stp>
        <stp>Px Ask</stp>
        <stp>[Pricing File.xlsm]TotalReturnPricing!R821C7</stp>
        <tr r="G821" s="2"/>
      </tp>
      <tp>
        <v>10.61</v>
        <stp/>
        <stp>##V3_BDPV12</stp>
        <stp>JBLU Equity</stp>
        <stp>Px Bid</stp>
        <stp>[Pricing File.xlsm]TotalReturnPricing!R340C6</stp>
        <tr r="F340" s="2"/>
      </tp>
      <tp>
        <v>6.08</v>
        <stp/>
        <stp>##V3_BDPV12</stp>
        <stp>BBBY Equity</stp>
        <stp>Px Bid</stp>
        <stp>[Pricing File.xlsm]TotalReturnPricing!R408C6</stp>
        <tr r="F408" s="2"/>
      </tp>
      <tp>
        <v>0.19</v>
        <stp/>
        <stp>##V3_BDPV12</stp>
        <stp>RMBL Equity</stp>
        <stp>Px Ask</stp>
        <stp>[Pricing File.xlsm]TotalReturnPricing!R122C7</stp>
        <tr r="G122" s="2"/>
      </tp>
      <tp>
        <v>1073</v>
        <stp/>
        <stp>##V3_BDPV12</stp>
        <stp>GOOGL Equity</stp>
        <stp>Px Last</stp>
        <stp>[Pricing File.xlsm]TotalReturnPricing!R791C5</stp>
        <tr r="E791" s="2"/>
      </tp>
      <tp>
        <v>2E-3</v>
        <stp/>
        <stp>##V3_BDPV12</stp>
        <stp>BLIAQ Equity</stp>
        <stp>Px Last</stp>
        <stp>[Pricing File.xlsm]TotalReturnPricing!R117C5</stp>
        <tr r="E117" s="2"/>
      </tp>
      <tp t="s">
        <v>#N/A Field Not Applicable</v>
        <stp/>
        <stp>##V3_BDPV12</stp>
        <stp>DY Equity</stp>
        <stp>OPT_DELTA</stp>
        <stp>[Pricing File.xlsm]TotalReturnPricing!R676C8</stp>
        <tr r="H676" s="2"/>
      </tp>
      <tp>
        <v>77.25</v>
        <stp/>
        <stp>##V3_BDPV12</stp>
        <stp>KAMBI SS Equity</stp>
        <stp>Px Bid</stp>
        <stp>[Pricing File.xlsm]TotalReturnPricing!R75C6</stp>
        <tr r="F75" s="2"/>
      </tp>
      <tp>
        <v>20.63</v>
        <stp/>
        <stp>##V3_BDPV12</stp>
        <stp>DISCA Equity</stp>
        <stp>Px Ask</stp>
        <stp>[Pricing File.xlsm]TotalReturnPricing!R378C7</stp>
        <tr r="G378" s="2"/>
      </tp>
      <tp>
        <v>152.54</v>
        <stp/>
        <stp>##V3_BDPV12</stp>
        <stp>ACN Equity</stp>
        <stp>Px Ask</stp>
        <stp>[Pricing File.xlsm]TotalReturnPricing!R727C7</stp>
        <tr r="G727" s="2"/>
      </tp>
      <tp>
        <v>35.51</v>
        <stp/>
        <stp>##V3_BDPV12</stp>
        <stp>AIV Equity</stp>
        <stp>Px Ask</stp>
        <stp>[Pricing File.xlsm]TotalReturnPricing!R497C7</stp>
        <tr r="G497" s="2"/>
      </tp>
      <tp>
        <v>851.57</v>
        <stp/>
        <stp>##V3_BDPV12</stp>
        <stp>AZO Equity</stp>
        <stp>Px Ask</stp>
        <stp>[Pricing File.xlsm]TotalReturnPricing!R787C7</stp>
        <tr r="G787" s="2"/>
      </tp>
      <tp>
        <v>0.50009999999999999</v>
        <stp/>
        <stp>##V3_BDPV12</stp>
        <stp>PRTY Equity</stp>
        <stp>Px Ask</stp>
        <stp>[Pricing File.xlsm]TotalReturnPricing!R263C7</stp>
        <tr r="G263" s="2"/>
      </tp>
      <tp>
        <v>29.62</v>
        <stp/>
        <stp>##V3_BDPV12</stp>
        <stp>PRAA Equity</stp>
        <stp>Px Ask</stp>
        <stp>[Pricing File.xlsm]TotalReturnPricing!R473C7</stp>
        <tr r="G473" s="2"/>
      </tp>
      <tp>
        <v>63.96</v>
        <stp/>
        <stp>##V3_BDPV12</stp>
        <stp>TREX Equity</stp>
        <stp>Px Ask</stp>
        <stp>[Pricing File.xlsm]TotalReturnPricing!R637C7</stp>
        <tr r="G637" s="2"/>
      </tp>
      <tp>
        <v>54.03</v>
        <stp/>
        <stp>##V3_BDPV12</stp>
        <stp>CNC Equity</stp>
        <stp>Px Ask</stp>
        <stp>[Pricing File.xlsm]TotalReturnPricing!R657C7</stp>
        <tr r="G657" s="2"/>
      </tp>
      <tp>
        <v>131.44999999999999</v>
        <stp/>
        <stp>##V3_BDPV12</stp>
        <stp>CMI Equity</stp>
        <stp>Px Ask</stp>
        <stp>[Pricing File.xlsm]TotalReturnPricing!R757C7</stp>
        <tr r="G757" s="2"/>
      </tp>
      <tp>
        <v>19.34</v>
        <stp/>
        <stp>##V3_BDPV12</stp>
        <stp>CIT Equity</stp>
        <stp>Px Ask</stp>
        <stp>[Pricing File.xlsm]TotalReturnPricing!R527C7</stp>
        <tr r="G527" s="2"/>
      </tp>
      <tp>
        <v>40.020000000000003</v>
        <stp/>
        <stp>##V3_BDPV12</stp>
        <stp>EMN Equity</stp>
        <stp>Px Ask</stp>
        <stp>[Pricing File.xlsm]TotalReturnPricing!R667C7</stp>
        <tr r="G667" s="2"/>
      </tp>
      <tp>
        <v>13.79</v>
        <stp/>
        <stp>##V3_BDPV12</stp>
        <stp>ERI Equity</stp>
        <stp>Px Ask</stp>
        <stp>[Pricing File.xlsm]TotalReturnPricing!R327C7</stp>
        <tr r="G327" s="2"/>
      </tp>
      <tp>
        <v>40.51</v>
        <stp/>
        <stp>##V3_BDPV12</stp>
        <stp>GPI Equity</stp>
        <stp>Px Ask</stp>
        <stp>[Pricing File.xlsm]TotalReturnPricing!R587C7</stp>
        <tr r="G587" s="2"/>
      </tp>
      <tp>
        <v>50.63</v>
        <stp/>
        <stp>##V3_BDPV12</stp>
        <stp>QTWO Equity</stp>
        <stp>Px Ask</stp>
        <stp>[Pricing File.xlsm]TotalReturnPricing!R472C7</stp>
        <tr r="G472" s="2"/>
      </tp>
      <tp>
        <v>6.24</v>
        <stp/>
        <stp>##V3_BDPV12</stp>
        <stp>FCX Equity</stp>
        <stp>Px Ask</stp>
        <stp>[Pricing File.xlsm]TotalReturnPricing!R267C7</stp>
        <tr r="G267" s="2"/>
      </tp>
      <tp>
        <v>0.79010000000000002</v>
        <stp/>
        <stp>##V3_BDPV12</stp>
        <stp>FLL Equity</stp>
        <stp>Px Ask</stp>
        <stp>[Pricing File.xlsm]TotalReturnPricing!R147C7</stp>
        <tr r="G147" s="2"/>
      </tp>
      <tp t="s">
        <v>#N/A Field Not Applicable</v>
        <stp/>
        <stp>##V3_BDPV12</stp>
        <stp>USGG10YR Index</stp>
        <stp>OPT_DELTA</stp>
        <stp>[Pricing File.xlsm]TotalReturnPricing!R145C8</stp>
        <tr r="H145" s="2"/>
      </tp>
      <tp t="s">
        <v>#N/A N/A</v>
        <stp/>
        <stp>##V3_BDPV12</stp>
        <stp>ATHN Equity</stp>
        <stp>Px Bid</stp>
        <stp>[Pricing File.xlsm]TotalReturnPricing!R738C6</stp>
        <tr r="F738" s="2"/>
      </tp>
      <tp>
        <v>69.540000000000006</v>
        <stp/>
        <stp>##V3_BDPV12</stp>
        <stp>HLT Equity</stp>
        <stp>Px Ask</stp>
        <stp>[Pricing File.xlsm]TotalReturnPricing!R847C7</stp>
        <tr r="G847" s="2"/>
      </tp>
      <tp>
        <v>15.72</v>
        <stp/>
        <stp>##V3_BDPV12</stp>
        <stp>HRB Equity</stp>
        <stp>Px Ask</stp>
        <stp>[Pricing File.xlsm]TotalReturnPricing!R407C7</stp>
        <tr r="G407" s="2"/>
      </tp>
      <tp>
        <v>6.11</v>
        <stp/>
        <stp>##V3_BDPV12</stp>
        <stp>HTZ Equity</stp>
        <stp>Px Ask</stp>
        <stp>[Pricing File.xlsm]TotalReturnPricing!R297C7</stp>
        <tr r="G297" s="2"/>
      </tp>
      <tp>
        <v>92.18</v>
        <stp/>
        <stp>##V3_BDPV12</stp>
        <stp>PYPL Equity</stp>
        <stp>Px Ask</stp>
        <stp>[Pricing File.xlsm]TotalReturnPricing!R583C7</stp>
        <tr r="G583" s="2"/>
      </tp>
      <tp>
        <v>114.21</v>
        <stp/>
        <stp>##V3_BDPV12</stp>
        <stp>KSU Equity</stp>
        <stp>Px Ask</stp>
        <stp>[Pricing File.xlsm]TotalReturnPricing!R697C7</stp>
        <tr r="G697" s="2"/>
      </tp>
      <tp>
        <v>3.98</v>
        <stp/>
        <stp>##V3_BDPV12</stp>
        <stp>MRC Equity</stp>
        <stp>Px Ask</stp>
        <stp>[Pricing File.xlsm]TotalReturnPricing!R287C7</stp>
        <tr r="G287" s="2"/>
      </tp>
      <tp t="s">
        <v>#N/A N/A</v>
        <stp/>
        <stp>##V3_BDPV12</stp>
        <stp>MPO Equity</stp>
        <stp>Px Ask</stp>
        <stp>[Pricing File.xlsm]TotalReturnPricing!R257C7</stp>
        <tr r="G257" s="2"/>
      </tp>
      <tp>
        <v>15.05</v>
        <stp/>
        <stp>##V3_BDPV12</stp>
        <stp>MYL Equity</stp>
        <stp>Px Ask</stp>
        <stp>[Pricing File.xlsm]TotalReturnPricing!R467C7</stp>
        <tr r="G467" s="2"/>
      </tp>
      <tp>
        <v>36.72</v>
        <stp/>
        <stp>##V3_BDPV12</stp>
        <stp>LEN Equity</stp>
        <stp>Px Ask</stp>
        <stp>[Pricing File.xlsm]TotalReturnPricing!R557C7</stp>
        <tr r="G557" s="2"/>
      </tp>
      <tp>
        <v>37.520000000000003</v>
        <stp/>
        <stp>##V3_BDPV12</stp>
        <stp>LUV Equity</stp>
        <stp>Px Ask</stp>
        <stp>[Pricing File.xlsm]TotalReturnPricing!R567C7</stp>
        <tr r="G567" s="2"/>
      </tp>
      <tp>
        <v>20.03</v>
        <stp/>
        <stp>##V3_BDPV12</stp>
        <stp>LZB Equity</stp>
        <stp>Px Ask</stp>
        <stp>[Pricing File.xlsm]TotalReturnPricing!R427C7</stp>
        <tr r="G427" s="2"/>
      </tp>
      <tp>
        <v>35.03</v>
        <stp/>
        <stp>##V3_BDPV12</stp>
        <stp>ARCH Equity</stp>
        <stp>Px Bid</stp>
        <stp>[Pricing File.xlsm]TotalReturnPricing!R628C6</stp>
        <tr r="F628" s="2"/>
      </tp>
      <tp t="s">
        <v>#N/A N/A</v>
        <stp/>
        <stp>##V3_BDPV12</stp>
        <stp>NFX Equity</stp>
        <stp>Px Ask</stp>
        <stp>[Pricing File.xlsm]TotalReturnPricing!R397C7</stp>
        <tr r="G397" s="2"/>
      </tp>
      <tp>
        <v>1.38</v>
        <stp/>
        <stp>##V3_BDPV12</stp>
        <stp>RCMT Equity</stp>
        <stp>Px Ask</stp>
        <stp>[Pricing File.xlsm]TotalReturnPricing!R171C7</stp>
        <tr r="G171" s="2"/>
      </tp>
      <tp>
        <v>30.58</v>
        <stp/>
        <stp>##V3_BDPV12</stp>
        <stp>SCHW Equity</stp>
        <stp>Px Ask</stp>
        <stp>[Pricing File.xlsm]TotalReturnPricing!R490C7</stp>
        <tr r="G490" s="2"/>
      </tp>
      <tp>
        <v>129.5</v>
        <stp/>
        <stp>##V3_BDPV12</stp>
        <stp>KLAC Equity</stp>
        <stp>Px Bid</stp>
        <stp>[Pricing File.xlsm]TotalReturnPricing!R692C6</stp>
        <tr r="F692" s="2"/>
      </tp>
      <tp>
        <v>8.35</v>
        <stp/>
        <stp>##V3_BDPV12</stp>
        <stp>RBCN Equity</stp>
        <stp>Px Ask</stp>
        <stp>[Pricing File.xlsm]TotalReturnPricing!R211C7</stp>
        <tr r="G211" s="2"/>
      </tp>
      <tp>
        <v>10.6</v>
        <stp/>
        <stp>##V3_BDPV12</stp>
        <stp>PBF Equity</stp>
        <stp>Px Ask</stp>
        <stp>[Pricing File.xlsm]TotalReturnPricing!R347C7</stp>
        <tr r="G347" s="2"/>
      </tp>
      <tp>
        <v>224.03</v>
        <stp/>
        <stp>##V3_BDPV12</stp>
        <stp>ANTM Equity</stp>
        <stp>Px Bid</stp>
        <stp>[Pricing File.xlsm]TotalReturnPricing!R708C6</stp>
        <tr r="F708" s="2"/>
      </tp>
      <tp>
        <v>7.36</v>
        <stp/>
        <stp>##V3_BDPV12</stp>
        <stp>INFY Equity</stp>
        <stp>Px Bid</stp>
        <stp>[Pricing File.xlsm]TotalReturnPricing!R280C6</stp>
        <tr r="F280" s="2"/>
      </tp>
      <tp>
        <v>10.56</v>
        <stp/>
        <stp>##V3_BDPV12</stp>
        <stp>SIG Equity</stp>
        <stp>Px Ask</stp>
        <stp>[Pricing File.xlsm]TotalReturnPricing!R597C7</stp>
        <tr r="G597" s="2"/>
      </tp>
      <tp>
        <v>239.44</v>
        <stp/>
        <stp>##V3_BDPV12</stp>
        <stp>SPY Equity</stp>
        <stp>Px Ask</stp>
        <stp>[Pricing File.xlsm]TotalReturnPricing!R827C7</stp>
        <tr r="G827" s="2"/>
      </tp>
      <tp>
        <v>104.93</v>
        <stp/>
        <stp>##V3_BDPV12</stp>
        <stp>LHCG Equity</stp>
        <stp>Px Bid</stp>
        <stp>[Pricing File.xlsm]TotalReturnPricing!R575C6</stp>
        <tr r="F575" s="2"/>
      </tp>
      <tp>
        <v>39.46</v>
        <stp/>
        <stp>##V3_BDPV12</stp>
        <stp>QGEN Equity</stp>
        <stp>Px Ask</stp>
        <stp>[Pricing File.xlsm]TotalReturnPricing!R432C7</stp>
        <tr r="G432" s="2"/>
      </tp>
      <tp>
        <v>35.479999999999997</v>
        <stp/>
        <stp>##V3_BDPV12</stp>
        <stp>UAL Equity</stp>
        <stp>Px Ask</stp>
        <stp>[Pricing File.xlsm]TotalReturnPricing!R617C7</stp>
        <tr r="G617" s="2"/>
      </tp>
      <tp>
        <v>13.96</v>
        <stp/>
        <stp>##V3_BDPV12</stp>
        <stp>UNG Equity</stp>
        <stp>Px Ask</stp>
        <stp>[Pricing File.xlsm]TotalReturnPricing!R187C7</stp>
        <tr r="G187" s="2"/>
      </tp>
      <tp t="s">
        <v>#N/A N/A</v>
        <stp/>
        <stp>##V3_BDPV12</stp>
        <stp>USG Equity</stp>
        <stp>Px Ask</stp>
        <stp>[Pricing File.xlsm]TotalReturnPricing!R387C7</stp>
        <tr r="G387" s="2"/>
      </tp>
      <tp>
        <v>110</v>
        <stp/>
        <stp>##V3_BDPV12</stp>
        <stp>WEX Equity</stp>
        <stp>Px Ask</stp>
        <stp>[Pricing File.xlsm]TotalReturnPricing!R707C7</stp>
        <tr r="G707" s="2"/>
      </tp>
      <tp>
        <v>45.08</v>
        <stp/>
        <stp>##V3_BDPV12</stp>
        <stp>WBA Equity</stp>
        <stp>Px Ask</stp>
        <stp>[Pricing File.xlsm]TotalReturnPricing!R647C7</stp>
        <tr r="G647" s="2"/>
      </tp>
      <tp>
        <v>13.5</v>
        <stp/>
        <stp>##V3_BDPV12</stp>
        <stp>WMB Equity</stp>
        <stp>Px Ask</stp>
        <stp>[Pricing File.xlsm]TotalReturnPricing!R417C7</stp>
        <tr r="G417" s="2"/>
      </tp>
      <tp>
        <v>35.58</v>
        <stp/>
        <stp>##V3_BDPV12</stp>
        <stp>WSM Equity</stp>
        <stp>Px Ask</stp>
        <stp>[Pricing File.xlsm]TotalReturnPricing!R517C7</stp>
        <tr r="G517" s="2"/>
      </tp>
      <tp>
        <v>66.790000000000006</v>
        <stp/>
        <stp>##V3_BDPV12</stp>
        <stp>VAC Equity</stp>
        <stp>Px Ask</stp>
        <stp>[Pricing File.xlsm]TotalReturnPricing!R717C7</stp>
        <tr r="G717" s="2"/>
      </tp>
      <tp>
        <v>86.23</v>
        <stp/>
        <stp>##V3_BDPV12</stp>
        <stp>VMI Equity</stp>
        <stp>Px Ask</stp>
        <stp>[Pricing File.xlsm]TotalReturnPricing!R747C7</stp>
        <tr r="G747" s="2"/>
      </tp>
      <tp>
        <v>95.9</v>
        <stp/>
        <stp>##V3_BDPV12</stp>
        <stp>VMW Equity</stp>
        <stp>Px Ask</stp>
        <stp>[Pricing File.xlsm]TotalReturnPricing!R677C7</stp>
        <tr r="G677" s="2"/>
      </tp>
      <tp>
        <v>8.8000000000000007</v>
        <stp/>
        <stp>##V3_BDPV12</stp>
        <stp>UAL 200417P00035000 Equity</stp>
        <stp>Px Ask</stp>
        <stp>[Pricing File.xlsm]TotalReturnPricing!R916C7</stp>
        <tr r="G916" s="2"/>
      </tp>
      <tp>
        <v>36.72</v>
        <stp/>
        <stp>##V3_BDPV12</stp>
        <stp>SF Equity</stp>
        <stp>Px Bid</stp>
        <stp>[Pricing File.xlsm]TotalReturnPricing!R537C6</stp>
        <tr r="F537" s="2"/>
      </tp>
      <tp>
        <v>21</v>
        <stp/>
        <stp>##V3_BDPV12</stp>
        <stp>GM Equity</stp>
        <stp>Px Bid</stp>
        <stp>[Pricing File.xlsm]TotalReturnPricing!R447C6</stp>
        <tr r="F447" s="2"/>
      </tp>
      <tp t="s">
        <v>#N/A N/A</v>
        <stp/>
        <stp>##V3_BDPV12</stp>
        <stp>PENN 200417C00035000 Equity</stp>
        <stp>Px Bid</stp>
        <stp>[Pricing File.xlsm]TotalReturnPricing!R908C6</stp>
        <tr r="F908" s="2"/>
      </tp>
      <tp>
        <v>0.61</v>
        <stp/>
        <stp>##V3_BDPV12</stp>
        <stp>RNWK Equity</stp>
        <stp>Px Ask</stp>
        <stp>[Pricing File.xlsm]TotalReturnPricing!R161C7</stp>
        <tr r="G161" s="2"/>
      </tp>
      <tp>
        <v>77.650000000000006</v>
        <stp/>
        <stp>##V3_BDPV12</stp>
        <stp>KAMBI SS Equity</stp>
        <stp>Px Ask</stp>
        <stp>[Pricing File.xlsm]TotalReturnPricing!R75C7</stp>
        <tr r="G75" s="2"/>
      </tp>
      <tp>
        <v>12.23</v>
        <stp/>
        <stp>##V3_BDPV12</stp>
        <stp>DGICA Equity</stp>
        <stp>Px Last</stp>
        <stp>[Pricing File.xlsm]TotalReturnPricing!R274C5</stp>
        <tr r="E274" s="2"/>
      </tp>
      <tp t="s">
        <v>#N/A Field Not Applicable</v>
        <stp/>
        <stp>##V3_BDPV12</stp>
        <stp>VZ Equity</stp>
        <stp>OPT_DELTA</stp>
        <stp>[Pricing File.xlsm]TotalReturnPricing!R526C8</stp>
        <tr r="H526" s="2"/>
      </tp>
      <tp t="s">
        <v>#N/A Field Not Applicable</v>
        <stp/>
        <stp>##V3_BDPV12</stp>
        <stp>WU Equity</stp>
        <stp>OPT_DELTA</stp>
        <stp>[Pricing File.xlsm]TotalReturnPricing!R319C8</stp>
        <tr r="H319" s="2"/>
      </tp>
      <tp>
        <v>5.1100000000000003</v>
        <stp/>
        <stp>##V3_BDPV12</stp>
        <stp>TROX Equity</stp>
        <stp>Px Ask</stp>
        <stp>[Pricing File.xlsm]TotalReturnPricing!R316C7</stp>
        <tr r="G316" s="2"/>
      </tp>
      <tp>
        <v>55.45</v>
        <stp/>
        <stp>##V3_BDPV12</stp>
        <stp>COF Equity</stp>
        <stp>Px Ask</stp>
        <stp>[Pricing File.xlsm]TotalReturnPricing!R666C7</stp>
        <tr r="G666" s="2"/>
      </tp>
      <tp>
        <v>31.48</v>
        <stp/>
        <stp>##V3_BDPV12</stp>
        <stp>CMA Equity</stp>
        <stp>Px Ask</stp>
        <stp>[Pricing File.xlsm]TotalReturnPricing!R626C7</stp>
        <tr r="G626" s="2"/>
      </tp>
      <tp>
        <v>52.31</v>
        <stp/>
        <stp>##V3_BDPV12</stp>
        <stp>CVS Equity</stp>
        <stp>Px Ask</stp>
        <stp>[Pricing File.xlsm]TotalReturnPricing!R816C7</stp>
        <tr r="G816" s="2"/>
      </tp>
      <tp>
        <v>1.95</v>
        <stp/>
        <stp>##V3_BDPV12</stp>
        <stp>EVC Equity</stp>
        <stp>Px Ask</stp>
        <stp>[Pricing File.xlsm]TotalReturnPricing!R186C7</stp>
        <tr r="G186" s="2"/>
      </tp>
      <tp>
        <v>18.25</v>
        <stp/>
        <stp>##V3_BDPV12</stp>
        <stp>MYRG Equity</stp>
        <stp>Px Bid</stp>
        <stp>[Pricing File.xlsm]TotalReturnPricing!R415C6</stp>
        <tr r="F415" s="2"/>
      </tp>
      <tp t="s">
        <v>#N/A N/A</v>
        <stp/>
        <stp>##V3_BDPV12</stp>
        <stp>NYNY Equity</stp>
        <stp>Px Bid</stp>
        <stp>[Pricing File.xlsm]TotalReturnPricing!R356C6</stp>
        <tr r="F356" s="2"/>
      </tp>
      <tp>
        <v>4.7</v>
        <stp/>
        <stp>##V3_BDPV12</stp>
        <stp>CVNA 210115C00100000 Equity</stp>
        <stp>Px Ask</stp>
        <stp>[Pricing File.xlsm]TotalReturnPricing!R860C7</stp>
        <tr r="G860" s="2"/>
      </tp>
      <tp>
        <v>54.65</v>
        <stp/>
        <stp>##V3_BDPV12</stp>
        <stp>GIB Equity</stp>
        <stp>Px Ask</stp>
        <stp>[Pricing File.xlsm]TotalReturnPricing!R556C7</stp>
        <tr r="G556" s="2"/>
      </tp>
      <tp t="s">
        <v>#N/A N/A</v>
        <stp/>
        <stp>##V3_BDPV12</stp>
        <stp>GWR Equity</stp>
        <stp>Px Ask</stp>
        <stp>[Pricing File.xlsm]TotalReturnPricing!R606C7</stp>
        <tr r="G606" s="2"/>
      </tp>
      <tp>
        <v>40.51</v>
        <stp/>
        <stp>##V3_BDPV12</stp>
        <stp>GPI Equity</stp>
        <stp>Px Ask</stp>
        <stp>[Pricing File.xlsm]TotalReturnPricing!R586C7</stp>
        <tr r="G586" s="2"/>
      </tp>
      <tp>
        <v>6.24</v>
        <stp/>
        <stp>##V3_BDPV12</stp>
        <stp>FCX Equity</stp>
        <stp>Px Ask</stp>
        <stp>[Pricing File.xlsm]TotalReturnPricing!R266C7</stp>
        <tr r="G266" s="2"/>
      </tp>
      <tp>
        <v>114.81</v>
        <stp/>
        <stp>##V3_BDPV12</stp>
        <stp>FCN Equity</stp>
        <stp>Px Ask</stp>
        <stp>[Pricing File.xlsm]TotalReturnPricing!R416C7</stp>
        <tr r="G416" s="2"/>
      </tp>
      <tp>
        <v>52.75</v>
        <stp/>
        <stp>##V3_BDPV12</stp>
        <stp>ATVI Equity</stp>
        <stp>Px Bid</stp>
        <stp>[Pricing File.xlsm]TotalReturnPricing!R589C6</stp>
        <tr r="F589" s="2"/>
      </tp>
      <tp>
        <v>5.01</v>
        <stp/>
        <stp>##V3_BDPV12</stp>
        <stp>IDT Equity</stp>
        <stp>Px Ask</stp>
        <stp>[Pricing File.xlsm]TotalReturnPricing!R276C7</stp>
        <tr r="G276" s="2"/>
      </tp>
      <tp>
        <v>51.99</v>
        <stp/>
        <stp>##V3_BDPV12</stp>
        <stp>IWM 200320P00155000 Equity</stp>
        <stp>Px Ask</stp>
        <stp>[Pricing File.xlsm]TotalReturnPricing!R870C7</stp>
        <tr r="G870" s="2"/>
      </tp>
      <tp>
        <v>37.090000000000003</v>
        <stp/>
        <stp>##V3_BDPV12</stp>
        <stp>HUBG Equity</stp>
        <stp>Px Bid</stp>
        <stp>[Pricing File.xlsm]TotalReturnPricing!R430C6</stp>
        <tr r="F430" s="2"/>
      </tp>
      <tp>
        <v>19.71</v>
        <stp/>
        <stp>##V3_BDPV12</stp>
        <stp>KSS Equity</stp>
        <stp>Px Ask</stp>
        <stp>[Pricing File.xlsm]TotalReturnPricing!R486C7</stp>
        <tr r="G486" s="2"/>
      </tp>
      <tp>
        <v>14.4</v>
        <stp/>
        <stp>##V3_BDPV12</stp>
        <stp>HTZ 210115P00020000 Equity</stp>
        <stp>Px Ask</stp>
        <stp>[Pricing File.xlsm]TotalReturnPricing!R887C7</stp>
        <tr r="G887" s="2"/>
      </tp>
      <tp>
        <v>17.399999999999999</v>
        <stp/>
        <stp>##V3_BDPV12</stp>
        <stp>HTZ 200717P00021000 Equity</stp>
        <stp>Px Ask</stp>
        <stp>[Pricing File.xlsm]TotalReturnPricing!R900C7</stp>
        <tr r="G900" s="2"/>
      </tp>
      <tp>
        <v>6.18</v>
        <stp/>
        <stp>##V3_BDPV12</stp>
        <stp>MBI Equity</stp>
        <stp>Px Ask</stp>
        <stp>[Pricing File.xlsm]TotalReturnPricing!R226C7</stp>
        <tr r="G226" s="2"/>
      </tp>
      <tp>
        <v>16.84</v>
        <stp/>
        <stp>##V3_BDPV12</stp>
        <stp>MHO Equity</stp>
        <stp>Px Ask</stp>
        <stp>[Pricing File.xlsm]TotalReturnPricing!R376C7</stp>
        <tr r="G376" s="2"/>
      </tp>
      <tp>
        <v>9.7799999999999994</v>
        <stp/>
        <stp>##V3_BDPV12</stp>
        <stp>MTW Equity</stp>
        <stp>Px Ask</stp>
        <stp>[Pricing File.xlsm]TotalReturnPricing!R176C7</stp>
        <tr r="G176" s="2"/>
      </tp>
      <tp>
        <v>1.62</v>
        <stp/>
        <stp>##V3_BDPV12</stp>
        <stp>ORN Equity</stp>
        <stp>Px Ask</stp>
        <stp>[Pricing File.xlsm]TotalReturnPricing!R196C7</stp>
        <tr r="G196" s="2"/>
      </tp>
      <tp>
        <v>27.53</v>
        <stp/>
        <stp>##V3_BDPV12</stp>
        <stp>ASTE Equity</stp>
        <stp>Px Bid</stp>
        <stp>[Pricing File.xlsm]TotalReturnPricing!R549C6</stp>
        <tr r="F549" s="2"/>
      </tp>
      <tp>
        <v>0.36509999999999998</v>
        <stp/>
        <stp>##V3_BDPV12</stp>
        <stp>NBR Equity</stp>
        <stp>Px Ask</stp>
        <stp>[Pricing File.xlsm]TotalReturnPricing!R206C7</stp>
        <tr r="G206" s="2"/>
      </tp>
      <tp>
        <v>372.64</v>
        <stp/>
        <stp>##V3_BDPV12</stp>
        <stp>NEU Equity</stp>
        <stp>Px Ask</stp>
        <stp>[Pricing File.xlsm]TotalReturnPricing!R786C7</stp>
        <tr r="G786" s="2"/>
      </tp>
      <tp>
        <v>30.58</v>
        <stp/>
        <stp>##V3_BDPV12</stp>
        <stp>SCHW Equity</stp>
        <stp>Px Ask</stp>
        <stp>[Pricing File.xlsm]TotalReturnPricing!R491C7</stp>
        <tr r="G491" s="2"/>
      </tp>
      <tp>
        <v>210.95</v>
        <stp/>
        <stp>##V3_BDPV12</stp>
        <stp>ILMN Equity</stp>
        <stp>Px Bid</stp>
        <stp>[Pricing File.xlsm]TotalReturnPricing!R761C6</stp>
        <tr r="F761" s="2"/>
      </tp>
      <tp>
        <v>7.27</v>
        <stp/>
        <stp>##V3_BDPV12</stp>
        <stp>AMKR Equity</stp>
        <stp>Px Bid</stp>
        <stp>[Pricing File.xlsm]TotalReturnPricing!R229C6</stp>
        <tr r="F229" s="2"/>
      </tp>
      <tp t="s">
        <v>#N/A N/A</v>
        <stp/>
        <stp>##V3_BDPV12</stp>
        <stp>PIR Equity</stp>
        <stp>Px Ask</stp>
        <stp>[Pricing File.xlsm]TotalReturnPricing!R166C7</stp>
        <tr r="G166" s="2"/>
      </tp>
      <tp>
        <v>57.63</v>
        <stp/>
        <stp>##V3_BDPV12</stp>
        <stp>PAYX Equity</stp>
        <stp>Px Ask</stp>
        <stp>[Pricing File.xlsm]TotalReturnPricing!R582C7</stp>
        <tr r="G582" s="2"/>
      </tp>
      <tp>
        <v>62.13</v>
        <stp/>
        <stp>##V3_BDPV12</stp>
        <stp>TARO Equity</stp>
        <stp>Px Ask</stp>
        <stp>[Pricing File.xlsm]TotalReturnPricing!R716C7</stp>
        <tr r="G716" s="2"/>
      </tp>
      <tp>
        <v>6.43</v>
        <stp/>
        <stp>##V3_BDPV12</stp>
        <stp>SABR Equity</stp>
        <stp>Px Ask</stp>
        <stp>[Pricing File.xlsm]TotalReturnPricing!R341C7</stp>
        <tr r="G341" s="2"/>
      </tp>
      <tp>
        <v>0.5</v>
        <stp/>
        <stp>##V3_BDPV12</stp>
        <stp>UAL 200619C00097500 Equity</stp>
        <stp>Px Ask</stp>
        <stp>[Pricing File.xlsm]TotalReturnPricing!R867C7</stp>
        <tr r="G867" s="2"/>
      </tp>
      <tp>
        <v>15.43</v>
        <stp/>
        <stp>##V3_BDPV12</stp>
        <stp>SEM Equity</stp>
        <stp>Px Ask</stp>
        <stp>[Pricing File.xlsm]TotalReturnPricing!R286C7</stp>
        <tr r="G286" s="2"/>
      </tp>
      <tp>
        <v>39.549999999999997</v>
        <stp/>
        <stp>##V3_BDPV12</stp>
        <stp>UAL 200515P00072500 Equity</stp>
        <stp>Px Ask</stp>
        <stp>[Pricing File.xlsm]TotalReturnPricing!R911C7</stp>
        <tr r="G911" s="2"/>
      </tp>
      <tp>
        <v>14.82</v>
        <stp/>
        <stp>##V3_BDPV12</stp>
        <stp>SYX Equity</stp>
        <stp>Px Ask</stp>
        <stp>[Pricing File.xlsm]TotalReturnPricing!R306C7</stp>
        <tr r="G306" s="2"/>
      </tp>
      <tp>
        <v>17.86</v>
        <stp/>
        <stp>##V3_BDPV12</stp>
        <stp>SYF Equity</stp>
        <stp>Px Ask</stp>
        <stp>[Pricing File.xlsm]TotalReturnPricing!R406C7</stp>
        <tr r="G406" s="2"/>
      </tp>
      <tp t="s">
        <v>#N/A Field Not Applicable</v>
        <stp/>
        <stp>##V3_BDPV12</stp>
        <stp>3863 JP Equity</stp>
        <stp>OPT_DELTA</stp>
        <stp>[Pricing File.xlsm]TotalReturnPricing!R96C8</stp>
        <tr r="H96" s="2"/>
      </tp>
      <tp>
        <v>43.44</v>
        <stp/>
        <stp>##V3_BDPV12</stp>
        <stp>RHI Equity</stp>
        <stp>Px Ask</stp>
        <stp>[Pricing File.xlsm]TotalReturnPricing!R496C7</stp>
        <tr r="G496" s="2"/>
      </tp>
      <tp>
        <v>7.03</v>
        <stp/>
        <stp>##V3_BDPV12</stp>
        <stp>SGMS Equity</stp>
        <stp>Px Ask</stp>
        <stp>[Pricing File.xlsm]TotalReturnPricing!R461C7</stp>
        <tr r="G461" s="2"/>
      </tp>
      <tp>
        <v>104.93</v>
        <stp/>
        <stp>##V3_BDPV12</stp>
        <stp>LHCG Equity</stp>
        <stp>Px Bid</stp>
        <stp>[Pricing File.xlsm]TotalReturnPricing!R574C6</stp>
        <tr r="F574" s="2"/>
      </tp>
      <tp>
        <v>24.85</v>
        <stp/>
        <stp>##V3_BDPV12</stp>
        <stp>UFS Equity</stp>
        <stp>Px Ask</stp>
        <stp>[Pricing File.xlsm]TotalReturnPricing!R466C7</stp>
        <tr r="G466" s="2"/>
      </tp>
      <tp>
        <v>125.1</v>
        <stp/>
        <stp>##V3_BDPV12</stp>
        <stp>UNP Equity</stp>
        <stp>Px Ask</stp>
        <stp>[Pricing File.xlsm]TotalReturnPricing!R696C7</stp>
        <tr r="G696" s="2"/>
      </tp>
      <tp>
        <v>115.68</v>
        <stp/>
        <stp>##V3_BDPV12</stp>
        <stp>TIF Equity</stp>
        <stp>Px Ask</stp>
        <stp>[Pricing File.xlsm]TotalReturnPricing!R686C7</stp>
        <tr r="G686" s="2"/>
      </tp>
      <tp>
        <v>93.5</v>
        <stp/>
        <stp>##V3_BDPV12</stp>
        <stp>TXN Equity</stp>
        <stp>Px Ask</stp>
        <stp>[Pricing File.xlsm]TotalReturnPricing!R656C7</stp>
        <tr r="G656" s="2"/>
      </tp>
      <tp>
        <v>48.08</v>
        <stp/>
        <stp>##V3_BDPV12</stp>
        <stp>WAB Equity</stp>
        <stp>Px Ask</stp>
        <stp>[Pricing File.xlsm]TotalReturnPricing!R636C7</stp>
        <tr r="G636" s="2"/>
      </tp>
      <tp>
        <v>11.51</v>
        <stp/>
        <stp>##V3_BDPV12</stp>
        <stp>WDR Equity</stp>
        <stp>Px Ask</stp>
        <stp>[Pricing File.xlsm]TotalReturnPricing!R326C7</stp>
        <tr r="G326" s="2"/>
      </tp>
      <tp>
        <v>35.58</v>
        <stp/>
        <stp>##V3_BDPV12</stp>
        <stp>WSM Equity</stp>
        <stp>Px Ask</stp>
        <stp>[Pricing File.xlsm]TotalReturnPricing!R516C7</stp>
        <tr r="G516" s="2"/>
      </tp>
      <tp>
        <v>2.98</v>
        <stp/>
        <stp>##V3_BDPV12</stp>
        <stp>UAL 200417P00020000 Equity</stp>
        <stp>Px Ask</stp>
        <stp>[Pricing File.xlsm]TotalReturnPricing!R922C7</stp>
        <tr r="G922" s="2"/>
      </tp>
      <tp>
        <v>14.5</v>
        <stp/>
        <stp>##V3_BDPV12</stp>
        <stp>UAL 200417P00045000 Equity</stp>
        <stp>Px Ask</stp>
        <stp>[Pricing File.xlsm]TotalReturnPricing!R917C7</stp>
        <tr r="G917" s="2"/>
      </tp>
      <tp>
        <v>4.45</v>
        <stp/>
        <stp>##V3_BDPV12</stp>
        <stp>UAL 200417C00050000 Equity</stp>
        <stp>Px Ask</stp>
        <stp>[Pricing File.xlsm]TotalReturnPricing!R912C7</stp>
        <tr r="G912" s="2"/>
      </tp>
      <tp>
        <v>50.99</v>
        <stp/>
        <stp>##V3_BDPV12</stp>
        <stp>VZ Equity</stp>
        <stp>Px Bid</stp>
        <stp>[Pricing File.xlsm]TotalReturnPricing!R526C6</stp>
        <tr r="F526" s="2"/>
      </tp>
      <tp>
        <v>55.77</v>
        <stp/>
        <stp>##V3_BDPV12</stp>
        <stp>XLI Equity</stp>
        <stp>Px Ask</stp>
        <stp>[Pricing File.xlsm]TotalReturnPricing!R846C7</stp>
        <tr r="G846" s="2"/>
      </tp>
      <tp>
        <v>27.94</v>
        <stp/>
        <stp>##V3_BDPV12</stp>
        <stp>ZG Equity</stp>
        <stp>Px Bid</stp>
        <stp>[Pricing File.xlsm]TotalReturnPricing!R506C6</stp>
        <tr r="F506" s="2"/>
      </tp>
      <tp>
        <v>17.809999999999999</v>
        <stp/>
        <stp>##V3_BDPV12</stp>
        <stp>DY Equity</stp>
        <stp>Px Bid</stp>
        <stp>[Pricing File.xlsm]TotalReturnPricing!R676C6</stp>
        <tr r="F676" s="2"/>
      </tp>
      <tp>
        <v>154.65</v>
        <stp/>
        <stp>##V3_BDPV12</stp>
        <stp>GS Equity</stp>
        <stp>Px Bid</stp>
        <stp>[Pricing File.xlsm]TotalReturnPricing!R776C6</stp>
        <tr r="F776" s="2"/>
      </tp>
      <tp>
        <v>34.03</v>
        <stp/>
        <stp>##V3_BDPV12</stp>
        <stp>OC Equity</stp>
        <stp>Px Bid</stp>
        <stp>[Pricing File.xlsm]TotalReturnPricing!R616C6</stp>
        <tr r="F616" s="2"/>
      </tp>
      <tp>
        <v>6.69</v>
        <stp/>
        <stp>##V3_BDPV12</stp>
        <stp>WIFI Equity</stp>
        <stp>Px Ask</stp>
        <stp>[Pricing File.xlsm]TotalReturnPricing!R275C7</stp>
        <tr r="G275" s="2"/>
      </tp>
      <tp>
        <v>28.59</v>
        <stp/>
        <stp>##V3_BDPV12</stp>
        <stp>MATX Equity</stp>
        <stp>Px Bid</stp>
        <stp>[Pricing File.xlsm]TotalReturnPricing!R395C6</stp>
        <tr r="F395" s="2"/>
      </tp>
      <tp>
        <v>244.2</v>
        <stp/>
        <stp>##V3_BDPV12</stp>
        <stp>AAPL Equity</stp>
        <stp>Px Bid</stp>
        <stp>[Pricing File.xlsm]TotalReturnPricing!R109C6</stp>
        <tr r="F109" s="2"/>
      </tp>
      <tp>
        <v>5.88</v>
        <stp/>
        <stp>##V3_BDPV12</stp>
        <stp>ZNGA Equity</stp>
        <stp>Px Ask</stp>
        <stp>[Pricing File.xlsm]TotalReturnPricing!R158C7</stp>
        <tr r="G158" s="2"/>
      </tp>
      <tp t="s">
        <v>#N/A N/A</v>
        <stp/>
        <stp>##V3_BDPV12</stp>
        <stp>ULTI Equity</stp>
        <stp>Px Ask</stp>
        <stp>[Pricing File.xlsm]TotalReturnPricing!R777C7</stp>
        <tr r="G777" s="2"/>
      </tp>
      <tp>
        <v>444.98</v>
        <stp/>
        <stp>##V3_BDPV12</stp>
        <stp>TSLA Equity</stp>
        <stp>Px Ask</stp>
        <stp>[Pricing File.xlsm]TotalReturnPricing!R819C7</stp>
        <tr r="G819" s="2"/>
      </tp>
      <tp>
        <v>4.03</v>
        <stp/>
        <stp>##V3_BDPV12</stp>
        <stp>ADT Equity</stp>
        <stp>Px Ask</stp>
        <stp>[Pricing File.xlsm]TotalReturnPricing!R809C7</stp>
        <tr r="G809" s="2"/>
      </tp>
      <tp>
        <v>180.39</v>
        <stp/>
        <stp>##V3_BDPV12</stp>
        <stp>APD Equity</stp>
        <stp>Px Ask</stp>
        <stp>[Pricing File.xlsm]TotalReturnPricing!R739C7</stp>
        <tr r="G739" s="2"/>
      </tp>
      <tp>
        <v>1.55</v>
        <stp/>
        <stp>##V3_BDPV12</stp>
        <stp>TRVG Equity</stp>
        <stp>Px Ask</stp>
        <stp>[Pricing File.xlsm]TotalReturnPricing!R359C7</stp>
        <tr r="G359" s="2"/>
      </tp>
      <tp>
        <v>12.47</v>
        <stp/>
        <stp>##V3_BDPV12</stp>
        <stp>TRWH Equity</stp>
        <stp>Px Ask</stp>
        <stp>[Pricing File.xlsm]TotalReturnPricing!R189C7</stp>
        <tr r="G189" s="2"/>
      </tp>
      <tp>
        <v>97.6</v>
        <stp/>
        <stp>##V3_BDPV12</stp>
        <stp>TROW Equity</stp>
        <stp>Px Ask</stp>
        <stp>[Pricing File.xlsm]TotalReturnPricing!R659C7</stp>
        <tr r="G659" s="2"/>
      </tp>
      <tp>
        <v>12.66</v>
        <stp/>
        <stp>##V3_BDPV12</stp>
        <stp>CCU Equity</stp>
        <stp>Px Ask</stp>
        <stp>[Pricing File.xlsm]TotalReturnPricing!R379C7</stp>
        <tr r="G379" s="2"/>
      </tp>
      <tp>
        <v>104.67</v>
        <stp/>
        <stp>##V3_BDPV12</stp>
        <stp>CRL Equity</stp>
        <stp>Px Ask</stp>
        <stp>[Pricing File.xlsm]TotalReturnPricing!R689C7</stp>
        <tr r="G689" s="2"/>
      </tp>
      <tp>
        <v>8.86</v>
        <stp/>
        <stp>##V3_BDPV12</stp>
        <stp>CVA Equity</stp>
        <stp>Px Ask</stp>
        <stp>[Pricing File.xlsm]TotalReturnPricing!R259C7</stp>
        <tr r="G259" s="2"/>
      </tp>
      <tp>
        <v>2.54</v>
        <stp/>
        <stp>##V3_BDPV12</stp>
        <stp>CYH Equity</stp>
        <stp>Px Ask</stp>
        <stp>[Pricing File.xlsm]TotalReturnPricing!R199C7</stp>
        <tr r="G199" s="2"/>
      </tp>
      <tp>
        <v>20.440000000000001</v>
        <stp/>
        <stp>##V3_BDPV12</stp>
        <stp>BAC Equity</stp>
        <stp>Px Ask</stp>
        <stp>[Pricing File.xlsm]TotalReturnPricing!R799C7</stp>
        <tr r="G799" s="2"/>
      </tp>
      <tp t="s">
        <v>#N/A N/A</v>
        <stp/>
        <stp>##V3_BDPV12</stp>
        <stp>BBT Equity</stp>
        <stp>Px Ask</stp>
        <stp>[Pricing File.xlsm]TotalReturnPricing!R519C7</stp>
        <tr r="G519" s="2"/>
      </tp>
      <tp>
        <v>0.115</v>
        <stp/>
        <stp>##V3_BDPV12</stp>
        <stp>AXAS Equity</stp>
        <stp>Px Bid</stp>
        <stp>[Pricing File.xlsm]TotalReturnPricing!R136C6</stp>
        <tr r="F136" s="2"/>
      </tp>
      <tp>
        <v>53.12</v>
        <stp/>
        <stp>##V3_BDPV12</stp>
        <stp>EXP Equity</stp>
        <stp>Px Ask</stp>
        <stp>[Pricing File.xlsm]TotalReturnPricing!R679C7</stp>
        <tr r="G679" s="2"/>
      </tp>
      <tp>
        <v>7.58</v>
        <stp/>
        <stp>##V3_BDPV12</stp>
        <stp>DVN Equity</stp>
        <stp>Px Ask</stp>
        <stp>[Pricing File.xlsm]TotalReturnPricing!R429C7</stp>
        <tr r="G429" s="2"/>
      </tp>
      <tp>
        <v>1.18</v>
        <stp/>
        <stp>##V3_BDPV12</stp>
        <stp>TUES Equity</stp>
        <stp>Px Ask</stp>
        <stp>[Pricing File.xlsm]TotalReturnPricing!R139C7</stp>
        <tr r="G139" s="2"/>
      </tp>
      <tp>
        <v>16.239999999999998</v>
        <stp/>
        <stp>##V3_BDPV12</stp>
        <stp>GBX Equity</stp>
        <stp>Px Ask</stp>
        <stp>[Pricing File.xlsm]TotalReturnPricing!R499C7</stp>
        <tr r="G499" s="2"/>
      </tp>
      <tp>
        <v>7.48</v>
        <stp/>
        <stp>##V3_BDPV12</stp>
        <stp>GES Equity</stp>
        <stp>Px Ask</stp>
        <stp>[Pricing File.xlsm]TotalReturnPricing!R249C7</stp>
        <tr r="G249" s="2"/>
      </tp>
      <tp>
        <v>41.64</v>
        <stp/>
        <stp>##V3_BDPV12</stp>
        <stp>ETSY Equity</stp>
        <stp>Px Bid</stp>
        <stp>[Pricing File.xlsm]TotalReturnPricing!R272C6</stp>
        <tr r="F272" s="2"/>
      </tp>
      <tp>
        <v>202.38</v>
        <stp/>
        <stp>##V3_BDPV12</stp>
        <stp>CTAS Equity</stp>
        <stp>Px Bid</stp>
        <stp>[Pricing File.xlsm]TotalReturnPricing!R734C6</stp>
        <tr r="F734" s="2"/>
      </tp>
      <tp>
        <v>29.53</v>
        <stp/>
        <stp>##V3_BDPV12</stp>
        <stp>ETFC Equity</stp>
        <stp>Px Bid</stp>
        <stp>[Pricing File.xlsm]TotalReturnPricing!R482C6</stp>
        <tr r="F482" s="2"/>
      </tp>
      <tp>
        <v>74.14</v>
        <stp/>
        <stp>##V3_BDPV12</stp>
        <stp>ICE Equity</stp>
        <stp>Px Ask</stp>
        <stp>[Pricing File.xlsm]TotalReturnPricing!R609C7</stp>
        <tr r="G609" s="2"/>
      </tp>
      <tp>
        <v>35.57</v>
        <stp/>
        <stp>##V3_BDPV12</stp>
        <stp>IHG Equity</stp>
        <stp>Px Ask</stp>
        <stp>[Pricing File.xlsm]TotalReturnPricing!R569C7</stp>
        <tr r="G569" s="2"/>
      </tp>
      <tp>
        <v>138.96</v>
        <stp/>
        <stp>##V3_BDPV12</stp>
        <stp>IWO Equity</stp>
        <stp>Px Ask</stp>
        <stp>[Pricing File.xlsm]TotalReturnPricing!R759C7</stp>
        <tr r="G759" s="2"/>
      </tp>
      <tp>
        <v>1.45</v>
        <stp/>
        <stp>##V3_BDPV12</stp>
        <stp>LYFT 210115C00045000 Equity</stp>
        <stp>Px Ask</stp>
        <stp>[Pricing File.xlsm]TotalReturnPricing!R915C7</stp>
        <tr r="G915" s="2"/>
      </tp>
      <tp>
        <v>21.21</v>
        <stp/>
        <stp>##V3_BDPV12</stp>
        <stp>HFC Equity</stp>
        <stp>Px Ask</stp>
        <stp>[Pricing File.xlsm]TotalReturnPricing!R399C7</stp>
        <tr r="G399" s="2"/>
      </tp>
      <tp>
        <v>270.20999999999998</v>
        <stp/>
        <stp>##V3_BDPV12</stp>
        <stp>HUM Equity</stp>
        <stp>Px Ask</stp>
        <stp>[Pricing File.xlsm]TotalReturnPricing!R779C7</stp>
        <tr r="G779" s="2"/>
      </tp>
      <tp>
        <v>10.16</v>
        <stp/>
        <stp>##V3_BDPV12</stp>
        <stp>HZO Equity</stp>
        <stp>Px Ask</stp>
        <stp>[Pricing File.xlsm]TotalReturnPricing!R269C7</stp>
        <tr r="G269" s="2"/>
      </tp>
      <tp>
        <v>39.17</v>
        <stp/>
        <stp>##V3_BDPV12</stp>
        <stp>CVNA Equity</stp>
        <stp>Px Bid</stp>
        <stp>[Pricing File.xlsm]TotalReturnPricing!R334C6</stp>
        <tr r="F334" s="2"/>
      </tp>
      <tp>
        <v>7.55</v>
        <stp/>
        <stp>##V3_BDPV12</stp>
        <stp>KRO Equity</stp>
        <stp>Px Ask</stp>
        <stp>[Pricing File.xlsm]TotalReturnPricing!R329C7</stp>
        <tr r="G329" s="2"/>
      </tp>
      <tp>
        <v>15.4</v>
        <stp/>
        <stp>##V3_BDPV12</stp>
        <stp>HTZ 200717P00019000 Equity</stp>
        <stp>Px Ask</stp>
        <stp>[Pricing File.xlsm]TotalReturnPricing!R877C7</stp>
        <tr r="G877" s="2"/>
      </tp>
      <tp>
        <v>0.91379999999999995</v>
        <stp/>
        <stp>##V3_BDPV12</stp>
        <stp>GPOR Equity</stp>
        <stp>Px Bid</stp>
        <stp>[Pricing File.xlsm]TotalReturnPricing!R260C6</stp>
        <tr r="F260" s="2"/>
      </tp>
      <tp t="s">
        <v>#N/A Field Not Applicable</v>
        <stp/>
        <stp>##V3_BDPV12</stp>
        <stp>1128 HK Equity</stp>
        <stp>OPT_DELTA</stp>
        <stp>[Pricing File.xlsm]TotalReturnPricing!R92C8</stp>
        <tr r="H92" s="2"/>
      </tp>
      <tp>
        <v>121.69</v>
        <stp/>
        <stp>##V3_BDPV12</stp>
        <stp>MOH Equity</stp>
        <stp>Px Ask</stp>
        <stp>[Pricing File.xlsm]TotalReturnPricing!R619C7</stp>
        <tr r="G619" s="2"/>
      </tp>
      <tp>
        <v>199.3</v>
        <stp/>
        <stp>##V3_BDPV12</stp>
        <stp>LII Equity</stp>
        <stp>Px Ask</stp>
        <stp>[Pricing File.xlsm]TotalReturnPricing!R829C7</stp>
        <tr r="G829" s="2"/>
      </tp>
      <tp t="s">
        <v>#N/A N/A</v>
        <stp/>
        <stp>##V3_BDPV12</stp>
        <stp>ARII Equity</stp>
        <stp>Px Bid</stp>
        <stp>[Pricing File.xlsm]TotalReturnPricing!R456C6</stp>
        <tr r="F456" s="2"/>
      </tp>
      <tp>
        <v>65.52</v>
        <stp/>
        <stp>##V3_BDPV12</stp>
        <stp>CRMT Equity</stp>
        <stp>Px Bid</stp>
        <stp>[Pricing File.xlsm]TotalReturnPricing!R474C6</stp>
        <tr r="F474" s="2"/>
      </tp>
      <tp>
        <v>0.4209</v>
        <stp/>
        <stp>##V3_BDPV12</stp>
        <stp>OAS Equity</stp>
        <stp>Px Ask</stp>
        <stp>[Pricing File.xlsm]TotalReturnPricing!R209C7</stp>
        <tr r="G209" s="2"/>
      </tp>
      <tp>
        <v>9.34</v>
        <stp/>
        <stp>##V3_BDPV12</stp>
        <stp>OLN Equity</stp>
        <stp>Px Ask</stp>
        <stp>[Pricing File.xlsm]TotalReturnPricing!R409C7</stp>
        <tr r="G409" s="2"/>
      </tp>
      <tp>
        <v>3.56</v>
        <stp/>
        <stp>##V3_BDPV12</stp>
        <stp>ASYS Equity</stp>
        <stp>Px Bid</stp>
        <stp>[Pricing File.xlsm]TotalReturnPricing!R216C6</stp>
        <tr r="F216" s="2"/>
      </tp>
      <tp>
        <v>2.66</v>
        <stp/>
        <stp>##V3_BDPV12</stp>
        <stp>OSTK Equity</stp>
        <stp>Px Bid</stp>
        <stp>[Pricing File.xlsm]TotalReturnPricing!R778C6</stp>
        <tr r="F778" s="2"/>
      </tp>
      <tp>
        <v>33.700000000000003</v>
        <stp/>
        <stp>##V3_BDPV12</stp>
        <stp>CSCO Equity</stp>
        <stp>Px Bid</stp>
        <stp>[Pricing File.xlsm]TotalReturnPricing!R414C6</stp>
        <tr r="F414" s="2"/>
      </tp>
      <tp>
        <v>2.5099999999999998</v>
        <stp/>
        <stp>##V3_BDPV12</stp>
        <stp>NAT Equity</stp>
        <stp>Px Ask</stp>
        <stp>[Pricing File.xlsm]TotalReturnPricing!R179C7</stp>
        <tr r="G179" s="2"/>
      </tp>
      <tp>
        <v>20.51</v>
        <stp/>
        <stp>##V3_BDPV12</stp>
        <stp>NEO Equity</stp>
        <stp>Px Ask</stp>
        <stp>[Pricing File.xlsm]TotalReturnPricing!R219C7</stp>
        <tr r="G219" s="2"/>
      </tp>
      <tp>
        <v>43.6</v>
        <stp/>
        <stp>##V3_BDPV12</stp>
        <stp>NNI Equity</stp>
        <stp>Px Ask</stp>
        <stp>[Pricing File.xlsm]TotalReturnPricing!R529C7</stp>
        <tr r="G529" s="2"/>
      </tp>
      <tp>
        <v>1.49</v>
        <stp/>
        <stp>##V3_BDPV12</stp>
        <stp>NLS Equity</stp>
        <stp>Px Ask</stp>
        <stp>[Pricing File.xlsm]TotalReturnPricing!R309C7</stp>
        <tr r="G309" s="2"/>
      </tp>
      <tp>
        <v>27.23</v>
        <stp/>
        <stp>##V3_BDPV12</stp>
        <stp>TCBI Equity</stp>
        <stp>Px Ask</stp>
        <stp>[Pricing File.xlsm]TotalReturnPricing!R649C7</stp>
        <tr r="G649" s="2"/>
      </tp>
      <tp>
        <v>6.55</v>
        <stp/>
        <stp>##V3_BDPV12</stp>
        <stp>FLEX Equity</stp>
        <stp>Px Bid</stp>
        <stp>[Pricing File.xlsm]TotalReturnPricing!R291C6</stp>
        <tr r="F291" s="2"/>
      </tp>
      <tp>
        <v>5.87</v>
        <stp/>
        <stp>##V3_BDPV12</stp>
        <stp>CMLS Equity</stp>
        <stp>Px Bid</stp>
        <stp>[Pricing File.xlsm]TotalReturnPricing!R124C6</stp>
        <tr r="F124" s="2"/>
      </tp>
      <tp>
        <v>41.35</v>
        <stp/>
        <stp>##V3_BDPV12</stp>
        <stp>SCI Equity</stp>
        <stp>Px Ask</stp>
        <stp>[Pricing File.xlsm]TotalReturnPricing!R439C7</stp>
        <tr r="G439" s="2"/>
      </tp>
      <tp>
        <v>101.65</v>
        <stp/>
        <stp>##V3_BDPV12</stp>
        <stp>SMH Equity</stp>
        <stp>Px Ask</stp>
        <stp>[Pricing File.xlsm]TotalReturnPricing!R669C7</stp>
        <tr r="G669" s="2"/>
      </tp>
      <tp>
        <v>4.25</v>
        <stp/>
        <stp>##V3_BDPV12</stp>
        <stp>CONN Equity</stp>
        <stp>Px Bid</stp>
        <stp>[Pricing File.xlsm]TotalReturnPricing!R354C6</stp>
        <tr r="F354" s="2"/>
      </tp>
      <tp>
        <v>1.79</v>
        <stp/>
        <stp>##V3_BDPV12</stp>
        <stp>GOGO Equity</stp>
        <stp>Px Bid</stp>
        <stp>[Pricing File.xlsm]TotalReturnPricing!R240C6</stp>
        <tr r="F240" s="2"/>
      </tp>
      <tp>
        <v>14.34</v>
        <stp/>
        <stp>##V3_BDPV12</stp>
        <stp>TEX Equity</stp>
        <stp>Px Ask</stp>
        <stp>[Pricing File.xlsm]TotalReturnPricing!R469C7</stp>
        <tr r="G469" s="2"/>
      </tp>
      <tp>
        <v>46.8</v>
        <stp/>
        <stp>##V3_BDPV12</stp>
        <stp>TCX Equity</stp>
        <stp>Px Ask</stp>
        <stp>[Pricing File.xlsm]TotalReturnPricing!R559C7</stp>
        <tr r="G559" s="2"/>
      </tp>
      <tp>
        <v>16.420000000000002</v>
        <stp/>
        <stp>##V3_BDPV12</stp>
        <stp>TRN Equity</stp>
        <stp>Px Ask</stp>
        <stp>[Pricing File.xlsm]TotalReturnPricing!R389C7</stp>
        <tr r="G389" s="2"/>
      </tp>
      <tp>
        <v>17.670000000000002</v>
        <stp/>
        <stp>##V3_BDPV12</stp>
        <stp>YELP Equity</stp>
        <stp>Px Ask</stp>
        <stp>[Pricing File.xlsm]TotalReturnPricing!R424C7</stp>
        <tr r="G424" s="2"/>
      </tp>
      <tp>
        <v>24.78</v>
        <stp/>
        <stp>##V3_BDPV12</stp>
        <stp>WAL Equity</stp>
        <stp>Px Ask</stp>
        <stp>[Pricing File.xlsm]TotalReturnPricing!R539C7</stp>
        <tr r="G539" s="2"/>
      </tp>
      <tp>
        <v>1.4</v>
        <stp/>
        <stp>##V3_BDPV12</stp>
        <stp>WLL Equity</stp>
        <stp>Px Ask</stp>
        <stp>[Pricing File.xlsm]TotalReturnPricing!R169C7</stp>
        <tr r="G169" s="2"/>
      </tp>
      <tp>
        <v>2.2000000000000002</v>
        <stp/>
        <stp>##V3_BDPV12</stp>
        <stp>WEX 200821C00230000 Equity</stp>
        <stp>Px Ask</stp>
        <stp>[Pricing File.xlsm]TotalReturnPricing!R891C7</stp>
        <tr r="G891" s="2"/>
      </tp>
      <tp>
        <v>1288.31</v>
        <stp/>
        <stp>##V3_BDPV12</stp>
        <stp>BKNG Equity</stp>
        <stp>Px Bid</stp>
        <stp>[Pricing File.xlsm]TotalReturnPricing!R795C6</stp>
        <tr r="F795" s="2"/>
      </tp>
      <tp>
        <v>12.13</v>
        <stp/>
        <stp>##V3_BDPV12</stp>
        <stp>VSH Equity</stp>
        <stp>Px Ask</stp>
        <stp>[Pricing File.xlsm]TotalReturnPricing!R299C7</stp>
        <tr r="G299" s="2"/>
      </tp>
      <tp>
        <v>160.97999999999999</v>
        <stp/>
        <stp>##V3_BDPV12</stp>
        <stp>ODFL Equity</stp>
        <stp>Px Bid</stp>
        <stp>[Pricing File.xlsm]TotalReturnPricing!R688C6</stp>
        <tr r="F688" s="2"/>
      </tp>
      <tp>
        <v>20.79</v>
        <stp/>
        <stp>##V3_BDPV12</stp>
        <stp>WU Equity</stp>
        <stp>Px Bid</stp>
        <stp>[Pricing File.xlsm]TotalReturnPricing!R319C6</stp>
        <tr r="F319" s="2"/>
      </tp>
      <tp>
        <v>120.05</v>
        <stp/>
        <stp>##V3_BDPV12</stp>
        <stp>DE Equity</stp>
        <stp>Px Bid</stp>
        <stp>[Pricing File.xlsm]TotalReturnPricing!R729C6</stp>
        <tr r="F729" s="2"/>
      </tp>
      <tp>
        <v>27.5</v>
        <stp/>
        <stp>##V3_BDPV12</stp>
        <stp>AN Equity</stp>
        <stp>Px Bid</stp>
        <stp>[Pricing File.xlsm]TotalReturnPricing!R489C6</stp>
        <tr r="F489" s="2"/>
      </tp>
      <tp>
        <v>187.13</v>
        <stp/>
        <stp>##V3_BDPV12</stp>
        <stp>CP Equity</stp>
        <stp>Px Bid</stp>
        <stp>[Pricing File.xlsm]TotalReturnPricing!R749C6</stp>
        <tr r="F749" s="2"/>
      </tp>
      <tp>
        <v>4.0599999999999996</v>
        <stp/>
        <stp>##V3_BDPV12</stp>
        <stp>LL Equity</stp>
        <stp>Px Bid</stp>
        <stp>[Pricing File.xlsm]TotalReturnPricing!R369C6</stp>
        <tr r="F369" s="2"/>
      </tp>
      <tp>
        <v>26.56</v>
        <stp/>
        <stp>##V3_BDPV12</stp>
        <stp>ZION Equity</stp>
        <stp>Px Ask</stp>
        <stp>[Pricing File.xlsm]TotalReturnPricing!R507C7</stp>
        <tr r="G507" s="2"/>
      </tp>
      <tp>
        <v>25.6</v>
        <stp/>
        <stp>##V3_BDPV12</stp>
        <stp>EGBN Equity</stp>
        <stp>Px Bid</stp>
        <stp>[Pricing File.xlsm]TotalReturnPricing!R592C6</stp>
        <tr r="F592" s="2"/>
      </tp>
      <tp>
        <v>5.88</v>
        <stp/>
        <stp>##V3_BDPV12</stp>
        <stp>ZNGA Equity</stp>
        <stp>Px Ask</stp>
        <stp>[Pricing File.xlsm]TotalReturnPricing!R157C7</stp>
        <tr r="G157" s="2"/>
      </tp>
      <tp>
        <v>16.670000000000002</v>
        <stp/>
        <stp>##V3_BDPV12</stp>
        <stp>ACLS Equity</stp>
        <stp>Px Bid</stp>
        <stp>[Pricing File.xlsm]TotalReturnPricing!R116C6</stp>
        <tr r="F116" s="2"/>
      </tp>
      <tp t="s">
        <v>#N/A Field Not Applicable</v>
        <stp/>
        <stp>##V3_BDPV12</stp>
        <stp>BV Equity</stp>
        <stp>OPT_DELTA</stp>
        <stp>[Pricing File.xlsm]TotalReturnPricing!R164C8</stp>
        <tr r="H164" s="2"/>
      </tp>
      <tp>
        <v>1073.01</v>
        <stp/>
        <stp>##V3_BDPV12</stp>
        <stp>GOOGL Equity</stp>
        <stp>Px Ask</stp>
        <stp>[Pricing File.xlsm]TotalReturnPricing!R791C7</stp>
        <tr r="G791" s="2"/>
      </tp>
      <tp>
        <v>95.26</v>
        <stp/>
        <stp>##V3_BDPV12</stp>
        <stp>AAP Equity</stp>
        <stp>Px Ask</stp>
        <stp>[Pricing File.xlsm]TotalReturnPricing!R108C7</stp>
        <tr r="G108" s="2"/>
      </tp>
      <tp>
        <v>46.44</v>
        <stp/>
        <stp>##V3_BDPV12</stp>
        <stp>ABG Equity</stp>
        <stp>Px Ask</stp>
        <stp>[Pricing File.xlsm]TotalReturnPricing!R558C7</stp>
        <tr r="G558" s="2"/>
      </tp>
      <tp>
        <v>16.8</v>
        <stp/>
        <stp>##V3_BDPV12</stp>
        <stp>TRIP Equity</stp>
        <stp>Px Ask</stp>
        <stp>[Pricing File.xlsm]TotalReturnPricing!R468C7</stp>
        <tr r="G468" s="2"/>
      </tp>
      <tp>
        <v>18.52</v>
        <stp/>
        <stp>##V3_BDPV12</stp>
        <stp>CFG Equity</stp>
        <stp>Px Ask</stp>
        <stp>[Pricing File.xlsm]TotalReturnPricing!R438C7</stp>
        <tr r="G438" s="2"/>
      </tp>
      <tp>
        <v>1.8</v>
        <stp/>
        <stp>##V3_BDPV12</stp>
        <stp>CHS Equity</stp>
        <stp>Px Ask</stp>
        <stp>[Pricing File.xlsm]TotalReturnPricing!R218C7</stp>
        <tr r="G218" s="2"/>
      </tp>
      <tp>
        <v>2.54</v>
        <stp/>
        <stp>##V3_BDPV12</stp>
        <stp>CYH Equity</stp>
        <stp>Px Ask</stp>
        <stp>[Pricing File.xlsm]TotalReturnPricing!R198C7</stp>
        <tr r="G198" s="2"/>
      </tp>
      <tp>
        <v>1.89</v>
        <stp/>
        <stp>##V3_BDPV12</stp>
        <stp>AXTI Equity</stp>
        <stp>Px Bid</stp>
        <stp>[Pricing File.xlsm]TotalReturnPricing!R217C6</stp>
        <tr r="F217" s="2"/>
      </tp>
      <tp>
        <v>2.73</v>
        <stp/>
        <stp>##V3_BDPV12</stp>
        <stp>TWMC Equity</stp>
        <stp>Px Ask</stp>
        <stp>[Pricing File.xlsm]TotalReturnPricing!R138C7</stp>
        <tr r="G138" s="2"/>
      </tp>
      <tp>
        <v>1.04</v>
        <stp/>
        <stp>##V3_BDPV12</stp>
        <stp>EGY Equity</stp>
        <stp>Px Ask</stp>
        <stp>[Pricing File.xlsm]TotalReturnPricing!R128C7</stp>
        <tr r="G128" s="2"/>
      </tp>
      <tp>
        <v>13.79</v>
        <stp/>
        <stp>##V3_BDPV12</stp>
        <stp>ERI Equity</stp>
        <stp>Px Ask</stp>
        <stp>[Pricing File.xlsm]TotalReturnPricing!R328C7</stp>
        <tr r="G328" s="2"/>
      </tp>
      <tp>
        <v>15.07</v>
        <stp/>
        <stp>##V3_BDPV12</stp>
        <stp>LIF CN Equity</stp>
        <stp>Px Last</stp>
        <stp>[Pricing File.xlsm]TotalReturnPricing!R58C5</stp>
        <tr r="E58" s="2"/>
      </tp>
      <tp>
        <v>18.600000000000001</v>
        <stp/>
        <stp>##V3_BDPV12</stp>
        <stp>ZUMZ Equity</stp>
        <stp>Px Ask</stp>
        <stp>[Pricing File.xlsm]TotalReturnPricing!R246C7</stp>
        <tr r="G246" s="2"/>
      </tp>
      <tp>
        <v>4.3899999999999997</v>
        <stp/>
        <stp>##V3_BDPV12</stp>
        <stp>GME Equity</stp>
        <stp>Px Ask</stp>
        <stp>[Pricing File.xlsm]TotalReturnPricing!R338C7</stp>
        <tr r="G338" s="2"/>
      </tp>
      <tp t="s">
        <v>#N/A N/A</v>
        <stp/>
        <stp>##V3_BDPV12</stp>
        <stp>FBR Equity</stp>
        <stp>Px Ask</stp>
        <stp>[Pricing File.xlsm]TotalReturnPricing!R228C7</stp>
        <tr r="G228" s="2"/>
      </tp>
      <tp>
        <v>13.92</v>
        <stp/>
        <stp>##V3_BDPV12</stp>
        <stp>CTRN Equity</stp>
        <stp>Px Bid</stp>
        <stp>[Pricing File.xlsm]TotalReturnPricing!R345C6</stp>
        <tr r="F345" s="2"/>
      </tp>
      <tp>
        <v>5.07</v>
        <stp/>
        <stp>##V3_BDPV12</stp>
        <stp>IVC Equity</stp>
        <stp>Px Ask</stp>
        <stp>[Pricing File.xlsm]TotalReturnPricing!R278C7</stp>
        <tr r="G278" s="2"/>
      </tp>
      <tp>
        <v>6.11</v>
        <stp/>
        <stp>##V3_BDPV12</stp>
        <stp>HTZ Equity</stp>
        <stp>Px Ask</stp>
        <stp>[Pricing File.xlsm]TotalReturnPricing!R298C7</stp>
        <tr r="G298" s="2"/>
      </tp>
      <tp>
        <v>19.77</v>
        <stp/>
        <stp>##V3_BDPV12</stp>
        <stp>HRI Equity</stp>
        <stp>Px Ask</stp>
        <stp>[Pricing File.xlsm]TotalReturnPricing!R518C7</stp>
        <tr r="G518" s="2"/>
      </tp>
      <tp>
        <v>10.25</v>
        <stp/>
        <stp>##V3_BDPV12</stp>
        <stp>MGM Equity</stp>
        <stp>Px Ask</stp>
        <stp>[Pricing File.xlsm]TotalReturnPricing!R428C7</stp>
        <tr r="G428" s="2"/>
      </tp>
      <tp>
        <v>86.42</v>
        <stp/>
        <stp>##V3_BDPV12</stp>
        <stp>MAR Equity</stp>
        <stp>Px Ask</stp>
        <stp>[Pricing File.xlsm]TotalReturnPricing!R698C7</stp>
        <tr r="G698" s="2"/>
      </tp>
      <tp>
        <v>130.97999999999999</v>
        <stp/>
        <stp>##V3_BDPV12</stp>
        <stp>MMM Equity</stp>
        <stp>Px Ask</stp>
        <stp>[Pricing File.xlsm]TotalReturnPricing!R768C7</stp>
        <tr r="G768" s="2"/>
      </tp>
      <tp>
        <v>36.340000000000003</v>
        <stp/>
        <stp>##V3_BDPV12</stp>
        <stp>GRUB Equity</stp>
        <stp>Px Bid</stp>
        <stp>[Pricing File.xlsm]TotalReturnPricing!R521C6</stp>
        <tr r="F521" s="2"/>
      </tp>
      <tp>
        <v>14.04</v>
        <stp/>
        <stp>##V3_BDPV12</stp>
        <stp>ONB Equity</stp>
        <stp>Px Ask</stp>
        <stp>[Pricing File.xlsm]TotalReturnPricing!R288C7</stp>
        <tr r="G288" s="2"/>
      </tp>
      <tp>
        <v>8.7100000000000009</v>
        <stp/>
        <stp>##V3_BDPV12</stp>
        <stp>ASFI Equity</stp>
        <stp>Px Bid</stp>
        <stp>[Pricing File.xlsm]TotalReturnPricing!R197C6</stp>
        <tr r="F197" s="2"/>
      </tp>
      <tp t="s">
        <v>#N/A N/A</v>
        <stp/>
        <stp>##V3_BDPV12</stp>
        <stp>NFX Equity</stp>
        <stp>Px Ask</stp>
        <stp>[Pricing File.xlsm]TotalReturnPricing!R398C7</stp>
        <tr r="G398" s="2"/>
      </tp>
      <tp>
        <v>6.71</v>
        <stp/>
        <stp>##V3_BDPV12</stp>
        <stp>NLY Equity</stp>
        <stp>Px Ask</stp>
        <stp>[Pricing File.xlsm]TotalReturnPricing!R238C7</stp>
        <tr r="G238" s="2"/>
      </tp>
      <tp>
        <v>7.7</v>
        <stp/>
        <stp>##V3_BDPV12</stp>
        <stp>ALLT Equity</stp>
        <stp>Px Bid</stp>
        <stp>[Pricing File.xlsm]TotalReturnPricing!R167C6</stp>
        <tr r="F167" s="2"/>
      </tp>
      <tp t="s">
        <v>#N/A N/A</v>
        <stp/>
        <stp>##V3_BDPV12</stp>
        <stp>QNST 200320C00015000 Equity</stp>
        <stp>Px Bid</stp>
        <stp>[Pricing File.xlsm]TotalReturnPricing!R871C6</stp>
        <tr r="F871" s="2"/>
      </tp>
      <tp>
        <v>2.74</v>
        <stp/>
        <stp>##V3_BDPV12</stp>
        <stp>RRC Equity</stp>
        <stp>Px Ask</stp>
        <stp>[Pricing File.xlsm]TotalReturnPricing!R348C7</stp>
        <tr r="G348" s="2"/>
      </tp>
      <tp>
        <v>13.96</v>
        <stp/>
        <stp>##V3_BDPV12</stp>
        <stp>UNG Equity</stp>
        <stp>Px Ask</stp>
        <stp>[Pricing File.xlsm]TotalReturnPricing!R188C7</stp>
        <tr r="G188" s="2"/>
      </tp>
      <tp t="s">
        <v>#N/A N/A</v>
        <stp/>
        <stp>##V3_BDPV12</stp>
        <stp>TOO Equity</stp>
        <stp>Px Ask</stp>
        <stp>[Pricing File.xlsm]TotalReturnPricing!R148C7</stp>
        <tr r="G148" s="2"/>
      </tp>
      <tp>
        <v>16.420000000000002</v>
        <stp/>
        <stp>##V3_BDPV12</stp>
        <stp>TRN Equity</stp>
        <stp>Px Ask</stp>
        <stp>[Pricing File.xlsm]TotalReturnPricing!R388C7</stp>
        <tr r="G388" s="2"/>
      </tp>
      <tp>
        <v>26.91</v>
        <stp/>
        <stp>##V3_BDPV12</stp>
        <stp>TXT Equity</stp>
        <stp>Px Ask</stp>
        <stp>[Pricing File.xlsm]TotalReturnPricing!R528C7</stp>
        <tr r="G528" s="2"/>
      </tp>
      <tp>
        <v>13.5</v>
        <stp/>
        <stp>##V3_BDPV12</stp>
        <stp>WMB Equity</stp>
        <stp>Px Ask</stp>
        <stp>[Pricing File.xlsm]TotalReturnPricing!R418C7</stp>
        <tr r="G418" s="2"/>
      </tp>
      <tp>
        <v>1.4</v>
        <stp/>
        <stp>##V3_BDPV12</stp>
        <stp>WLL Equity</stp>
        <stp>Px Ask</stp>
        <stp>[Pricing File.xlsm]TotalReturnPricing!R168C7</stp>
        <tr r="G168" s="2"/>
      </tp>
      <tp>
        <v>95.9</v>
        <stp/>
        <stp>##V3_BDPV12</stp>
        <stp>VMW Equity</stp>
        <stp>Px Ask</stp>
        <stp>[Pricing File.xlsm]TotalReturnPricing!R678C7</stp>
        <tr r="G678" s="2"/>
      </tp>
      <tp t="s">
        <v>#N/A N/A</v>
        <stp/>
        <stp>##V3_BDPV12</stp>
        <stp>SAVE 200320C00042500 Equity</stp>
        <stp>Px Bid</stp>
        <stp>[Pricing File.xlsm]TotalReturnPricing!R894C6</stp>
        <tr r="F894" s="2"/>
      </tp>
      <tp>
        <v>5.86</v>
        <stp/>
        <stp>##V3_BDPV12</stp>
        <stp>ADTN Equity</stp>
        <stp>Px Bid</stp>
        <stp>[Pricing File.xlsm]TotalReturnPricing!R357C6</stp>
        <tr r="F357" s="2"/>
      </tp>
      <tp>
        <v>111.33</v>
        <stp/>
        <stp>##V3_BDPV12</stp>
        <stp>DECK Equity</stp>
        <stp>Px Bid</stp>
        <stp>[Pricing File.xlsm]TotalReturnPricing!R602C6</stp>
        <tr r="F602" s="2"/>
      </tp>
      <tp>
        <v>36.72</v>
        <stp/>
        <stp>##V3_BDPV12</stp>
        <stp>SF Equity</stp>
        <stp>Px Bid</stp>
        <stp>[Pricing File.xlsm]TotalReturnPricing!R538C6</stp>
        <tr r="F538" s="2"/>
      </tp>
      <tp>
        <v>21.3</v>
        <stp/>
        <stp>##V3_BDPV12</stp>
        <stp>CY Equity</stp>
        <stp>Px Bid</stp>
        <stp>[Pricing File.xlsm]TotalReturnPricing!R268C6</stp>
        <tr r="F268" s="2"/>
      </tp>
      <tp>
        <v>145.94999999999999</v>
        <stp/>
        <stp>##V3_BDPV12</stp>
        <stp>FB Equity</stp>
        <stp>Px Bid</stp>
        <stp>[Pricing File.xlsm]TotalReturnPricing!R758C6</stp>
        <tr r="F758" s="2"/>
      </tp>
      <tp>
        <v>32.89</v>
        <stp/>
        <stp>##V3_BDPV12</stp>
        <stp>BC Equity</stp>
        <stp>Px Bid</stp>
        <stp>[Pricing File.xlsm]TotalReturnPricing!R568C6</stp>
        <tr r="F568" s="2"/>
      </tp>
      <tp>
        <v>8.82</v>
        <stp/>
        <stp>##V3_BDPV12</stp>
        <stp>EB Equity</stp>
        <stp>Px Bid</stp>
        <stp>[Pricing File.xlsm]TotalReturnPricing!R838C6</stp>
        <tr r="F838" s="2"/>
      </tp>
      <tp>
        <v>47.96</v>
        <stp/>
        <stp>##V3_BDPV12</stp>
        <stp>AGCO Equity</stp>
        <stp>Px Bid</stp>
        <stp>[Pricing File.xlsm]TotalReturnPricing!R627C6</stp>
        <tr r="F627" s="2"/>
      </tp>
      <tp t="s">
        <v>#N/A N/A</v>
        <stp/>
        <stp>##V3_BDPV12</stp>
        <stp>SAVE 200619C00045000 Equity</stp>
        <stp>Px Bid</stp>
        <stp>[Pricing File.xlsm]TotalReturnPricing!R896C6</stp>
        <tr r="F896" s="2"/>
      </tp>
      <tp>
        <v>3.45</v>
        <stp/>
        <stp>##V3_BDPV12</stp>
        <stp>ICEAIR IR Equity</stp>
        <stp>Px Last</stp>
        <stp>[Pricing File.xlsm]TotalReturnPricing!R60C5</stp>
        <tr r="E60" s="2"/>
      </tp>
      <tp>
        <v>2196</v>
        <stp/>
        <stp>##V3_BDPV12</stp>
        <stp>WIZZ LN Equity</stp>
        <stp>Px Last</stp>
        <stp>[Pricing File.xlsm]TotalReturnPricing!R99C5</stp>
        <tr r="E99" s="2"/>
      </tp>
      <tp>
        <v>42.33</v>
        <stp/>
        <stp>##V3_BDPV12</stp>
        <stp>EXAS Equity</stp>
        <stp>Px Bid</stp>
        <stp>[Pricing File.xlsm]TotalReturnPricing!R460C6</stp>
        <tr r="F460" s="2"/>
      </tp>
      <tp>
        <v>8.4</v>
        <stp/>
        <stp>##V3_BDPV12</stp>
        <stp>AXDX Equity</stp>
        <stp>Px Bid</stp>
        <stp>[Pricing File.xlsm]TotalReturnPricing!R384C6</stp>
        <tr r="F384" s="2"/>
      </tp>
      <tp>
        <v>29.490000000000002</v>
        <stp/>
        <stp>##V3_BDPV12</stp>
        <stp>CL3 Comdty</stp>
        <stp>Px Ask</stp>
        <stp>[Pricing File.xlsm]TotalReturnPricing!R536C7</stp>
        <tr r="G536" s="2"/>
      </tp>
      <tp>
        <v>11.01</v>
        <stp/>
        <stp>##V3_BDPV12</stp>
        <stp>MYGN Equity</stp>
        <stp>Px Bid</stp>
        <stp>[Pricing File.xlsm]TotalReturnPricing!R358C6</stp>
        <tr r="F358" s="2"/>
      </tp>
      <tp>
        <v>3.2</v>
        <stp/>
        <stp>##V3_BDPV12</stp>
        <stp>CVNA 200821C00075000 Equity</stp>
        <stp>Px Ask</stp>
        <stp>[Pricing File.xlsm]TotalReturnPricing!R921C7</stp>
        <tr r="G921" s="2"/>
      </tp>
      <tp t="s">
        <v>#N/A Field Not Applicable</v>
        <stp/>
        <stp>##V3_BDPV12</stp>
        <stp>2282 HK Equity</stp>
        <stp>OPT_DELTA</stp>
        <stp>[Pricing File.xlsm]TotalReturnPricing!R93C8</stp>
        <tr r="H93" s="2"/>
      </tp>
      <tp>
        <v>29.65</v>
        <stp/>
        <stp>##V3_BDPV12</stp>
        <stp>EVER Equity</stp>
        <stp>Px Bid</stp>
        <stp>[Pricing File.xlsm]TotalReturnPricing!R830C6</stp>
        <tr r="F830" s="2"/>
      </tp>
      <tp>
        <v>229.35</v>
        <stp/>
        <stp>##V3_BDPV12</stp>
        <stp>ASML Equity</stp>
        <stp>Px Bid</stp>
        <stp>[Pricing File.xlsm]TotalReturnPricing!R744C6</stp>
        <tr r="F744" s="2"/>
      </tp>
      <tp>
        <v>4.9000000000000004</v>
        <stp/>
        <stp>##V3_BDPV12</stp>
        <stp>CSBR Equity</stp>
        <stp>Px Bid</stp>
        <stp>[Pricing File.xlsm]TotalReturnPricing!R146C6</stp>
        <tr r="F146" s="2"/>
      </tp>
      <tp>
        <v>15.48</v>
        <stp/>
        <stp>##V3_BDPV12</stp>
        <stp>CLCT Equity</stp>
        <stp>Px Bid</stp>
        <stp>[Pricing File.xlsm]TotalReturnPricing!R366C6</stp>
        <tr r="F366" s="2"/>
      </tp>
      <tp>
        <v>8.1219999999999999</v>
        <stp/>
        <stp>##V3_BDPV12</stp>
        <stp>STERV FH Equity</stp>
        <stp>Px Last</stp>
        <stp>[Pricing File.xlsm]TotalReturnPricing!R76C5</stp>
        <tr r="E76" s="2"/>
      </tp>
      <tp>
        <v>40.53</v>
        <stp/>
        <stp>##V3_BDPV12</stp>
        <stp>AMAT Equity</stp>
        <stp>Px Bid</stp>
        <stp>[Pricing File.xlsm]TotalReturnPricing!R514C6</stp>
        <tr r="F514" s="2"/>
      </tp>
      <tp t="s">
        <v>#N/A N/A</v>
        <stp/>
        <stp>##V3_BDPV12</stp>
        <stp>QNST 200320C00020000 Equity</stp>
        <stp>Px Bid</stp>
        <stp>[Pricing File.xlsm]TotalReturnPricing!R857C6</stp>
        <tr r="F857" s="2"/>
      </tp>
      <tp>
        <v>24.99</v>
        <stp/>
        <stp>##V3_BDPV12</stp>
        <stp>ENSG Equity</stp>
        <stp>Px Bid</stp>
        <stp>[Pricing File.xlsm]TotalReturnPricing!R350C6</stp>
        <tr r="F350" s="2"/>
      </tp>
      <tp>
        <v>71.38</v>
        <stp/>
        <stp>##V3_BDPV12</stp>
        <stp>LOGM Equity</stp>
        <stp>Px Bid</stp>
        <stp>[Pricing File.xlsm]TotalReturnPricing!R709C6</stp>
        <tr r="F709" s="2"/>
      </tp>
      <tp>
        <v>75.489999999999995</v>
        <stp/>
        <stp>##V3_BDPV12</stp>
        <stp>CHDN Equity</stp>
        <stp>Px Bid</stp>
        <stp>[Pricing File.xlsm]TotalReturnPricing!R766C6</stp>
        <tr r="F766" s="2"/>
      </tp>
      <tp t="s">
        <v>#N/A Invalid Security</v>
        <stp/>
        <stp>##V3_BDPV12</stp>
        <stp>HOM6 Comdty</stp>
        <stp>Px Bid</stp>
        <stp>[Pricing File.xlsm]TotalReturnPricing!R850C6</stp>
        <tr r="F850" s="2"/>
      </tp>
      <tp>
        <v>18.79</v>
        <stp/>
        <stp>##V3_BDPV12</stp>
        <stp>DISH Equity</stp>
        <stp>Px Bid</stp>
        <stp>[Pricing File.xlsm]TotalReturnPricing!R601C6</stp>
        <tr r="F601" s="2"/>
      </tp>
      <tp>
        <v>1.65</v>
        <stp/>
        <stp>##V3_BDPV12</stp>
        <stp>EIGI Equity</stp>
        <stp>Px Bid</stp>
        <stp>[Pricing File.xlsm]TotalReturnPricing!R790C6</stp>
        <tr r="F790" s="2"/>
      </tp>
      <tp>
        <v>4.51</v>
        <stp/>
        <stp>##V3_BDPV12</stp>
        <stp>BEBE Equity</stp>
        <stp>Px Bid</stp>
        <stp>[Pricing File.xlsm]TotalReturnPricing!R177C6</stp>
        <tr r="F177" s="2"/>
      </tp>
      <tp>
        <v>38.75</v>
        <stp/>
        <stp>##V3_BDPV12</stp>
        <stp>MGLN Equity</stp>
        <stp>Px Bid</stp>
        <stp>[Pricing File.xlsm]TotalReturnPricing!R648C6</stp>
        <tr r="F648" s="2"/>
      </tp>
      <tp>
        <v>32.229999999999997</v>
        <stp/>
        <stp>##V3_BDPV12</stp>
        <stp>EBAY Equity</stp>
        <stp>Px Bid</stp>
        <stp>[Pricing File.xlsm]TotalReturnPricing!R450C6</stp>
        <tr r="F450" s="2"/>
      </tp>
      <tp>
        <v>17.149999999999999</v>
        <stp/>
        <stp>##V3_BDPV12</stp>
        <stp>ACHC Equity</stp>
        <stp>Px Bid</stp>
        <stp>[Pricing File.xlsm]TotalReturnPricing!R534C6</stp>
        <tr r="F534" s="2"/>
      </tp>
      <tp t="s">
        <v>#N/A Field Not Applicable</v>
        <stp/>
        <stp>##V3_BDPV12</stp>
        <stp>CP Equity</stp>
        <stp>OPT_DELTA</stp>
        <stp>[Pricing File.xlsm]TotalReturnPricing!R750C8</stp>
        <tr r="H750" s="2"/>
      </tp>
      <tp t="s">
        <v>#N/A Field Not Applicable</v>
        <stp/>
        <stp>##V3_BDPV12</stp>
        <stp>MU Equity</stp>
        <stp>OPT_DELTA</stp>
        <stp>[Pricing File.xlsm]TotalReturnPricing!R405C8</stp>
        <tr r="H405" s="2"/>
      </tp>
      <tp>
        <v>73.010000000000005</v>
        <stp/>
        <stp>##V3_BDPV12</stp>
        <stp>VRTS Equity</stp>
        <stp>Px Ask</stp>
        <stp>[Pricing File.xlsm]TotalReturnPricing!R718C7</stp>
        <tr r="G718" s="2"/>
      </tp>
      <tp>
        <v>1.49</v>
        <stp/>
        <stp>##V3_BDPV12</stp>
        <stp>YRCW Equity</stp>
        <stp>Px Ask</stp>
        <stp>[Pricing File.xlsm]TotalReturnPricing!R247C7</stp>
        <tr r="G247" s="2"/>
      </tp>
      <tp>
        <v>42.49</v>
        <stp/>
        <stp>##V3_BDPV12</stp>
        <stp>MXIM Equity</stp>
        <stp>Px Bid</stp>
        <stp>[Pricing File.xlsm]TotalReturnPricing!R509C6</stp>
        <tr r="F509" s="2"/>
      </tp>
      <tp>
        <v>7.4</v>
        <stp/>
        <stp>##V3_BDPV12</stp>
        <stp>CVNA 200821C00055000 Equity</stp>
        <stp>Px Ask</stp>
        <stp>[Pricing File.xlsm]TotalReturnPricing!R920C7</stp>
        <tr r="G920" s="2"/>
      </tp>
      <tp>
        <v>6.6</v>
        <stp/>
        <stp>##V3_BDPV12</stp>
        <stp>CVNA 210115C00075000 Equity</stp>
        <stp>Px Ask</stp>
        <stp>[Pricing File.xlsm]TotalReturnPricing!R859C7</stp>
        <tr r="G859" s="2"/>
      </tp>
      <tp t="s">
        <v>#N/A N/A</v>
        <stp/>
        <stp>##V3_BDPV12</stp>
        <stp>CTRP Equity</stp>
        <stp>Px Bid</stp>
        <stp>[Pricing File.xlsm]TotalReturnPricing!R577C6</stp>
        <tr r="F577" s="2"/>
      </tp>
      <tp>
        <v>29.53</v>
        <stp/>
        <stp>##V3_BDPV12</stp>
        <stp>ETFC Equity</stp>
        <stp>Px Bid</stp>
        <stp>[Pricing File.xlsm]TotalReturnPricing!R481C6</stp>
        <tr r="F481" s="2"/>
      </tp>
      <tp>
        <v>37.299999999999997</v>
        <stp/>
        <stp>##V3_BDPV12</stp>
        <stp>LYFT 210115P00055000 Equity</stp>
        <stp>Px Ask</stp>
        <stp>[Pricing File.xlsm]TotalReturnPricing!R886C7</stp>
        <tr r="G886" s="2"/>
      </tp>
      <tp>
        <v>15.2</v>
        <stp/>
        <stp>##V3_BDPV12</stp>
        <stp>HTZ 200320P00019000 Equity</stp>
        <stp>Px Ask</stp>
        <stp>[Pricing File.xlsm]TotalReturnPricing!R890C7</stp>
        <tr r="G890" s="2"/>
      </tp>
      <tp t="s">
        <v>#N/A N/A</v>
        <stp/>
        <stp>##V3_BDPV12</stp>
        <stp>CVRS Equity</stp>
        <stp>Px Bid</stp>
        <stp>[Pricing File.xlsm]TotalReturnPricing!R137C6</stp>
        <tr r="F137" s="2"/>
      </tp>
      <tp>
        <v>12</v>
        <stp/>
        <stp>##V3_BDPV12</stp>
        <stp>HTZ 200417P00016000 Equity</stp>
        <stp>Px Ask</stp>
        <stp>[Pricing File.xlsm]TotalReturnPricing!R868C7</stp>
        <tr r="G868" s="2"/>
      </tp>
      <tp>
        <v>14.2</v>
        <stp/>
        <stp>##V3_BDPV12</stp>
        <stp>HTZ 200417P00018000 Equity</stp>
        <stp>Px Ask</stp>
        <stp>[Pricing File.xlsm]TotalReturnPricing!R876C7</stp>
        <tr r="G876" s="2"/>
      </tp>
      <tp t="s">
        <v>#N/A N/A</v>
        <stp/>
        <stp>##V3_BDPV12</stp>
        <stp>DRYS Equity</stp>
        <stp>Px Bid</stp>
        <stp>[Pricing File.xlsm]TotalReturnPricing!R130C6</stp>
        <tr r="F130" s="2"/>
      </tp>
      <tp>
        <v>16.57</v>
        <stp/>
        <stp>##V3_BDPV12</stp>
        <stp>CROX Equity</stp>
        <stp>Px Bid</stp>
        <stp>[Pricing File.xlsm]TotalReturnPricing!R207C6</stp>
        <tr r="F207" s="2"/>
      </tp>
      <tp>
        <v>29.75</v>
        <stp/>
        <stp>##V3_BDPV12</stp>
        <stp>CREE Equity</stp>
        <stp>Px Bid</stp>
        <stp>[Pricing File.xlsm]TotalReturnPricing!R377C6</stp>
        <tr r="F377" s="2"/>
      </tp>
      <tp>
        <v>88.73</v>
        <stp/>
        <stp>##V3_BDPV12</stp>
        <stp>LSTR Equity</stp>
        <stp>Px Bid</stp>
        <stp>[Pricing File.xlsm]TotalReturnPricing!R658C6</stp>
        <tr r="F658" s="2"/>
      </tp>
      <tp>
        <v>40.31</v>
        <stp/>
        <stp>##V3_BDPV12</stp>
        <stp>CSGS Equity</stp>
        <stp>Px Bid</stp>
        <stp>[Pricing File.xlsm]TotalReturnPricing!R487C6</stp>
        <tr r="F487" s="2"/>
      </tp>
      <tp>
        <v>3.5000000000000001E-3</v>
        <stp/>
        <stp>##V3_BDPV12</stp>
        <stp>LSCG Equity</stp>
        <stp>Px Bid</stp>
        <stp>[Pricing File.xlsm]TotalReturnPricing!R118C6</stp>
        <tr r="F118" s="2"/>
      </tp>
      <tp t="s">
        <v>#N/A Field Not Applicable</v>
        <stp/>
        <stp>##V3_BDPV12</stp>
        <stp>7752 JP Equity</stp>
        <stp>OPT_DELTA</stp>
        <stp>[Pricing File.xlsm]TotalReturnPricing!R95C8</stp>
        <tr r="H95" s="2"/>
      </tp>
      <tp>
        <v>0.64</v>
        <stp/>
        <stp>##V3_BDPV12</stp>
        <stp>GENS SP Equity</stp>
        <stp>Px Last</stp>
        <stp>[Pricing File.xlsm]TotalReturnPricing!R91C5</stp>
        <tr r="E91" s="2"/>
      </tp>
      <tp>
        <v>4.9400000000000004</v>
        <stp/>
        <stp>##V3_BDPV12</stp>
        <stp>AMSC Equity</stp>
        <stp>Px Bid</stp>
        <stp>[Pricing File.xlsm]TotalReturnPricing!R155C6</stp>
        <tr r="F155" s="2"/>
      </tp>
      <tp>
        <v>15.9</v>
        <stp/>
        <stp>##V3_BDPV12</stp>
        <stp>BMCH Equity</stp>
        <stp>Px Bid</stp>
        <stp>[Pricing File.xlsm]TotalReturnPricing!R346C6</stp>
        <tr r="F346" s="2"/>
      </tp>
      <tp>
        <v>3.53</v>
        <stp/>
        <stp>##V3_BDPV12</stp>
        <stp>FOSL Equity</stp>
        <stp>Px Bid</stp>
        <stp>[Pricing File.xlsm]TotalReturnPricing!R232C6</stp>
        <tr r="F232" s="2"/>
      </tp>
      <tp>
        <v>11.84</v>
        <stp/>
        <stp>##V3_BDPV12</stp>
        <stp>COHU Equity</stp>
        <stp>Px Bid</stp>
        <stp>[Pricing File.xlsm]TotalReturnPricing!R317C6</stp>
        <tr r="F317" s="2"/>
      </tp>
      <tp>
        <v>60.77</v>
        <stp/>
        <stp>##V3_BDPV12</stp>
        <stp>CHRW Equity</stp>
        <stp>Px Bid</stp>
        <stp>[Pricing File.xlsm]TotalReturnPricing!R607C6</stp>
        <tr r="F607" s="2"/>
      </tp>
      <tp t="s">
        <v>#N/A N/A</v>
        <stp/>
        <stp>##V3_BDPV12</stp>
        <stp>SKYW 200417C00060000 Equity</stp>
        <stp>Px Bid</stp>
        <stp>[Pricing File.xlsm]TotalReturnPricing!R863C6</stp>
        <tr r="F863" s="2"/>
      </tp>
      <tp t="s">
        <v>#N/A Invalid Security</v>
        <stp/>
        <stp>##V3_BDPV12</stp>
        <stp>HOV6 Comdty</stp>
        <stp>Px Bid</stp>
        <stp>[Pricing File.xlsm]TotalReturnPricing!R851C6</stp>
        <tr r="F851" s="2"/>
      </tp>
      <tp t="s">
        <v>#N/A N/A</v>
        <stp/>
        <stp>##V3_BDPV12</stp>
        <stp>WEX 200221C00200000 Equity</stp>
        <stp>Px Ask</stp>
        <stp>[Pricing File.xlsm]TotalReturnPricing!R858C7</stp>
        <tr r="G858" s="2"/>
      </tp>
      <tp>
        <v>25.2</v>
        <stp/>
        <stp>##V3_BDPV12</stp>
        <stp>SAVE 200320P00037500 Equity</stp>
        <stp>Px Bid</stp>
        <stp>[Pricing File.xlsm]TotalReturnPricing!R873C6</stp>
        <tr r="F873" s="2"/>
      </tp>
      <tp>
        <v>54.59</v>
        <stp/>
        <stp>##V3_BDPV12</stp>
        <stp>CDNS Equity</stp>
        <stp>Px Bid</stp>
        <stp>[Pricing File.xlsm]TotalReturnPricing!R457C6</stp>
        <tr r="F457" s="2"/>
      </tp>
      <tp t="s">
        <v>#N/A N/A</v>
        <stp/>
        <stp>##V3_BDPV12</stp>
        <stp>PFSI 200515C00035000 Equity</stp>
        <stp>Px Bid</stp>
        <stp>[Pricing File.xlsm]TotalReturnPricing!R874C6</stp>
        <tr r="F874" s="2"/>
      </tp>
      <tp>
        <v>6.71</v>
        <stp/>
        <stp>##V3_BDPV12</stp>
        <stp>DESP Equity</stp>
        <stp>Px Bid</stp>
        <stp>[Pricing File.xlsm]TotalReturnPricing!R800C6</stp>
        <tr r="F800" s="2"/>
      </tp>
      <tp>
        <v>11.75</v>
        <stp/>
        <stp>##V3_BDPV12</stp>
        <stp>EGHT Equity</stp>
        <stp>Px Bid</stp>
        <stp>[Pricing File.xlsm]TotalReturnPricing!R271C6</stp>
        <tr r="F271" s="2"/>
      </tp>
      <tp>
        <v>2</v>
        <stp/>
        <stp>##V3_BDPV12</stp>
        <stp>GASS Equity</stp>
        <stp>Px Bid</stp>
        <stp>[Pricing File.xlsm]TotalReturnPricing!R153C6</stp>
        <tr r="F153" s="2"/>
      </tp>
      <tp>
        <v>1.43</v>
        <stp/>
        <stp>##V3_BDPV12</stp>
        <stp>ABEO Equity</stp>
        <stp>Px Bid</stp>
        <stp>[Pricing File.xlsm]TotalReturnPricing!R115C6</stp>
        <tr r="F115" s="2"/>
      </tp>
      <tp>
        <v>3.38</v>
        <stp/>
        <stp>##V3_BDPV12</stp>
        <stp>VLRS Equity</stp>
        <stp>Px Ask</stp>
        <stp>[Pricing File.xlsm]TotalReturnPricing!R258C7</stp>
        <tr r="G258" s="2"/>
      </tp>
      <tp>
        <v>7.75</v>
        <stp/>
        <stp>##V3_BDPV12</stp>
        <stp>CCRN Equity</stp>
        <stp>Px Bid</stp>
        <stp>[Pricing File.xlsm]TotalReturnPricing!R237C6</stp>
        <tr r="F237" s="2"/>
      </tp>
      <tp>
        <v>11.22</v>
        <stp/>
        <stp>##V3_BDPV12</stp>
        <stp>BCEI Equity</stp>
        <stp>Px Bid</stp>
        <stp>[Pricing File.xlsm]TotalReturnPricing!R396C6</stp>
        <tr r="F396" s="2"/>
      </tp>
      <tp>
        <v>7.84</v>
        <stp/>
        <stp>##V3_BDPV12</stp>
        <stp>VECO  Equity</stp>
        <stp>Px Last</stp>
        <stp>[Pricing File.xlsm]TotalReturnPricing!R413C5</stp>
        <tr r="E413" s="2"/>
      </tp>
      <tp t="s">
        <v>#N/A Field Not Applicable</v>
        <stp/>
        <stp>##V3_BDPV12</stp>
        <stp>MU Equity</stp>
        <stp>OPT_DELTA</stp>
        <stp>[Pricing File.xlsm]TotalReturnPricing!R404C8</stp>
        <tr r="H404" s="2"/>
      </tp>
      <tp t="s">
        <v>#N/A Field Not Applicable</v>
        <stp/>
        <stp>##V3_BDPV12</stp>
        <stp>MS Equity</stp>
        <stp>OPT_DELTA</stp>
        <stp>[Pricing File.xlsm]TotalReturnPricing!R522C8</stp>
        <tr r="H522" s="2"/>
      </tp>
      <tp t="s">
        <v>#N/A Field Not Applicable</v>
        <stp/>
        <stp>##V3_BDPV12</stp>
        <stp>CY Equity</stp>
        <stp>OPT_DELTA</stp>
        <stp>[Pricing File.xlsm]TotalReturnPricing!R268C8</stp>
        <tr r="H268" s="2"/>
      </tp>
      <tp>
        <v>6.0000000000000001E-3</v>
        <stp/>
        <stp>##V3_BDPV12</stp>
        <stp>BLIAQ Equity</stp>
        <stp>Px Ask</stp>
        <stp>[Pricing File.xlsm]TotalReturnPricing!R117C7</stp>
        <tr r="G117" s="2"/>
      </tp>
      <tp>
        <v>58.78</v>
        <stp/>
        <stp>##V3_BDPV12</stp>
        <stp>EXPD Equity</stp>
        <stp>Px Bid</stp>
        <stp>[Pricing File.xlsm]TotalReturnPricing!R576C6</stp>
        <tr r="F576" s="2"/>
      </tp>
      <tp>
        <v>54.54</v>
        <stp/>
        <stp>##V3_BDPV12</stp>
        <stp>EXPE Equity</stp>
        <stp>Px Bid</stp>
        <stp>[Pricing File.xlsm]TotalReturnPricing!R746C6</stp>
        <tr r="F746" s="2"/>
      </tp>
      <tp>
        <v>12.94</v>
        <stp/>
        <stp>##V3_BDPV12</stp>
        <stp>NEO FP Equity</stp>
        <stp>Px Last</stp>
        <stp>[Pricing File.xlsm]TotalReturnPricing!R74C5</stp>
        <tr r="E74" s="2"/>
      </tp>
      <tp>
        <v>1.43</v>
        <stp/>
        <stp>##V3_BDPV12</stp>
        <stp>YTRA Equity</stp>
        <stp>Px Ask</stp>
        <stp>[Pricing File.xlsm]TotalReturnPricing!R230C7</stp>
        <tr r="G230" s="2"/>
      </tp>
      <tp>
        <v>43.56</v>
        <stp/>
        <stp>##V3_BDPV12</stp>
        <stp>CTSH Equity</stp>
        <stp>Px Bid</stp>
        <stp>[Pricing File.xlsm]TotalReturnPricing!R620C6</stp>
        <tr r="F620" s="2"/>
      </tp>
      <tp>
        <v>25.32</v>
        <stp/>
        <stp>##V3_BDPV12</stp>
        <stp>ATRC Equity</stp>
        <stp>Px Bid</stp>
        <stp>[Pricing File.xlsm]TotalReturnPricing!R352C6</stp>
        <tr r="F352" s="2"/>
      </tp>
      <tp>
        <v>4.9000000000000004</v>
        <stp/>
        <stp>##V3_BDPV12</stp>
        <stp>LYFT 210115C00030000 Equity</stp>
        <stp>Px Ask</stp>
        <stp>[Pricing File.xlsm]TotalReturnPricing!R914C7</stp>
        <tr r="G914" s="2"/>
      </tp>
      <tp>
        <v>5.91</v>
        <stp/>
        <stp>##V3_BDPV12</stp>
        <stp>AVID Equity</stp>
        <stp>Px Bid</stp>
        <stp>[Pricing File.xlsm]TotalReturnPricing!R172C6</stp>
        <tr r="F172" s="2"/>
      </tp>
      <tp t="s">
        <v>#N/A N/A</v>
        <stp/>
        <stp>##V3_BDPV12</stp>
        <stp>DPLO Equity</stp>
        <stp>Px Bid</stp>
        <stp>[Pricing File.xlsm]TotalReturnPricing!R277C6</stp>
        <tr r="F277" s="2"/>
      </tp>
      <tp t="s">
        <v>#N/A N/A</v>
        <stp/>
        <stp>##V3_BDPV12</stp>
        <stp>ESRX Equity</stp>
        <stp>Px Bid</stp>
        <stp>[Pricing File.xlsm]TotalReturnPricing!R596C6</stp>
        <tr r="F596" s="2"/>
      </tp>
      <tp>
        <v>5.09</v>
        <stp/>
        <stp>##V3_BDPV12</stp>
        <stp>GSKY Equity</stp>
        <stp>Px Bid</stp>
        <stp>[Pricing File.xlsm]TotalReturnPricing!R834C6</stp>
        <tr r="F834" s="2"/>
      </tp>
      <tp>
        <v>30</v>
        <stp/>
        <stp>##V3_BDPV12</stp>
        <stp>AMTD Equity</stp>
        <stp>Px Bid</stp>
        <stp>[Pricing File.xlsm]TotalReturnPricing!R512C6</stp>
        <tr r="F512" s="2"/>
      </tp>
      <tp>
        <v>4.54</v>
        <stp/>
        <stp>##V3_BDPV12</stp>
        <stp>ANGI Equity</stp>
        <stp>Px Bid</stp>
        <stp>[Pricing File.xlsm]TotalReturnPricing!R242C6</stp>
        <tr r="F242" s="2"/>
      </tp>
      <tp>
        <v>55.3</v>
        <stp/>
        <stp>##V3_BDPV12</stp>
        <stp>DORM Equity</stp>
        <stp>Px Bid</stp>
        <stp>[Pricing File.xlsm]TotalReturnPricing!R807C6</stp>
        <tr r="F807" s="2"/>
      </tp>
      <tp>
        <v>16.8</v>
        <stp/>
        <stp>##V3_BDPV12</stp>
        <stp>FORM Equity</stp>
        <stp>Px Bid</stp>
        <stp>[Pricing File.xlsm]TotalReturnPricing!R255C6</stp>
        <tr r="F255" s="2"/>
      </tp>
      <tp>
        <v>90</v>
        <stp/>
        <stp>##V3_BDPV12</stp>
        <stp>DHIL Equity</stp>
        <stp>Px Bid</stp>
        <stp>[Pricing File.xlsm]TotalReturnPricing!R767C6</stp>
        <tr r="F767" s="2"/>
      </tp>
      <tp>
        <v>1.6E-2</v>
        <stp/>
        <stp>##V3_BDPV12</stp>
        <stp>PFTI Equity</stp>
        <stp>Px Ask</stp>
        <stp>[Pricing File.xlsm]TotalReturnPricing!R119C7</stp>
        <tr r="G119" s="2"/>
      </tp>
      <tp>
        <v>14</v>
        <stp/>
        <stp>##V3_BDPV12</stp>
        <stp>FITB Equity</stp>
        <stp>Px Bid</stp>
        <stp>[Pricing File.xlsm]TotalReturnPricing!R375C6</stp>
        <tr r="F375" s="2"/>
      </tp>
      <tp>
        <v>10.53</v>
        <stp/>
        <stp>##V3_BDPV12</stp>
        <stp>GIII Equity</stp>
        <stp>Px Bid</stp>
        <stp>[Pricing File.xlsm]TotalReturnPricing!R374C6</stp>
        <tr r="F374" s="2"/>
      </tp>
      <tp t="s">
        <v>#N/A N/A</v>
        <stp/>
        <stp>##V3_BDPV12</stp>
        <stp>QNST 200320C00017500 Equity</stp>
        <stp>Px Bid</stp>
        <stp>[Pricing File.xlsm]TotalReturnPricing!R856C6</stp>
        <tr r="F856" s="2"/>
      </tp>
      <tp>
        <v>74.2</v>
        <stp/>
        <stp>##V3_BDPV12</stp>
        <stp>QDEL Equity</stp>
        <stp>Px Ask</stp>
        <stp>[Pricing File.xlsm]TotalReturnPricing!R448C7</stp>
        <tr r="G448" s="2"/>
      </tp>
      <tp>
        <v>9.68</v>
        <stp/>
        <stp>##V3_BDPV12</stp>
        <stp>CDZI Equity</stp>
        <stp>Px Bid</stp>
        <stp>[Pricing File.xlsm]TotalReturnPricing!R250C6</stp>
        <tr r="F250" s="2"/>
      </tp>
      <tp>
        <v>44.41</v>
        <stp/>
        <stp>##V3_BDPV12</stp>
        <stp>GDDY Equity</stp>
        <stp>Px Bid</stp>
        <stp>[Pricing File.xlsm]TotalReturnPricing!R494C6</stp>
        <tr r="F494" s="2"/>
      </tp>
      <tp>
        <v>60.52</v>
        <stp/>
        <stp>##V3_BDPV12</stp>
        <stp>CERN Equity</stp>
        <stp>Px Bid</stp>
        <stp>[Pricing File.xlsm]TotalReturnPricing!R600C6</stp>
        <tr r="F600" s="2"/>
      </tp>
      <tp>
        <v>4.24</v>
        <stp/>
        <stp>##V3_BDPV12</stp>
        <stp>ZIXI Equity</stp>
        <stp>Px Ask</stp>
        <stp>[Pricing File.xlsm]TotalReturnPricing!R173C7</stp>
        <tr r="G173" s="2"/>
      </tp>
      <tp>
        <v>22.33</v>
        <stp/>
        <stp>##V3_BDPV12</stp>
        <stp>KFRC Equity</stp>
        <stp>Px Bid</stp>
        <stp>[Pricing File.xlsm]TotalReturnPricing!R308C6</stp>
        <tr r="F308" s="2"/>
      </tp>
      <tp>
        <v>10.61</v>
        <stp/>
        <stp>##V3_BDPV12</stp>
        <stp>JBLU Equity</stp>
        <stp>Px Bid</stp>
        <stp>[Pricing File.xlsm]TotalReturnPricing!R339C6</stp>
        <tr r="F339" s="2"/>
      </tp>
      <tp>
        <v>28.64</v>
        <stp/>
        <stp>##V3_BDPV12</stp>
        <stp>PLCE Equity</stp>
        <stp>Px Ask</stp>
        <stp>[Pricing File.xlsm]TotalReturnPricing!R699C7</stp>
        <tr r="G699" s="2"/>
      </tp>
      <tp t="s">
        <v>#N/A Field Not Applicable</v>
        <stp/>
        <stp>##V3_BDPV12</stp>
        <stp>PTEC LN Equity</stp>
        <stp>OPT_DELTA</stp>
        <stp>[Pricing File.xlsm]TotalReturnPricing!R100C8</stp>
        <tr r="H100" s="2"/>
      </tp>
      <tp>
        <v>8.1199999999999992</v>
        <stp/>
        <stp>##V3_BDPV12</stp>
        <stp>PRTA Equity</stp>
        <stp>Px Ask</stp>
        <stp>[Pricing File.xlsm]TotalReturnPricing!R598C7</stp>
        <tr r="G598" s="2"/>
      </tp>
      <tp>
        <v>46.73</v>
        <stp/>
        <stp>##V3_BDPV12</stp>
        <stp>FWRD Equity</stp>
        <stp>Px Bid</stp>
        <stp>[Pricing File.xlsm]TotalReturnPricing!R544C6</stp>
        <tr r="F544" s="2"/>
      </tp>
      <tp>
        <v>2.6</v>
        <stp/>
        <stp>##V3_BDPV12</stp>
        <stp>AWRE Equity</stp>
        <stp>Px Bid</stp>
        <stp>[Pricing File.xlsm]TotalReturnPricing!R163C6</stp>
        <tr r="F163" s="2"/>
      </tp>
      <tp>
        <v>36</v>
        <stp/>
        <stp>##V3_BDPV12</stp>
        <stp>LYFT 200717P00052500 Equity</stp>
        <stp>Px Ask</stp>
        <stp>[Pricing File.xlsm]TotalReturnPricing!R881C7</stp>
        <tr r="G881" s="2"/>
      </tp>
      <tp>
        <v>18</v>
        <stp/>
        <stp>##V3_BDPV12</stp>
        <stp>APAM Equity</stp>
        <stp>Px Bid</stp>
        <stp>[Pricing File.xlsm]TotalReturnPricing!R423C6</stp>
        <tr r="F423" s="2"/>
      </tp>
      <tp>
        <v>31.54</v>
        <stp/>
        <stp>##V3_BDPV12</stp>
        <stp>FSLR Equity</stp>
        <stp>Px Bid</stp>
        <stp>[Pricing File.xlsm]TotalReturnPricing!R504C6</stp>
        <tr r="F504" s="2"/>
      </tp>
      <tp>
        <v>586.04999999999995</v>
        <stp/>
        <stp>##V3_BDPV12</stp>
        <stp>CSGP Equity</stp>
        <stp>Px Bid</stp>
        <stp>[Pricing File.xlsm]TotalReturnPricing!R781C6</stp>
        <tr r="F781" s="2"/>
      </tp>
      <tp>
        <v>16.09</v>
        <stp/>
        <stp>##V3_BDPV12</stp>
        <stp>ALLY Equity</stp>
        <stp>Px Bid</stp>
        <stp>[Pricing File.xlsm]TotalReturnPricing!R353C6</stp>
        <tr r="F353" s="2"/>
      </tp>
      <tp>
        <v>60.17</v>
        <stp/>
        <stp>##V3_BDPV12</stp>
        <stp>PCAR Equity</stp>
        <stp>Px Ask</stp>
        <stp>[Pricing File.xlsm]TotalReturnPricing!R618C7</stp>
        <tr r="G618" s="2"/>
      </tp>
      <tp>
        <v>1687.68</v>
        <stp/>
        <stp>##V3_BDPV12</stp>
        <stp>AMZN Equity</stp>
        <stp>Px Bid</stp>
        <stp>[Pricing File.xlsm]TotalReturnPricing!R793C6</stp>
        <tr r="F793" s="2"/>
      </tp>
      <tp>
        <v>53.41</v>
        <stp/>
        <stp>##V3_BDPV12</stp>
        <stp>DOOR Equity</stp>
        <stp>Px Bid</stp>
        <stp>[Pricing File.xlsm]TotalReturnPricing!R646C6</stp>
        <tr r="F646" s="2"/>
      </tp>
      <tp>
        <v>98.61</v>
        <stp/>
        <stp>##V3_BDPV12</stp>
        <stp>EHTH Equity</stp>
        <stp>Px Bid</stp>
        <stp>[Pricing File.xlsm]TotalReturnPricing!R307C6</stp>
        <tr r="F307" s="2"/>
      </tp>
      <tp>
        <v>83.23</v>
        <stp/>
        <stp>##V3_BDPV12</stp>
        <stp>AKAM Equity</stp>
        <stp>Px Bid</stp>
        <stp>[Pricing File.xlsm]TotalReturnPricing!R513C6</stp>
        <tr r="F513" s="2"/>
      </tp>
      <tp>
        <v>52.59</v>
        <stp/>
        <stp>##V3_BDPV12</stp>
        <stp>ADUS Equity</stp>
        <stp>Px Bid</stp>
        <stp>[Pricing File.xlsm]TotalReturnPricing!R443C6</stp>
        <tr r="F443" s="2"/>
      </tp>
      <tp>
        <v>82</v>
        <stp/>
        <stp>##V3_BDPV12</stp>
        <stp>EEFT Equity</stp>
        <stp>Px Bid</stp>
        <stp>[Pricing File.xlsm]TotalReturnPricing!R687C6</stp>
        <tr r="F687" s="2"/>
      </tp>
      <tp t="s">
        <v>#N/A N/A</v>
        <stp/>
        <stp>##V3_BDPV12</stp>
        <stp>PFSI 200221C00025000 Equity</stp>
        <stp>Px Bid</stp>
        <stp>[Pricing File.xlsm]TotalReturnPricing!R865C6</stp>
        <tr r="F865" s="2"/>
      </tp>
      <tp>
        <v>82.63</v>
        <stp/>
        <stp>##V3_BDPV12</stp>
        <stp>CBOE Equity</stp>
        <stp>Px Bid</stp>
        <stp>[Pricing File.xlsm]TotalReturnPricing!R681C6</stp>
        <tr r="F681" s="2"/>
      </tp>
      <tp>
        <v>68.760000000000005</v>
        <stp/>
        <stp>##V3_BDPV12</stp>
        <stp>JCOM Equity</stp>
        <stp>Px Bid</stp>
        <stp>[Pricing File.xlsm]TotalReturnPricing!R668C6</stp>
        <tr r="F668" s="2"/>
      </tp>
      <tp>
        <v>8.1280000000000001</v>
        <stp/>
        <stp>##V3_BDPV12</stp>
        <stp>STERV FH Equity</stp>
        <stp>Px Bid</stp>
        <stp>[Pricing File.xlsm]TotalReturnPricing!R76C6</stp>
        <tr r="F76" s="2"/>
      </tp>
      <tp>
        <v>0.1</v>
        <stp/>
        <stp>##V3_BDPV12</stp>
        <stp>YOO CN Equity</stp>
        <stp>Px Last</stp>
        <stp>[Pricing File.xlsm]TotalReturnPricing!R56C5</stp>
        <tr r="E56" s="2"/>
      </tp>
      <tp>
        <v>78.95</v>
        <stp/>
        <stp>##V3_BDPV12</stp>
        <stp>KAMBI SS Equity</stp>
        <stp>Px Last</stp>
        <stp>[Pricing File.xlsm]TotalReturnPricing!R75C5</stp>
        <tr r="E75" s="2"/>
      </tp>
      <tp>
        <v>5.7</v>
        <stp/>
        <stp>##V3_BDPV12</stp>
        <stp>CVNA 210115C00080000 Equity</stp>
        <stp>Px Ask</stp>
        <stp>[Pricing File.xlsm]TotalReturnPricing!R919C7</stp>
        <tr r="G919" s="2"/>
      </tp>
      <tp>
        <v>0.61</v>
        <stp/>
        <stp>##V3_BDPV12</stp>
        <stp>BBD/B CN Equity</stp>
        <stp>Px Last</stp>
        <stp>[Pricing File.xlsm]TotalReturnPricing!R57C5</stp>
        <tr r="E57" s="2"/>
      </tp>
      <tp>
        <v>41.99</v>
        <stp/>
        <stp>##V3_BDPV12</stp>
        <stp>IWM 200320P00145000 Equity</stp>
        <stp>Px Ask</stp>
        <stp>[Pricing File.xlsm]TotalReturnPricing!R869C7</stp>
        <tr r="G869" s="2"/>
      </tp>
      <tp>
        <v>48.4</v>
        <stp/>
        <stp>##V3_BDPV12</stp>
        <stp>LYFT 200717P00065000 Equity</stp>
        <stp>Px Ask</stp>
        <stp>[Pricing File.xlsm]TotalReturnPricing!R895C7</stp>
        <tr r="G895" s="2"/>
      </tp>
      <tp>
        <v>110</v>
        <stp/>
        <stp>##V3_BDPV12</stp>
        <stp>HUBS Equity</stp>
        <stp>Px Bid</stp>
        <stp>[Pricing File.xlsm]TotalReturnPricing!R629C6</stp>
        <tr r="F629" s="2"/>
      </tp>
      <tp>
        <v>2.0299999999999998</v>
        <stp/>
        <stp>##V3_BDPV12</stp>
        <stp>EVRC Equity</stp>
        <stp>Px Bid</stp>
        <stp>[Pricing File.xlsm]TotalReturnPricing!R134C6</stp>
        <tr r="F134" s="2"/>
      </tp>
      <tp>
        <v>0.7</v>
        <stp/>
        <stp>##V3_BDPV12</stp>
        <stp>LVS 200417C00062500 Equity</stp>
        <stp>Px Ask</stp>
        <stp>[Pricing File.xlsm]TotalReturnPricing!R909C7</stp>
        <tr r="G909" s="2"/>
      </tp>
      <tp>
        <v>137.15</v>
        <stp/>
        <stp>##V3_BDPV12</stp>
        <stp>AMED Equity</stp>
        <stp>Px Bid</stp>
        <stp>[Pricing File.xlsm]TotalReturnPricing!R520C6</stp>
        <tr r="F520" s="2"/>
      </tp>
      <tp>
        <v>28.33</v>
        <stp/>
        <stp>##V3_BDPV12</stp>
        <stp>SATS Equity</stp>
        <stp>Px Ask</stp>
        <stp>[Pricing File.xlsm]TotalReturnPricing!R588C7</stp>
        <tr r="G588" s="2"/>
      </tp>
      <tp>
        <v>5.72</v>
        <stp/>
        <stp>##V3_BDPV12</stp>
        <stp>DNOW Equity</stp>
        <stp>Px Bid</stp>
        <stp>[Pricing File.xlsm]TotalReturnPricing!R285C6</stp>
        <tr r="F285" s="2"/>
      </tp>
      <tp>
        <v>67.87</v>
        <stp/>
        <stp>##V3_BDPV12</stp>
        <stp>SAIA Equity</stp>
        <stp>Px Ask</stp>
        <stp>[Pricing File.xlsm]TotalReturnPricing!R548C7</stp>
        <tr r="G548" s="2"/>
      </tp>
      <tp>
        <v>106.6</v>
        <stp/>
        <stp>##V3_BDPV12</stp>
        <stp>SAFM Equity</stp>
        <stp>Px Ask</stp>
        <stp>[Pricing File.xlsm]TotalReturnPricing!R728C7</stp>
        <tr r="G728" s="2"/>
      </tp>
      <tp>
        <v>4.68</v>
        <stp/>
        <stp>##V3_BDPV12</stp>
        <stp>SGRY Equity</stp>
        <stp>Px Ask</stp>
        <stp>[Pricing File.xlsm]TotalReturnPricing!R818C7</stp>
        <tr r="G818" s="2"/>
      </tp>
      <tp t="s">
        <v>#N/A N/A</v>
        <stp/>
        <stp>##V3_BDPV12</stp>
        <stp>SKYW 200417C00055000 Equity</stp>
        <stp>Px Bid</stp>
        <stp>[Pricing File.xlsm]TotalReturnPricing!R893C6</stp>
        <tr r="F893" s="2"/>
      </tp>
      <tp>
        <v>31.49</v>
        <stp/>
        <stp>##V3_BDPV12</stp>
        <stp>CHGG Equity</stp>
        <stp>Px Bid</stp>
        <stp>[Pricing File.xlsm]TotalReturnPricing!R262C6</stp>
        <tr r="F262" s="2"/>
      </tp>
      <tp t="s">
        <v>#N/A N/A</v>
        <stp/>
        <stp>##V3_BDPV12</stp>
        <stp>CELG Equity</stp>
        <stp>Px Bid</stp>
        <stp>[Pricing File.xlsm]TotalReturnPricing!R732C6</stp>
        <tr r="F732" s="2"/>
      </tp>
      <tp>
        <v>5.01</v>
        <stp/>
        <stp>##V3_BDPV12</stp>
        <stp>SIRI Equity</stp>
        <stp>Px Ask</stp>
        <stp>[Pricing File.xlsm]TotalReturnPricing!R178C7</stp>
        <tr r="G178" s="2"/>
      </tp>
      <tp>
        <v>16.079999999999998</v>
        <stp/>
        <stp>##V3_BDPV12</stp>
        <stp>EGOV Equity</stp>
        <stp>Px Bid</stp>
        <stp>[Pricing File.xlsm]TotalReturnPricing!R284C6</stp>
        <tr r="F284" s="2"/>
      </tp>
      <tp>
        <v>1.26</v>
        <stp/>
        <stp>##V3_BDPV12</stp>
        <stp>BGFV Equity</stp>
        <stp>Px Bid</stp>
        <stp>[Pricing File.xlsm]TotalReturnPricing!R233C6</stp>
        <tr r="F233" s="2"/>
      </tp>
      <tp>
        <v>3.05</v>
        <stp/>
        <stp>##V3_BDPV12</stp>
        <stp>BGCP Equity</stp>
        <stp>Px Bid</stp>
        <stp>[Pricing File.xlsm]TotalReturnPricing!R243C6</stp>
        <tr r="F243" s="2"/>
      </tp>
      <tp>
        <v>17.440000000000001</v>
        <stp/>
        <stp>##V3_BDPV12</stp>
        <stp>CARG Equity</stp>
        <stp>Px Bid</stp>
        <stp>[Pricing File.xlsm]TotalReturnPricing!R802C6</stp>
        <tr r="F802" s="2"/>
      </tp>
      <tp>
        <v>16.91</v>
        <stp/>
        <stp>##V3_BDPV12</stp>
        <stp>CAKE Equity</stp>
        <stp>Px Bid</stp>
        <stp>[Pricing File.xlsm]TotalReturnPricing!R532C6</stp>
        <tr r="F532" s="2"/>
      </tp>
      <tp>
        <v>82.63</v>
        <stp/>
        <stp>##V3_BDPV12</stp>
        <stp>CBOE Equity</stp>
        <stp>Px Bid</stp>
        <stp>[Pricing File.xlsm]TotalReturnPricing!R682C6</stp>
        <tr r="F682" s="2"/>
      </tp>
      <tp>
        <v>9.8800000000000008</v>
        <stp/>
        <stp>##V3_BDPV12</stp>
        <stp>HCKT Equity</stp>
        <stp>Px Bid</stp>
        <stp>[Pricing File.xlsm]TotalReturnPricing!R789C6</stp>
        <tr r="F789" s="2"/>
      </tp>
      <tp>
        <v>74.92</v>
        <stp/>
        <stp>##V3_BDPV12</stp>
        <stp>SLAB Equity</stp>
        <stp>Px Ask</stp>
        <stp>[Pricing File.xlsm]TotalReturnPricing!R638C7</stp>
        <tr r="G638" s="2"/>
      </tp>
      <tp>
        <v>59.19</v>
        <stp/>
        <stp>##V3_BDPV12</stp>
        <stp>ICFI Equity</stp>
        <stp>Px Bid</stp>
        <stp>[Pricing File.xlsm]TotalReturnPricing!R508C6</stp>
        <tr r="F508" s="2"/>
      </tp>
      <tp>
        <v>8.1560000000000006</v>
        <stp/>
        <stp>##V3_BDPV12</stp>
        <stp>STERV FH Equity</stp>
        <stp>Px Ask</stp>
        <stp>[Pricing File.xlsm]TotalReturnPricing!R76C7</stp>
        <tr r="G76" s="2"/>
      </tp>
      <tp>
        <v>1.57</v>
        <stp/>
        <stp>##V3_BDPV12</stp>
        <stp>LTRPA Equity</stp>
        <stp>Px Bid</stp>
        <stp>[Pricing File.xlsm]TotalReturnPricing!R236C6</stp>
        <tr r="F236" s="2"/>
      </tp>
      <tp t="s">
        <v>#N/A Field Not Applicable</v>
        <stp/>
        <stp>##V3_BDPV12</stp>
        <stp>C Equity</stp>
        <stp>OPT_DELTA</stp>
        <stp>[Pricing File.xlsm]TotalReturnPricing!R614C8</stp>
        <tr r="H614" s="2"/>
      </tp>
      <tp>
        <v>10</v>
        <stp/>
        <stp>##V3_BDPV12</stp>
        <stp>CVNA 210115C00060000 Equity</stp>
        <stp>Px Ask</stp>
        <stp>[Pricing File.xlsm]TotalReturnPricing!R918C7</stp>
        <tr r="G918" s="2"/>
      </tp>
      <tp>
        <v>40.6</v>
        <stp/>
        <stp>##V3_BDPV12</stp>
        <stp>HURN Equity</stp>
        <stp>Px Bid</stp>
        <stp>[Pricing File.xlsm]TotalReturnPricing!R488C6</stp>
        <tr r="F488" s="2"/>
      </tp>
      <tp>
        <v>39.68</v>
        <stp/>
        <stp>##V3_BDPV12</stp>
        <stp>CWST Equity</stp>
        <stp>Px Bid</stp>
        <stp>[Pricing File.xlsm]TotalReturnPricing!R293C6</stp>
        <tr r="F293" s="2"/>
      </tp>
      <tp>
        <v>35.200000000000003</v>
        <stp/>
        <stp>##V3_BDPV12</stp>
        <stp>LYFT 210115P00052500 Equity</stp>
        <stp>Px Ask</stp>
        <stp>[Pricing File.xlsm]TotalReturnPricing!R885C7</stp>
        <tr r="G885" s="2"/>
      </tp>
      <tp>
        <v>542.42999999999995</v>
        <stp/>
        <stp>##V3_BDPV12</stp>
        <stp>EQIX Equity</stp>
        <stp>Px Bid</stp>
        <stp>[Pricing File.xlsm]TotalReturnPricing!R785C6</stp>
        <tr r="F785" s="2"/>
      </tp>
      <tp t="s">
        <v>#N/A N/A</v>
        <stp/>
        <stp>##V3_BDPV12</stp>
        <stp>ARRS Equity</stp>
        <stp>Px Bid</stp>
        <stp>[Pricing File.xlsm]TotalReturnPricing!R391C6</stp>
        <tr r="F391" s="2"/>
      </tp>
      <tp t="s">
        <v>#N/A N/A</v>
        <stp/>
        <stp>##V3_BDPV12</stp>
        <stp>ESRX Equity</stp>
        <stp>Px Bid</stp>
        <stp>[Pricing File.xlsm]TotalReturnPricing!R815C6</stp>
        <tr r="F815" s="2"/>
      </tp>
      <tp>
        <v>32.340000000000003</v>
        <stp/>
        <stp>##V3_BDPV12</stp>
        <stp>ASGN Equity</stp>
        <stp>Px Bid</stp>
        <stp>[Pricing File.xlsm]TotalReturnPricing!R531C6</stp>
        <tr r="F531" s="2"/>
      </tp>
      <tp>
        <v>75.55</v>
        <stp/>
        <stp>##V3_BDPV12</stp>
        <stp>ALXN Equity</stp>
        <stp>Px Bid</stp>
        <stp>[Pricing File.xlsm]TotalReturnPricing!R731C6</stp>
        <tr r="F731" s="2"/>
      </tp>
      <tp>
        <v>7.35</v>
        <stp/>
        <stp>##V3_BDPV12</stp>
        <stp>SCPL Equity</stp>
        <stp>Px Ask</stp>
        <stp>[Pricing File.xlsm]TotalReturnPricing!R839C7</stp>
        <tr r="G839" s="2"/>
      </tp>
      <tp>
        <v>161.38</v>
        <stp/>
        <stp>##V3_BDPV12</stp>
        <stp>ALGN Equity</stp>
        <stp>Px Bid</stp>
        <stp>[Pricing File.xlsm]TotalReturnPricing!R751C6</stp>
        <tr r="F751" s="2"/>
      </tp>
      <tp>
        <v>19.25</v>
        <stp/>
        <stp>##V3_BDPV12</stp>
        <stp>HMSY Equity</stp>
        <stp>Px Bid</stp>
        <stp>[Pricing File.xlsm]TotalReturnPricing!R318C6</stp>
        <tr r="F318" s="2"/>
      </tp>
      <tp>
        <v>7.36</v>
        <stp/>
        <stp>##V3_BDPV12</stp>
        <stp>INFY Equity</stp>
        <stp>Px Bid</stp>
        <stp>[Pricing File.xlsm]TotalReturnPricing!R279C6</stp>
        <tr r="F279" s="2"/>
      </tp>
      <tp t="s">
        <v>#N/A N/A</v>
        <stp/>
        <stp>##V3_BDPV12</stp>
        <stp>CIVI Equity</stp>
        <stp>Px Bid</stp>
        <stp>[Pricing File.xlsm]TotalReturnPricing!R303C6</stp>
        <tr r="F303" s="2"/>
      </tp>
      <tp>
        <v>2.6</v>
        <stp/>
        <stp>##V3_BDPV12</stp>
        <stp>GIGA Equity</stp>
        <stp>Px Bid</stp>
        <stp>[Pricing File.xlsm]TotalReturnPricing!R127C6</stp>
        <tr r="F127" s="2"/>
      </tp>
      <tp t="s">
        <v>#N/A Field Not Applicable</v>
        <stp/>
        <stp>##V3_BDPV12</stp>
        <stp>9201 JP Equity</stp>
        <stp>OPT_DELTA</stp>
        <stp>[Pricing File.xlsm]TotalReturnPricing!R94C8</stp>
        <tr r="H94" s="2"/>
      </tp>
      <tp>
        <v>5.0999999999999996</v>
        <stp/>
        <stp>##V3_BDPV12</stp>
        <stp>GDEN Equity</stp>
        <stp>Px Bid</stp>
        <stp>[Pricing File.xlsm]TotalReturnPricing!R337C6</stp>
        <tr r="F337" s="2"/>
      </tp>
      <tp>
        <v>0.2</v>
        <stp/>
        <stp>##V3_BDPV12</stp>
        <stp>PFSI 200821C00040000 Equity</stp>
        <stp>Px Bid</stp>
        <stp>[Pricing File.xlsm]TotalReturnPricing!R898C6</stp>
        <tr r="F898" s="2"/>
      </tp>
      <tp t="s">
        <v>#N/A N/A</v>
        <stp/>
        <stp>##V3_BDPV12</stp>
        <stp>PFSI 200221C00030000 Equity</stp>
        <stp>Px Bid</stp>
        <stp>[Pricing File.xlsm]TotalReturnPricing!R862C6</stp>
        <tr r="F862" s="2"/>
      </tp>
      <tp>
        <v>112.76</v>
        <stp/>
        <stp>##V3_BDPV12</stp>
        <stp>SNPS Equity</stp>
        <stp>Px Ask</stp>
        <stp>[Pricing File.xlsm]TotalReturnPricing!R639C7</stp>
        <tr r="G639" s="2"/>
      </tp>
      <tp>
        <v>18.7</v>
        <stp/>
        <stp>##V3_BDPV12</stp>
        <stp>AAWW Equity</stp>
        <stp>Px Bid</stp>
        <stp>[Pricing File.xlsm]TotalReturnPricing!R111C6</stp>
        <tr r="F111" s="2"/>
      </tp>
      <tp>
        <v>93.21</v>
        <stp/>
        <stp>##V3_BDPV12</stp>
        <stp>CCMP Equity</stp>
        <stp>Px Bid</stp>
        <stp>[Pricing File.xlsm]TotalReturnPricing!R633C6</stp>
        <tr r="F633" s="2"/>
      </tp>
      <tp>
        <v>19.52</v>
        <stp/>
        <stp>##V3_BDPV12</stp>
        <stp>FCBC Equity</stp>
        <stp>Px Bid</stp>
        <stp>[Pricing File.xlsm]TotalReturnPricing!R386C6</stp>
        <tr r="F386" s="2"/>
      </tp>
      <tp t="s">
        <v>#N/A Field Not Applicable</v>
        <stp/>
        <stp>##V3_BDPV12</stp>
        <stp>GS Equity</stp>
        <stp>OPT_DELTA</stp>
        <stp>[Pricing File.xlsm]TotalReturnPricing!R776C8</stp>
        <tr r="H776" s="2"/>
      </tp>
      <tp t="s">
        <v>#N/A Field Not Applicable</v>
        <stp/>
        <stp>##V3_BDPV12</stp>
        <stp>GT Equity</stp>
        <stp>OPT_DELTA</stp>
        <stp>[Pricing File.xlsm]TotalReturnPricing!R441C8</stp>
        <tr r="H441" s="2"/>
      </tp>
      <tp>
        <v>12.16</v>
        <stp/>
        <stp>##V3_BDPV12</stp>
        <stp>1128 HK Equity</stp>
        <stp>Px Last</stp>
        <stp>[Pricing File.xlsm]TotalReturnPricing!R814C5</stp>
        <tr r="E814" s="2"/>
      </tp>
      <tp>
        <v>5950</v>
        <stp/>
        <stp>##V3_BDPV12</stp>
        <stp>MAERSKB DC Equity</stp>
        <stp>Px Ask</stp>
        <stp>[Pricing File.xlsm]TotalReturnPricing!R78C7</stp>
        <tr r="G78" s="2"/>
      </tp>
      <tp>
        <v>0.72919999999999996</v>
        <stp/>
        <stp>##V3_BDPV12</stp>
        <stp>USGG10YR Index</stp>
        <stp>Px Last</stp>
        <stp>[Pricing File.xlsm]TotalReturnPricing!R145C5</stp>
        <tr r="E145" s="2"/>
      </tp>
      <tp>
        <v>229.36</v>
        <stp/>
        <stp>##V3_BDPV12</stp>
        <stp>ASML Equity</stp>
        <stp>Px Ask</stp>
        <stp>[Pricing File.xlsm]TotalReturnPricing!R744C7</stp>
        <tr r="G744" s="2"/>
      </tp>
      <tp>
        <v>4.91</v>
        <stp/>
        <stp>##V3_BDPV12</stp>
        <stp>CSBR Equity</stp>
        <stp>Px Ask</stp>
        <stp>[Pricing File.xlsm]TotalReturnPricing!R146C7</stp>
        <tr r="G146" s="2"/>
      </tp>
      <tp>
        <v>29.78</v>
        <stp/>
        <stp>##V3_BDPV12</stp>
        <stp>EVER Equity</stp>
        <stp>Px Ask</stp>
        <stp>[Pricing File.xlsm]TotalReturnPricing!R830C7</stp>
        <tr r="G830" s="2"/>
      </tp>
      <tp>
        <v>17.57</v>
        <stp/>
        <stp>##V3_BDPV12</stp>
        <stp>VIV FP Equity</stp>
        <stp>Px Last</stp>
        <stp>[Pricing File.xlsm]TotalReturnPricing!R61C5</stp>
        <tr r="E61" s="2"/>
      </tp>
      <tp>
        <v>11.19</v>
        <stp/>
        <stp>##V3_BDPV12</stp>
        <stp>MYGN Equity</stp>
        <stp>Px Ask</stp>
        <stp>[Pricing File.xlsm]TotalReturnPricing!R358C7</stp>
        <tr r="G358" s="2"/>
      </tp>
      <tp>
        <v>1.8</v>
        <stp/>
        <stp>##V3_BDPV12</stp>
        <stp>CVNA 200821C00075000 Equity</stp>
        <stp>Px Bid</stp>
        <stp>[Pricing File.xlsm]TotalReturnPricing!R921C6</stp>
        <tr r="F921" s="2"/>
      </tp>
      <tp>
        <v>42.41</v>
        <stp/>
        <stp>##V3_BDPV12</stp>
        <stp>EXAS Equity</stp>
        <stp>Px Ask</stp>
        <stp>[Pricing File.xlsm]TotalReturnPricing!R460C7</stp>
        <tr r="G460" s="2"/>
      </tp>
      <tp>
        <v>8.41</v>
        <stp/>
        <stp>##V3_BDPV12</stp>
        <stp>AXDX Equity</stp>
        <stp>Px Ask</stp>
        <stp>[Pricing File.xlsm]TotalReturnPricing!R384C7</stp>
        <tr r="G384" s="2"/>
      </tp>
      <tp>
        <v>29.47</v>
        <stp/>
        <stp>##V3_BDPV12</stp>
        <stp>CL3 Comdty</stp>
        <stp>Px Bid</stp>
        <stp>[Pricing File.xlsm]TotalReturnPricing!R536C6</stp>
        <tr r="F536" s="2"/>
      </tp>
      <tp>
        <v>17.18</v>
        <stp/>
        <stp>##V3_BDPV12</stp>
        <stp>ACHC Equity</stp>
        <stp>Px Ask</stp>
        <stp>[Pricing File.xlsm]TotalReturnPricing!R534C7</stp>
        <tr r="G534" s="2"/>
      </tp>
      <tp>
        <v>32.24</v>
        <stp/>
        <stp>##V3_BDPV12</stp>
        <stp>EBAY Equity</stp>
        <stp>Px Ask</stp>
        <stp>[Pricing File.xlsm]TotalReturnPricing!R450C7</stp>
        <tr r="G450" s="2"/>
      </tp>
      <tp>
        <v>38.76</v>
        <stp/>
        <stp>##V3_BDPV12</stp>
        <stp>MGLN Equity</stp>
        <stp>Px Ask</stp>
        <stp>[Pricing File.xlsm]TotalReturnPricing!R648C7</stp>
        <tr r="G648" s="2"/>
      </tp>
      <tp>
        <v>5</v>
        <stp/>
        <stp>##V3_BDPV12</stp>
        <stp>BEBE Equity</stp>
        <stp>Px Ask</stp>
        <stp>[Pricing File.xlsm]TotalReturnPricing!R177C7</stp>
        <tr r="G177" s="2"/>
      </tp>
      <tp t="s">
        <v>#N/A Invalid Security</v>
        <stp/>
        <stp>##V3_BDPV12</stp>
        <stp>HOM6 Comdty</stp>
        <stp>Px Ask</stp>
        <stp>[Pricing File.xlsm]TotalReturnPricing!R850C7</stp>
        <tr r="G850" s="2"/>
      </tp>
      <tp>
        <v>18.8</v>
        <stp/>
        <stp>##V3_BDPV12</stp>
        <stp>DISH Equity</stp>
        <stp>Px Ask</stp>
        <stp>[Pricing File.xlsm]TotalReturnPricing!R601C7</stp>
        <tr r="G601" s="2"/>
      </tp>
      <tp>
        <v>1.66</v>
        <stp/>
        <stp>##V3_BDPV12</stp>
        <stp>EIGI Equity</stp>
        <stp>Px Ask</stp>
        <stp>[Pricing File.xlsm]TotalReturnPricing!R790C7</stp>
        <tr r="G790" s="2"/>
      </tp>
      <tp>
        <v>75.87</v>
        <stp/>
        <stp>##V3_BDPV12</stp>
        <stp>CHDN Equity</stp>
        <stp>Px Ask</stp>
        <stp>[Pricing File.xlsm]TotalReturnPricing!R766C7</stp>
        <tr r="G766" s="2"/>
      </tp>
      <tp>
        <v>71.52</v>
        <stp/>
        <stp>##V3_BDPV12</stp>
        <stp>LOGM Equity</stp>
        <stp>Px Ask</stp>
        <stp>[Pricing File.xlsm]TotalReturnPricing!R709C7</stp>
        <tr r="G709" s="2"/>
      </tp>
      <tp>
        <v>2.0499999999999998</v>
        <stp/>
        <stp>##V3_BDPV12</stp>
        <stp>QNST 200320C00020000 Equity</stp>
        <stp>Px Ask</stp>
        <stp>[Pricing File.xlsm]TotalReturnPricing!R857C7</stp>
        <tr r="G857" s="2"/>
      </tp>
      <tp>
        <v>25.05</v>
        <stp/>
        <stp>##V3_BDPV12</stp>
        <stp>ENSG Equity</stp>
        <stp>Px Ask</stp>
        <stp>[Pricing File.xlsm]TotalReturnPricing!R350C7</stp>
        <tr r="G350" s="2"/>
      </tp>
      <tp>
        <v>40.54</v>
        <stp/>
        <stp>##V3_BDPV12</stp>
        <stp>AMAT Equity</stp>
        <stp>Px Ask</stp>
        <stp>[Pricing File.xlsm]TotalReturnPricing!R514C7</stp>
        <tr r="G514" s="2"/>
      </tp>
      <tp>
        <v>15.5</v>
        <stp/>
        <stp>##V3_BDPV12</stp>
        <stp>CLCT Equity</stp>
        <stp>Px Ask</stp>
        <stp>[Pricing File.xlsm]TotalReturnPricing!R366C7</stp>
        <tr r="G366" s="2"/>
      </tp>
      <tp>
        <v>2198</v>
        <stp/>
        <stp>##V3_BDPV12</stp>
        <stp>WIZZ LN Equity</stp>
        <stp>Px Ask</stp>
        <stp>[Pricing File.xlsm]TotalReturnPricing!R99C7</stp>
        <tr r="G99" s="2"/>
      </tp>
      <tp>
        <v>20.63</v>
        <stp/>
        <stp>##V3_BDPV12</stp>
        <stp>DISCA Equity</stp>
        <stp>Px Last</stp>
        <stp>[Pricing File.xlsm]TotalReturnPricing!R378C5</stp>
        <tr r="E378" s="2"/>
      </tp>
      <tp t="s">
        <v>#N/A Field Not Applicable</v>
        <stp/>
        <stp>##V3_BDPV12</stp>
        <stp>FB Equity</stp>
        <stp>OPT_DELTA</stp>
        <stp>[Pricing File.xlsm]TotalReturnPricing!R758C8</stp>
        <tr r="H758" s="2"/>
      </tp>
      <tp t="s">
        <v>#N/A Field Not Applicable</v>
        <stp/>
        <stp>##V3_BDPV12</stp>
        <stp>GM Equity</stp>
        <stp>OPT_DELTA</stp>
        <stp>[Pricing File.xlsm]TotalReturnPricing!R447C8</stp>
        <tr r="H447" s="2"/>
      </tp>
      <tp t="s">
        <v>#N/A Field Not Applicable</v>
        <stp/>
        <stp>##V3_BDPV12</stp>
        <stp>PK Equity</stp>
        <stp>OPT_DELTA</stp>
        <stp>[Pricing File.xlsm]TotalReturnPricing!R381C8</stp>
        <tr r="H381" s="2"/>
      </tp>
      <tp t="s">
        <v>#N/A Field Not Applicable</v>
        <stp/>
        <stp>##V3_BDPV12</stp>
        <stp>EB Equity</stp>
        <stp>OPT_DELTA</stp>
        <stp>[Pricing File.xlsm]TotalReturnPricing!R838C8</stp>
        <tr r="H838" s="2"/>
      </tp>
      <tp>
        <v>12.16</v>
        <stp/>
        <stp>##V3_BDPV12</stp>
        <stp>1128 HK Equity</stp>
        <stp>Px Last</stp>
        <stp>[Pricing File.xlsm]TotalReturnPricing!R105C5</stp>
        <tr r="E105" s="2"/>
      </tp>
      <tp t="s">
        <v>#N/A Field Not Applicable</v>
        <stp/>
        <stp>##V3_BDPV12</stp>
        <stp>RTY Index</stp>
        <stp>OPT_DELTA</stp>
        <stp>[Pricing File.xlsm]TotalReturnPricing!R794C8</stp>
        <tr r="H794" s="2"/>
      </tp>
      <tp>
        <v>88.74</v>
        <stp/>
        <stp>##V3_BDPV12</stp>
        <stp>LSTR Equity</stp>
        <stp>Px Ask</stp>
        <stp>[Pricing File.xlsm]TotalReturnPricing!R658C7</stp>
        <tr r="G658" s="2"/>
      </tp>
      <tp>
        <v>5.0000000000000001E-3</v>
        <stp/>
        <stp>##V3_BDPV12</stp>
        <stp>LSCG Equity</stp>
        <stp>Px Ask</stp>
        <stp>[Pricing File.xlsm]TotalReturnPricing!R118C7</stp>
        <tr r="G118" s="2"/>
      </tp>
      <tp>
        <v>40.369999999999997</v>
        <stp/>
        <stp>##V3_BDPV12</stp>
        <stp>CSGS Equity</stp>
        <stp>Px Ask</stp>
        <stp>[Pricing File.xlsm]TotalReturnPricing!R487C7</stp>
        <tr r="G487" s="2"/>
      </tp>
      <tp t="s">
        <v>#N/A N/A</v>
        <stp/>
        <stp>##V3_BDPV12</stp>
        <stp>DRYS Equity</stp>
        <stp>Px Ask</stp>
        <stp>[Pricing File.xlsm]TotalReturnPricing!R130C7</stp>
        <tr r="G130" s="2"/>
      </tp>
      <tp>
        <v>16.579999999999998</v>
        <stp/>
        <stp>##V3_BDPV12</stp>
        <stp>CROX Equity</stp>
        <stp>Px Ask</stp>
        <stp>[Pricing File.xlsm]TotalReturnPricing!R207C7</stp>
        <tr r="G207" s="2"/>
      </tp>
      <tp>
        <v>29.76</v>
        <stp/>
        <stp>##V3_BDPV12</stp>
        <stp>CREE Equity</stp>
        <stp>Px Ask</stp>
        <stp>[Pricing File.xlsm]TotalReturnPricing!R377C7</stp>
        <tr r="G377" s="2"/>
      </tp>
      <tp t="s">
        <v>#N/A N/A</v>
        <stp/>
        <stp>##V3_BDPV12</stp>
        <stp>CVRS Equity</stp>
        <stp>Px Ask</stp>
        <stp>[Pricing File.xlsm]TotalReturnPricing!R137C7</stp>
        <tr r="G137" s="2"/>
      </tp>
      <tp>
        <v>9.9</v>
        <stp/>
        <stp>##V3_BDPV12</stp>
        <stp>HTZ 200417P00018000 Equity</stp>
        <stp>Px Bid</stp>
        <stp>[Pricing File.xlsm]TotalReturnPricing!R876C6</stp>
        <tr r="F876" s="2"/>
      </tp>
      <tp>
        <v>9.6999999999999993</v>
        <stp/>
        <stp>##V3_BDPV12</stp>
        <stp>HTZ 200417P00016000 Equity</stp>
        <stp>Px Bid</stp>
        <stp>[Pricing File.xlsm]TotalReturnPricing!R868C6</stp>
        <tr r="F868" s="2"/>
      </tp>
      <tp>
        <v>35.35</v>
        <stp/>
        <stp>##V3_BDPV12</stp>
        <stp>LYFT 210115P00055000 Equity</stp>
        <stp>Px Bid</stp>
        <stp>[Pricing File.xlsm]TotalReturnPricing!R886C6</stp>
        <tr r="F886" s="2"/>
      </tp>
      <tp>
        <v>11.7</v>
        <stp/>
        <stp>##V3_BDPV12</stp>
        <stp>HTZ 200320P00019000 Equity</stp>
        <stp>Px Bid</stp>
        <stp>[Pricing File.xlsm]TotalReturnPricing!R890C6</stp>
        <tr r="F890" s="2"/>
      </tp>
      <tp t="s">
        <v>#N/A N/A</v>
        <stp/>
        <stp>##V3_BDPV12</stp>
        <stp>CTRP Equity</stp>
        <stp>Px Ask</stp>
        <stp>[Pricing File.xlsm]TotalReturnPricing!R577C7</stp>
        <tr r="G577" s="2"/>
      </tp>
      <tp>
        <v>29.56</v>
        <stp/>
        <stp>##V3_BDPV12</stp>
        <stp>ETFC Equity</stp>
        <stp>Px Ask</stp>
        <stp>[Pricing File.xlsm]TotalReturnPricing!R481C7</stp>
        <tr r="G481" s="2"/>
      </tp>
      <tp>
        <v>2.5499999999999998</v>
        <stp/>
        <stp>##V3_BDPV12</stp>
        <stp>CVNA 210115C00075000 Equity</stp>
        <stp>Px Bid</stp>
        <stp>[Pricing File.xlsm]TotalReturnPricing!R859C6</stp>
        <tr r="F859" s="2"/>
      </tp>
      <tp>
        <v>4.2</v>
        <stp/>
        <stp>##V3_BDPV12</stp>
        <stp>CVNA 200821C00055000 Equity</stp>
        <stp>Px Bid</stp>
        <stp>[Pricing File.xlsm]TotalReturnPricing!R920C6</stp>
        <tr r="F920" s="2"/>
      </tp>
      <tp>
        <v>42.5</v>
        <stp/>
        <stp>##V3_BDPV12</stp>
        <stp>MXIM Equity</stp>
        <stp>Px Ask</stp>
        <stp>[Pricing File.xlsm]TotalReturnPricing!R509C7</stp>
        <tr r="G509" s="2"/>
      </tp>
      <tp>
        <v>72.42</v>
        <stp/>
        <stp>##V3_BDPV12</stp>
        <stp>VRTS Equity</stp>
        <stp>Px Bid</stp>
        <stp>[Pricing File.xlsm]TotalReturnPricing!R718C6</stp>
        <tr r="F718" s="2"/>
      </tp>
      <tp>
        <v>1.48</v>
        <stp/>
        <stp>##V3_BDPV12</stp>
        <stp>YRCW Equity</stp>
        <stp>Px Bid</stp>
        <stp>[Pricing File.xlsm]TotalReturnPricing!R247C6</stp>
        <tr r="F247" s="2"/>
      </tp>
      <tp>
        <v>7.76</v>
        <stp/>
        <stp>##V3_BDPV12</stp>
        <stp>CCRN Equity</stp>
        <stp>Px Ask</stp>
        <stp>[Pricing File.xlsm]TotalReturnPricing!R237C7</stp>
        <tr r="G237" s="2"/>
      </tp>
      <tp>
        <v>3.37</v>
        <stp/>
        <stp>##V3_BDPV12</stp>
        <stp>VLRS Equity</stp>
        <stp>Px Bid</stp>
        <stp>[Pricing File.xlsm]TotalReturnPricing!R258C6</stp>
        <tr r="F258" s="2"/>
      </tp>
      <tp>
        <v>11.23</v>
        <stp/>
        <stp>##V3_BDPV12</stp>
        <stp>BCEI Equity</stp>
        <stp>Px Ask</stp>
        <stp>[Pricing File.xlsm]TotalReturnPricing!R396C7</stp>
        <tr r="G396" s="2"/>
      </tp>
      <tp>
        <v>1.44</v>
        <stp/>
        <stp>##V3_BDPV12</stp>
        <stp>ABEO Equity</stp>
        <stp>Px Ask</stp>
        <stp>[Pricing File.xlsm]TotalReturnPricing!R115C7</stp>
        <tr r="G115" s="2"/>
      </tp>
      <tp>
        <v>2.02</v>
        <stp/>
        <stp>##V3_BDPV12</stp>
        <stp>GASS Equity</stp>
        <stp>Px Ask</stp>
        <stp>[Pricing File.xlsm]TotalReturnPricing!R153C7</stp>
        <tr r="G153" s="2"/>
      </tp>
      <tp>
        <v>11.76</v>
        <stp/>
        <stp>##V3_BDPV12</stp>
        <stp>EGHT Equity</stp>
        <stp>Px Ask</stp>
        <stp>[Pricing File.xlsm]TotalReturnPricing!R271C7</stp>
        <tr r="G271" s="2"/>
      </tp>
      <tp>
        <v>1.95</v>
        <stp/>
        <stp>##V3_BDPV12</stp>
        <stp>PFSI 200515C00035000 Equity</stp>
        <stp>Px Ask</stp>
        <stp>[Pricing File.xlsm]TotalReturnPricing!R874C7</stp>
        <tr r="G874" s="2"/>
      </tp>
      <tp>
        <v>6.72</v>
        <stp/>
        <stp>##V3_BDPV12</stp>
        <stp>DESP Equity</stp>
        <stp>Px Ask</stp>
        <stp>[Pricing File.xlsm]TotalReturnPricing!R800C7</stp>
        <tr r="G800" s="2"/>
      </tp>
      <tp>
        <v>28</v>
        <stp/>
        <stp>##V3_BDPV12</stp>
        <stp>SAVE 200320P00037500 Equity</stp>
        <stp>Px Ask</stp>
        <stp>[Pricing File.xlsm]TotalReturnPricing!R873C7</stp>
        <tr r="G873" s="2"/>
      </tp>
      <tp>
        <v>54.6</v>
        <stp/>
        <stp>##V3_BDPV12</stp>
        <stp>CDNS Equity</stp>
        <stp>Px Ask</stp>
        <stp>[Pricing File.xlsm]TotalReturnPricing!R457C7</stp>
        <tr r="G457" s="2"/>
      </tp>
      <tp t="s">
        <v>#N/A N/A</v>
        <stp/>
        <stp>##V3_BDPV12</stp>
        <stp>WEX 200221C00200000 Equity</stp>
        <stp>Px Bid</stp>
        <stp>[Pricing File.xlsm]TotalReturnPricing!R858C6</stp>
        <tr r="F858" s="2"/>
      </tp>
      <tp t="s">
        <v>#N/A Invalid Security</v>
        <stp/>
        <stp>##V3_BDPV12</stp>
        <stp>HOV6 Comdty</stp>
        <stp>Px Ask</stp>
        <stp>[Pricing File.xlsm]TotalReturnPricing!R851C7</stp>
        <tr r="G851" s="2"/>
      </tp>
      <tp>
        <v>61.18</v>
        <stp/>
        <stp>##V3_BDPV12</stp>
        <stp>CHRW Equity</stp>
        <stp>Px Ask</stp>
        <stp>[Pricing File.xlsm]TotalReturnPricing!R607C7</stp>
        <tr r="G607" s="2"/>
      </tp>
      <tp>
        <v>0.25</v>
        <stp/>
        <stp>##V3_BDPV12</stp>
        <stp>SKYW 200417C00060000 Equity</stp>
        <stp>Px Ask</stp>
        <stp>[Pricing File.xlsm]TotalReturnPricing!R863C7</stp>
        <tr r="G863" s="2"/>
      </tp>
      <tp>
        <v>3.54</v>
        <stp/>
        <stp>##V3_BDPV12</stp>
        <stp>FOSL Equity</stp>
        <stp>Px Ask</stp>
        <stp>[Pricing File.xlsm]TotalReturnPricing!R232C7</stp>
        <tr r="G232" s="2"/>
      </tp>
      <tp>
        <v>11.88</v>
        <stp/>
        <stp>##V3_BDPV12</stp>
        <stp>COHU Equity</stp>
        <stp>Px Ask</stp>
        <stp>[Pricing File.xlsm]TotalReturnPricing!R317C7</stp>
        <tr r="G317" s="2"/>
      </tp>
      <tp>
        <v>4.95</v>
        <stp/>
        <stp>##V3_BDPV12</stp>
        <stp>AMSC Equity</stp>
        <stp>Px Ask</stp>
        <stp>[Pricing File.xlsm]TotalReturnPricing!R155C7</stp>
        <tr r="G155" s="2"/>
      </tp>
      <tp>
        <v>15.96</v>
        <stp/>
        <stp>##V3_BDPV12</stp>
        <stp>BMCH Equity</stp>
        <stp>Px Ask</stp>
        <stp>[Pricing File.xlsm]TotalReturnPricing!R346C7</stp>
        <tr r="G346" s="2"/>
      </tp>
      <tp>
        <v>3.48</v>
        <stp/>
        <stp>##V3_BDPV12</stp>
        <stp>ICEAIR IR Equity</stp>
        <stp>Px Ask</stp>
        <stp>[Pricing File.xlsm]TotalReturnPricing!R60C7</stp>
        <tr r="G60" s="2"/>
      </tp>
      <tp t="s">
        <v>#N/A Field Not Applicable</v>
        <stp/>
        <stp>##V3_BDPV12</stp>
        <stp>LH Equity</stp>
        <stp>OPT_DELTA</stp>
        <stp>[Pricing File.xlsm]TotalReturnPricing!R753C8</stp>
        <tr r="H753" s="2"/>
      </tp>
      <tp t="s">
        <v>#N/A Field Not Applicable</v>
        <stp/>
        <stp>##V3_BDPV12</stp>
        <stp>BC Equity</stp>
        <stp>OPT_DELTA</stp>
        <stp>[Pricing File.xlsm]TotalReturnPricing!R568C8</stp>
        <tr r="H568" s="2"/>
      </tp>
      <tp t="s">
        <v>#N/A Field Not Applicable</v>
        <stp/>
        <stp>##V3_BDPV12</stp>
        <stp>HK Equity</stp>
        <stp>OPT_DELTA</stp>
        <stp>[Pricing File.xlsm]TotalReturnPricing!R190C8</stp>
        <tr r="H190" s="2"/>
      </tp>
      <tp>
        <v>0.64</v>
        <stp/>
        <stp>##V3_BDPV12</stp>
        <stp>GENS SP Equity</stp>
        <stp>Px Bid</stp>
        <stp>[Pricing File.xlsm]TotalReturnPricing!R91C6</stp>
        <tr r="F91" s="2"/>
      </tp>
      <tp>
        <v>3.6</v>
        <stp/>
        <stp>##V3_BDPV12</stp>
        <stp>ASYS Equity</stp>
        <stp>Px Ask</stp>
        <stp>[Pricing File.xlsm]TotalReturnPricing!R216C7</stp>
        <tr r="G216" s="2"/>
      </tp>
      <tp>
        <v>2.67</v>
        <stp/>
        <stp>##V3_BDPV12</stp>
        <stp>OSTK Equity</stp>
        <stp>Px Ask</stp>
        <stp>[Pricing File.xlsm]TotalReturnPricing!R778C7</stp>
        <tr r="G778" s="2"/>
      </tp>
      <tp>
        <v>33.71</v>
        <stp/>
        <stp>##V3_BDPV12</stp>
        <stp>CSCO Equity</stp>
        <stp>Px Ask</stp>
        <stp>[Pricing File.xlsm]TotalReturnPricing!R414C7</stp>
        <tr r="G414" s="2"/>
      </tp>
      <tp>
        <v>2.5</v>
        <stp/>
        <stp>##V3_BDPV12</stp>
        <stp>NAT Equity</stp>
        <stp>Px Bid</stp>
        <stp>[Pricing File.xlsm]TotalReturnPricing!R179C6</stp>
        <tr r="F179" s="2"/>
      </tp>
      <tp>
        <v>20.5</v>
        <stp/>
        <stp>##V3_BDPV12</stp>
        <stp>NEO Equity</stp>
        <stp>Px Bid</stp>
        <stp>[Pricing File.xlsm]TotalReturnPricing!R219C6</stp>
        <tr r="F219" s="2"/>
      </tp>
      <tp>
        <v>43.59</v>
        <stp/>
        <stp>##V3_BDPV12</stp>
        <stp>NNI Equity</stp>
        <stp>Px Bid</stp>
        <stp>[Pricing File.xlsm]TotalReturnPricing!R529C6</stp>
        <tr r="F529" s="2"/>
      </tp>
      <tp>
        <v>1.45</v>
        <stp/>
        <stp>##V3_BDPV12</stp>
        <stp>NLS Equity</stp>
        <stp>Px Bid</stp>
        <stp>[Pricing File.xlsm]TotalReturnPricing!R309C6</stp>
        <tr r="F309" s="2"/>
      </tp>
      <tp t="s">
        <v>#N/A N/A</v>
        <stp/>
        <stp>##V3_BDPV12</stp>
        <stp>ARII Equity</stp>
        <stp>Px Ask</stp>
        <stp>[Pricing File.xlsm]TotalReturnPricing!R456C7</stp>
        <tr r="G456" s="2"/>
      </tp>
      <tp>
        <v>66</v>
        <stp/>
        <stp>##V3_BDPV12</stp>
        <stp>CRMT Equity</stp>
        <stp>Px Ask</stp>
        <stp>[Pricing File.xlsm]TotalReturnPricing!R474C7</stp>
        <tr r="G474" s="2"/>
      </tp>
      <tp>
        <v>0.42009999999999997</v>
        <stp/>
        <stp>##V3_BDPV12</stp>
        <stp>OAS Equity</stp>
        <stp>Px Bid</stp>
        <stp>[Pricing File.xlsm]TotalReturnPricing!R209C6</stp>
        <tr r="F209" s="2"/>
      </tp>
      <tp>
        <v>9.33</v>
        <stp/>
        <stp>##V3_BDPV12</stp>
        <stp>OLN Equity</stp>
        <stp>Px Bid</stp>
        <stp>[Pricing File.xlsm]TotalReturnPricing!R409C6</stp>
        <tr r="F409" s="2"/>
      </tp>
      <tp>
        <v>198.96</v>
        <stp/>
        <stp>##V3_BDPV12</stp>
        <stp>LII Equity</stp>
        <stp>Px Bid</stp>
        <stp>[Pricing File.xlsm]TotalReturnPricing!R829C6</stp>
        <tr r="F829" s="2"/>
      </tp>
      <tp>
        <v>0.92379999999999995</v>
        <stp/>
        <stp>##V3_BDPV12</stp>
        <stp>GPOR Equity</stp>
        <stp>Px Ask</stp>
        <stp>[Pricing File.xlsm]TotalReturnPricing!R260C7</stp>
        <tr r="G260" s="2"/>
      </tp>
      <tp>
        <v>121.68</v>
        <stp/>
        <stp>##V3_BDPV12</stp>
        <stp>MOH Equity</stp>
        <stp>Px Bid</stp>
        <stp>[Pricing File.xlsm]TotalReturnPricing!R619C6</stp>
        <tr r="F619" s="2"/>
      </tp>
      <tp>
        <v>39.18</v>
        <stp/>
        <stp>##V3_BDPV12</stp>
        <stp>CVNA Equity</stp>
        <stp>Px Ask</stp>
        <stp>[Pricing File.xlsm]TotalReturnPricing!R334C7</stp>
        <tr r="G334" s="2"/>
      </tp>
      <tp>
        <v>7.54</v>
        <stp/>
        <stp>##V3_BDPV12</stp>
        <stp>KRO Equity</stp>
        <stp>Px Bid</stp>
        <stp>[Pricing File.xlsm]TotalReturnPricing!R329C6</stp>
        <tr r="F329" s="2"/>
      </tp>
      <tp>
        <v>10.6</v>
        <stp/>
        <stp>##V3_BDPV12</stp>
        <stp>HTZ 200717P00019000 Equity</stp>
        <stp>Px Bid</stp>
        <stp>[Pricing File.xlsm]TotalReturnPricing!R877C6</stp>
        <tr r="F877" s="2"/>
      </tp>
      <tp>
        <v>0.5</v>
        <stp/>
        <stp>##V3_BDPV12</stp>
        <stp>LYFT 210115C00045000 Equity</stp>
        <stp>Px Bid</stp>
        <stp>[Pricing File.xlsm]TotalReturnPricing!R915C6</stp>
        <tr r="F915" s="2"/>
      </tp>
      <tp>
        <v>21.2</v>
        <stp/>
        <stp>##V3_BDPV12</stp>
        <stp>HFC Equity</stp>
        <stp>Px Bid</stp>
        <stp>[Pricing File.xlsm]TotalReturnPricing!R399C6</stp>
        <tr r="F399" s="2"/>
      </tp>
      <tp>
        <v>270.2</v>
        <stp/>
        <stp>##V3_BDPV12</stp>
        <stp>HUM Equity</stp>
        <stp>Px Bid</stp>
        <stp>[Pricing File.xlsm]TotalReturnPricing!R779C6</stp>
        <tr r="F779" s="2"/>
      </tp>
      <tp>
        <v>10.15</v>
        <stp/>
        <stp>##V3_BDPV12</stp>
        <stp>HZO Equity</stp>
        <stp>Px Bid</stp>
        <stp>[Pricing File.xlsm]TotalReturnPricing!R269C6</stp>
        <tr r="F269" s="2"/>
      </tp>
      <tp>
        <v>41.65</v>
        <stp/>
        <stp>##V3_BDPV12</stp>
        <stp>ETSY Equity</stp>
        <stp>Px Ask</stp>
        <stp>[Pricing File.xlsm]TotalReturnPricing!R272C7</stp>
        <tr r="G272" s="2"/>
      </tp>
      <tp>
        <v>202.51</v>
        <stp/>
        <stp>##V3_BDPV12</stp>
        <stp>CTAS Equity</stp>
        <stp>Px Ask</stp>
        <stp>[Pricing File.xlsm]TotalReturnPricing!R734C7</stp>
        <tr r="G734" s="2"/>
      </tp>
      <tp>
        <v>29.56</v>
        <stp/>
        <stp>##V3_BDPV12</stp>
        <stp>ETFC Equity</stp>
        <stp>Px Ask</stp>
        <stp>[Pricing File.xlsm]TotalReturnPricing!R482C7</stp>
        <tr r="G482" s="2"/>
      </tp>
      <tp>
        <v>74.13</v>
        <stp/>
        <stp>##V3_BDPV12</stp>
        <stp>ICE Equity</stp>
        <stp>Px Bid</stp>
        <stp>[Pricing File.xlsm]TotalReturnPricing!R609C6</stp>
        <tr r="F609" s="2"/>
      </tp>
      <tp>
        <v>35.520000000000003</v>
        <stp/>
        <stp>##V3_BDPV12</stp>
        <stp>IHG Equity</stp>
        <stp>Px Bid</stp>
        <stp>[Pricing File.xlsm]TotalReturnPricing!R569C6</stp>
        <tr r="F569" s="2"/>
      </tp>
      <tp>
        <v>137.63</v>
        <stp/>
        <stp>##V3_BDPV12</stp>
        <stp>IWO Equity</stp>
        <stp>Px Bid</stp>
        <stp>[Pricing File.xlsm]TotalReturnPricing!R759C6</stp>
        <tr r="F759" s="2"/>
      </tp>
      <tp>
        <v>1.1499999999999999</v>
        <stp/>
        <stp>##V3_BDPV12</stp>
        <stp>TUES Equity</stp>
        <stp>Px Bid</stp>
        <stp>[Pricing File.xlsm]TotalReturnPricing!R139C6</stp>
        <tr r="F139" s="2"/>
      </tp>
      <tp>
        <v>7.47</v>
        <stp/>
        <stp>##V3_BDPV12</stp>
        <stp>GES Equity</stp>
        <stp>Px Bid</stp>
        <stp>[Pricing File.xlsm]TotalReturnPricing!R249C6</stp>
        <tr r="F249" s="2"/>
      </tp>
      <tp>
        <v>16.23</v>
        <stp/>
        <stp>##V3_BDPV12</stp>
        <stp>GBX Equity</stp>
        <stp>Px Bid</stp>
        <stp>[Pricing File.xlsm]TotalReturnPricing!R499C6</stp>
        <tr r="F499" s="2"/>
      </tp>
      <tp>
        <v>7.57</v>
        <stp/>
        <stp>##V3_BDPV12</stp>
        <stp>DVN Equity</stp>
        <stp>Px Bid</stp>
        <stp>[Pricing File.xlsm]TotalReturnPricing!R429C6</stp>
        <tr r="F429" s="2"/>
      </tp>
      <tp>
        <v>0.11509999999999999</v>
        <stp/>
        <stp>##V3_BDPV12</stp>
        <stp>AXAS Equity</stp>
        <stp>Px Ask</stp>
        <stp>[Pricing File.xlsm]TotalReturnPricing!R136C7</stp>
        <tr r="G136" s="2"/>
      </tp>
      <tp>
        <v>53.11</v>
        <stp/>
        <stp>##V3_BDPV12</stp>
        <stp>EXP Equity</stp>
        <stp>Px Bid</stp>
        <stp>[Pricing File.xlsm]TotalReturnPricing!R679C6</stp>
        <tr r="F679" s="2"/>
      </tp>
      <tp t="s">
        <v>#N/A N/A</v>
        <stp/>
        <stp>##V3_BDPV12</stp>
        <stp>BBT Equity</stp>
        <stp>Px Bid</stp>
        <stp>[Pricing File.xlsm]TotalReturnPricing!R519C6</stp>
        <tr r="F519" s="2"/>
      </tp>
      <tp>
        <v>20.43</v>
        <stp/>
        <stp>##V3_BDPV12</stp>
        <stp>BAC Equity</stp>
        <stp>Px Bid</stp>
        <stp>[Pricing File.xlsm]TotalReturnPricing!R799C6</stp>
        <tr r="F799" s="2"/>
      </tp>
      <tp>
        <v>12.64</v>
        <stp/>
        <stp>##V3_BDPV12</stp>
        <stp>CCU Equity</stp>
        <stp>Px Bid</stp>
        <stp>[Pricing File.xlsm]TotalReturnPricing!R379C6</stp>
        <tr r="F379" s="2"/>
      </tp>
      <tp>
        <v>104.66</v>
        <stp/>
        <stp>##V3_BDPV12</stp>
        <stp>CRL Equity</stp>
        <stp>Px Bid</stp>
        <stp>[Pricing File.xlsm]TotalReturnPricing!R689C6</stp>
        <tr r="F689" s="2"/>
      </tp>
      <tp>
        <v>8.85</v>
        <stp/>
        <stp>##V3_BDPV12</stp>
        <stp>CVA Equity</stp>
        <stp>Px Bid</stp>
        <stp>[Pricing File.xlsm]TotalReturnPricing!R259C6</stp>
        <tr r="F259" s="2"/>
      </tp>
      <tp>
        <v>2.5299999999999998</v>
        <stp/>
        <stp>##V3_BDPV12</stp>
        <stp>CYH Equity</stp>
        <stp>Px Bid</stp>
        <stp>[Pricing File.xlsm]TotalReturnPricing!R199C6</stp>
        <tr r="F199" s="2"/>
      </tp>
      <tp>
        <v>1.54</v>
        <stp/>
        <stp>##V3_BDPV12</stp>
        <stp>TRVG Equity</stp>
        <stp>Px Bid</stp>
        <stp>[Pricing File.xlsm]TotalReturnPricing!R359C6</stp>
        <tr r="F359" s="2"/>
      </tp>
      <tp>
        <v>12.46</v>
        <stp/>
        <stp>##V3_BDPV12</stp>
        <stp>TRWH Equity</stp>
        <stp>Px Bid</stp>
        <stp>[Pricing File.xlsm]TotalReturnPricing!R189C6</stp>
        <tr r="F189" s="2"/>
      </tp>
      <tp>
        <v>97.55</v>
        <stp/>
        <stp>##V3_BDPV12</stp>
        <stp>TROW Equity</stp>
        <stp>Px Bid</stp>
        <stp>[Pricing File.xlsm]TotalReturnPricing!R659C6</stp>
        <tr r="F659" s="2"/>
      </tp>
      <tp>
        <v>444.01</v>
        <stp/>
        <stp>##V3_BDPV12</stp>
        <stp>TSLA Equity</stp>
        <stp>Px Bid</stp>
        <stp>[Pricing File.xlsm]TotalReturnPricing!R819C6</stp>
        <tr r="F819" s="2"/>
      </tp>
      <tp>
        <v>4.0199999999999996</v>
        <stp/>
        <stp>##V3_BDPV12</stp>
        <stp>ADT Equity</stp>
        <stp>Px Bid</stp>
        <stp>[Pricing File.xlsm]TotalReturnPricing!R809C6</stp>
        <tr r="F809" s="2"/>
      </tp>
      <tp>
        <v>180.38</v>
        <stp/>
        <stp>##V3_BDPV12</stp>
        <stp>APD Equity</stp>
        <stp>Px Bid</stp>
        <stp>[Pricing File.xlsm]TotalReturnPricing!R739C6</stp>
        <tr r="F739" s="2"/>
      </tp>
      <tp>
        <v>16.71</v>
        <stp/>
        <stp>##V3_BDPV12</stp>
        <stp>ACLS Equity</stp>
        <stp>Px Ask</stp>
        <stp>[Pricing File.xlsm]TotalReturnPricing!R116C7</stp>
        <tr r="G116" s="2"/>
      </tp>
      <tp>
        <v>5.87</v>
        <stp/>
        <stp>##V3_BDPV12</stp>
        <stp>ZNGA Equity</stp>
        <stp>Px Bid</stp>
        <stp>[Pricing File.xlsm]TotalReturnPricing!R157C6</stp>
        <tr r="F157" s="2"/>
      </tp>
      <tp>
        <v>25.67</v>
        <stp/>
        <stp>##V3_BDPV12</stp>
        <stp>EGBN Equity</stp>
        <stp>Px Ask</stp>
        <stp>[Pricing File.xlsm]TotalReturnPricing!R592C7</stp>
        <tr r="G592" s="2"/>
      </tp>
      <tp>
        <v>26.55</v>
        <stp/>
        <stp>##V3_BDPV12</stp>
        <stp>ZION Equity</stp>
        <stp>Px Bid</stp>
        <stp>[Pricing File.xlsm]TotalReturnPricing!R507C6</stp>
        <tr r="F507" s="2"/>
      </tp>
      <tp>
        <v>20.9</v>
        <stp/>
        <stp>##V3_BDPV12</stp>
        <stp>WU Equity</stp>
        <stp>Px Ask</stp>
        <stp>[Pricing File.xlsm]TotalReturnPricing!R319C7</stp>
        <tr r="G319" s="2"/>
      </tp>
      <tp>
        <v>120.06</v>
        <stp/>
        <stp>##V3_BDPV12</stp>
        <stp>DE Equity</stp>
        <stp>Px Ask</stp>
        <stp>[Pricing File.xlsm]TotalReturnPricing!R729C7</stp>
        <tr r="G729" s="2"/>
      </tp>
      <tp>
        <v>187.67</v>
        <stp/>
        <stp>##V3_BDPV12</stp>
        <stp>CP Equity</stp>
        <stp>Px Ask</stp>
        <stp>[Pricing File.xlsm]TotalReturnPricing!R749C7</stp>
        <tr r="G749" s="2"/>
      </tp>
      <tp>
        <v>27.51</v>
        <stp/>
        <stp>##V3_BDPV12</stp>
        <stp>AN Equity</stp>
        <stp>Px Ask</stp>
        <stp>[Pricing File.xlsm]TotalReturnPricing!R489C7</stp>
        <tr r="G489" s="2"/>
      </tp>
      <tp>
        <v>4.07</v>
        <stp/>
        <stp>##V3_BDPV12</stp>
        <stp>LL Equity</stp>
        <stp>Px Ask</stp>
        <stp>[Pricing File.xlsm]TotalReturnPricing!R369C7</stp>
        <tr r="G369" s="2"/>
      </tp>
      <tp>
        <v>160.99</v>
        <stp/>
        <stp>##V3_BDPV12</stp>
        <stp>ODFL Equity</stp>
        <stp>Px Ask</stp>
        <stp>[Pricing File.xlsm]TotalReturnPricing!R688C7</stp>
        <tr r="G688" s="2"/>
      </tp>
      <tp>
        <v>1289.67</v>
        <stp/>
        <stp>##V3_BDPV12</stp>
        <stp>BKNG Equity</stp>
        <stp>Px Ask</stp>
        <stp>[Pricing File.xlsm]TotalReturnPricing!R795C7</stp>
        <tr r="G795" s="2"/>
      </tp>
      <tp>
        <v>12.12</v>
        <stp/>
        <stp>##V3_BDPV12</stp>
        <stp>VSH Equity</stp>
        <stp>Px Bid</stp>
        <stp>[Pricing File.xlsm]TotalReturnPricing!R299C6</stp>
        <tr r="F299" s="2"/>
      </tp>
      <tp>
        <v>17.63</v>
        <stp/>
        <stp>##V3_BDPV12</stp>
        <stp>YELP Equity</stp>
        <stp>Px Bid</stp>
        <stp>[Pricing File.xlsm]TotalReturnPricing!R424C6</stp>
        <tr r="F424" s="2"/>
      </tp>
      <tp>
        <v>24.77</v>
        <stp/>
        <stp>##V3_BDPV12</stp>
        <stp>WAL Equity</stp>
        <stp>Px Bid</stp>
        <stp>[Pricing File.xlsm]TotalReturnPricing!R539C6</stp>
        <tr r="F539" s="2"/>
      </tp>
      <tp>
        <v>1.32</v>
        <stp/>
        <stp>##V3_BDPV12</stp>
        <stp>WLL Equity</stp>
        <stp>Px Bid</stp>
        <stp>[Pricing File.xlsm]TotalReturnPricing!R169C6</stp>
        <tr r="F169" s="2"/>
      </tp>
      <tp>
        <v>0.95</v>
        <stp/>
        <stp>##V3_BDPV12</stp>
        <stp>WEX 200821C00230000 Equity</stp>
        <stp>Px Bid</stp>
        <stp>[Pricing File.xlsm]TotalReturnPricing!R891C6</stp>
        <tr r="F891" s="2"/>
      </tp>
      <tp>
        <v>14.33</v>
        <stp/>
        <stp>##V3_BDPV12</stp>
        <stp>TEX Equity</stp>
        <stp>Px Bid</stp>
        <stp>[Pricing File.xlsm]TotalReturnPricing!R469C6</stp>
        <tr r="F469" s="2"/>
      </tp>
      <tp>
        <v>46.59</v>
        <stp/>
        <stp>##V3_BDPV12</stp>
        <stp>TCX Equity</stp>
        <stp>Px Bid</stp>
        <stp>[Pricing File.xlsm]TotalReturnPricing!R559C6</stp>
        <tr r="F559" s="2"/>
      </tp>
      <tp>
        <v>16.41</v>
        <stp/>
        <stp>##V3_BDPV12</stp>
        <stp>TRN Equity</stp>
        <stp>Px Bid</stp>
        <stp>[Pricing File.xlsm]TotalReturnPricing!R389C6</stp>
        <tr r="F389" s="2"/>
      </tp>
      <tp>
        <v>4.26</v>
        <stp/>
        <stp>##V3_BDPV12</stp>
        <stp>CONN Equity</stp>
        <stp>Px Ask</stp>
        <stp>[Pricing File.xlsm]TotalReturnPricing!R354C7</stp>
        <tr r="G354" s="2"/>
      </tp>
      <tp>
        <v>1.8</v>
        <stp/>
        <stp>##V3_BDPV12</stp>
        <stp>GOGO Equity</stp>
        <stp>Px Ask</stp>
        <stp>[Pricing File.xlsm]TotalReturnPricing!R240C7</stp>
        <tr r="G240" s="2"/>
      </tp>
      <tp>
        <v>41.34</v>
        <stp/>
        <stp>##V3_BDPV12</stp>
        <stp>SCI Equity</stp>
        <stp>Px Bid</stp>
        <stp>[Pricing File.xlsm]TotalReturnPricing!R439C6</stp>
        <tr r="F439" s="2"/>
      </tp>
      <tp>
        <v>101.42</v>
        <stp/>
        <stp>##V3_BDPV12</stp>
        <stp>SMH Equity</stp>
        <stp>Px Bid</stp>
        <stp>[Pricing File.xlsm]TotalReturnPricing!R669C6</stp>
        <tr r="F669" s="2"/>
      </tp>
      <tp>
        <v>5.93</v>
        <stp/>
        <stp>##V3_BDPV12</stp>
        <stp>CMLS Equity</stp>
        <stp>Px Ask</stp>
        <stp>[Pricing File.xlsm]TotalReturnPricing!R124C7</stp>
        <tr r="G124" s="2"/>
      </tp>
      <tp>
        <v>27.22</v>
        <stp/>
        <stp>##V3_BDPV12</stp>
        <stp>TCBI Equity</stp>
        <stp>Px Bid</stp>
        <stp>[Pricing File.xlsm]TotalReturnPricing!R649C6</stp>
        <tr r="F649" s="2"/>
      </tp>
      <tp>
        <v>6.56</v>
        <stp/>
        <stp>##V3_BDPV12</stp>
        <stp>FLEX Equity</stp>
        <stp>Px Ask</stp>
        <stp>[Pricing File.xlsm]TotalReturnPricing!R291C7</stp>
        <tr r="G291" s="2"/>
      </tp>
      <tp>
        <v>583.15</v>
        <stp/>
        <stp>##V3_BDPV12</stp>
        <stp>INFO IN Equity</stp>
        <stp>Px Last</stp>
        <stp>[Pricing File.xlsm]TotalReturnPricing!R64C5</stp>
        <tr r="E64" s="2"/>
      </tp>
      <tp>
        <v>0.64500000000000002</v>
        <stp/>
        <stp>##V3_BDPV12</stp>
        <stp>GENS SP Equity</stp>
        <stp>Px Ask</stp>
        <stp>[Pricing File.xlsm]TotalReturnPricing!R91C7</stp>
        <tr r="G91" s="2"/>
      </tp>
      <tp t="s">
        <v>#N/A Field Not Applicable</v>
        <stp/>
        <stp>##V3_BDPV12</stp>
        <stp>WM Equity</stp>
        <stp>OPT_DELTA</stp>
        <stp>[Pricing File.xlsm]TotalReturnPricing!R635C8</stp>
        <tr r="H635" s="2"/>
      </tp>
      <tp t="s">
        <v>#N/A Field Not Applicable</v>
        <stp/>
        <stp>##V3_BDPV12</stp>
        <stp>SM Equity</stp>
        <stp>OPT_DELTA</stp>
        <stp>[Pricing File.xlsm]TotalReturnPricing!R305C8</stp>
        <tr r="H305" s="2"/>
      </tp>
      <tp>
        <v>3.47</v>
        <stp/>
        <stp>##V3_BDPV12</stp>
        <stp>ICEAIR IR Equity</stp>
        <stp>Px Bid</stp>
        <stp>[Pricing File.xlsm]TotalReturnPricing!R60C6</stp>
        <tr r="F60" s="2"/>
      </tp>
      <tp>
        <v>1072.3399999999999</v>
        <stp/>
        <stp>##V3_BDPV12</stp>
        <stp>GOOGL Equity</stp>
        <stp>Px Bid</stp>
        <stp>[Pricing File.xlsm]TotalReturnPricing!R791C6</stp>
        <tr r="F791" s="2"/>
      </tp>
      <tp>
        <v>5940</v>
        <stp/>
        <stp>##V3_BDPV12</stp>
        <stp>MAERSKB DC Equity</stp>
        <stp>Px Bid</stp>
        <stp>[Pricing File.xlsm]TotalReturnPricing!R78C6</stp>
        <tr r="F78" s="2"/>
      </tp>
      <tp>
        <v>8.7200000000000006</v>
        <stp/>
        <stp>##V3_BDPV12</stp>
        <stp>ASFI Equity</stp>
        <stp>Px Ask</stp>
        <stp>[Pricing File.xlsm]TotalReturnPricing!R197C7</stp>
        <tr r="G197" s="2"/>
      </tp>
      <tp t="s">
        <v>#N/A N/A</v>
        <stp/>
        <stp>##V3_BDPV12</stp>
        <stp>NFX Equity</stp>
        <stp>Px Bid</stp>
        <stp>[Pricing File.xlsm]TotalReturnPricing!R398C6</stp>
        <tr r="F398" s="2"/>
      </tp>
      <tp>
        <v>6.7</v>
        <stp/>
        <stp>##V3_BDPV12</stp>
        <stp>NLY Equity</stp>
        <stp>Px Bid</stp>
        <stp>[Pricing File.xlsm]TotalReturnPricing!R238C6</stp>
        <tr r="F238" s="2"/>
      </tp>
      <tp>
        <v>36.35</v>
        <stp/>
        <stp>##V3_BDPV12</stp>
        <stp>GRUB Equity</stp>
        <stp>Px Ask</stp>
        <stp>[Pricing File.xlsm]TotalReturnPricing!R521C7</stp>
        <tr r="G521" s="2"/>
      </tp>
      <tp>
        <v>14.03</v>
        <stp/>
        <stp>##V3_BDPV12</stp>
        <stp>ONB Equity</stp>
        <stp>Px Bid</stp>
        <stp>[Pricing File.xlsm]TotalReturnPricing!R288C6</stp>
        <tr r="F288" s="2"/>
      </tp>
      <tp>
        <v>10.24</v>
        <stp/>
        <stp>##V3_BDPV12</stp>
        <stp>MGM Equity</stp>
        <stp>Px Bid</stp>
        <stp>[Pricing File.xlsm]TotalReturnPricing!R428C6</stp>
        <tr r="F428" s="2"/>
      </tp>
      <tp>
        <v>86.41</v>
        <stp/>
        <stp>##V3_BDPV12</stp>
        <stp>MAR Equity</stp>
        <stp>Px Bid</stp>
        <stp>[Pricing File.xlsm]TotalReturnPricing!R698C6</stp>
        <tr r="F698" s="2"/>
      </tp>
      <tp>
        <v>130.88999999999999</v>
        <stp/>
        <stp>##V3_BDPV12</stp>
        <stp>MMM Equity</stp>
        <stp>Px Bid</stp>
        <stp>[Pricing File.xlsm]TotalReturnPricing!R768C6</stp>
        <tr r="F768" s="2"/>
      </tp>
      <tp>
        <v>19.760000000000002</v>
        <stp/>
        <stp>##V3_BDPV12</stp>
        <stp>HRI Equity</stp>
        <stp>Px Bid</stp>
        <stp>[Pricing File.xlsm]TotalReturnPricing!R518C6</stp>
        <tr r="F518" s="2"/>
      </tp>
      <tp>
        <v>6.1</v>
        <stp/>
        <stp>##V3_BDPV12</stp>
        <stp>HTZ Equity</stp>
        <stp>Px Bid</stp>
        <stp>[Pricing File.xlsm]TotalReturnPricing!R298C6</stp>
        <tr r="F298" s="2"/>
      </tp>
      <tp>
        <v>13.98</v>
        <stp/>
        <stp>##V3_BDPV12</stp>
        <stp>CTRN Equity</stp>
        <stp>Px Ask</stp>
        <stp>[Pricing File.xlsm]TotalReturnPricing!R345C7</stp>
        <tr r="G345" s="2"/>
      </tp>
      <tp>
        <v>5.0599999999999996</v>
        <stp/>
        <stp>##V3_BDPV12</stp>
        <stp>IVC Equity</stp>
        <stp>Px Bid</stp>
        <stp>[Pricing File.xlsm]TotalReturnPricing!R278C6</stp>
        <tr r="F278" s="2"/>
      </tp>
      <tp t="s">
        <v>#N/A N/A</v>
        <stp/>
        <stp>##V3_BDPV12</stp>
        <stp>FBR Equity</stp>
        <stp>Px Bid</stp>
        <stp>[Pricing File.xlsm]TotalReturnPricing!R228C6</stp>
        <tr r="F228" s="2"/>
      </tp>
      <tp>
        <v>18.59</v>
        <stp/>
        <stp>##V3_BDPV12</stp>
        <stp>ZUMZ Equity</stp>
        <stp>Px Bid</stp>
        <stp>[Pricing File.xlsm]TotalReturnPricing!R246C6</stp>
        <tr r="F246" s="2"/>
      </tp>
      <tp>
        <v>4.38</v>
        <stp/>
        <stp>##V3_BDPV12</stp>
        <stp>GME Equity</stp>
        <stp>Px Bid</stp>
        <stp>[Pricing File.xlsm]TotalReturnPricing!R338C6</stp>
        <tr r="F338" s="2"/>
      </tp>
      <tp>
        <v>45.6</v>
        <stp/>
        <stp>##V3_BDPV12</stp>
        <stp>KNEBV FH Equity</stp>
        <stp>Px Last</stp>
        <stp>[Pricing File.xlsm]TotalReturnPricing!R77C5</stp>
        <tr r="E77" s="2"/>
      </tp>
      <tp>
        <v>1.9</v>
        <stp/>
        <stp>##V3_BDPV12</stp>
        <stp>AXTI Equity</stp>
        <stp>Px Ask</stp>
        <stp>[Pricing File.xlsm]TotalReturnPricing!R217C7</stp>
        <tr r="G217" s="2"/>
      </tp>
      <tp>
        <v>2.5499999999999998</v>
        <stp/>
        <stp>##V3_BDPV12</stp>
        <stp>TWMC Equity</stp>
        <stp>Px Bid</stp>
        <stp>[Pricing File.xlsm]TotalReturnPricing!R138C6</stp>
        <tr r="F138" s="2"/>
      </tp>
      <tp>
        <v>1.03</v>
        <stp/>
        <stp>##V3_BDPV12</stp>
        <stp>EGY Equity</stp>
        <stp>Px Bid</stp>
        <stp>[Pricing File.xlsm]TotalReturnPricing!R128C6</stp>
        <tr r="F128" s="2"/>
      </tp>
      <tp>
        <v>13.78</v>
        <stp/>
        <stp>##V3_BDPV12</stp>
        <stp>ERI Equity</stp>
        <stp>Px Bid</stp>
        <stp>[Pricing File.xlsm]TotalReturnPricing!R328C6</stp>
        <tr r="F328" s="2"/>
      </tp>
      <tp>
        <v>18.510000000000002</v>
        <stp/>
        <stp>##V3_BDPV12</stp>
        <stp>CFG Equity</stp>
        <stp>Px Bid</stp>
        <stp>[Pricing File.xlsm]TotalReturnPricing!R438C6</stp>
        <tr r="F438" s="2"/>
      </tp>
      <tp>
        <v>1.79</v>
        <stp/>
        <stp>##V3_BDPV12</stp>
        <stp>CHS Equity</stp>
        <stp>Px Bid</stp>
        <stp>[Pricing File.xlsm]TotalReturnPricing!R218C6</stp>
        <tr r="F218" s="2"/>
      </tp>
      <tp>
        <v>2.5299999999999998</v>
        <stp/>
        <stp>##V3_BDPV12</stp>
        <stp>CYH Equity</stp>
        <stp>Px Bid</stp>
        <stp>[Pricing File.xlsm]TotalReturnPricing!R198C6</stp>
        <tr r="F198" s="2"/>
      </tp>
      <tp>
        <v>16.79</v>
        <stp/>
        <stp>##V3_BDPV12</stp>
        <stp>TRIP Equity</stp>
        <stp>Px Bid</stp>
        <stp>[Pricing File.xlsm]TotalReturnPricing!R468C6</stp>
        <tr r="F468" s="2"/>
      </tp>
      <tp>
        <v>95.25</v>
        <stp/>
        <stp>##V3_BDPV12</stp>
        <stp>AAP Equity</stp>
        <stp>Px Bid</stp>
        <stp>[Pricing File.xlsm]TotalReturnPricing!R108C6</stp>
        <tr r="F108" s="2"/>
      </tp>
      <tp>
        <v>46.38</v>
        <stp/>
        <stp>##V3_BDPV12</stp>
        <stp>ABG Equity</stp>
        <stp>Px Bid</stp>
        <stp>[Pricing File.xlsm]TotalReturnPricing!R558C6</stp>
        <tr r="F558" s="2"/>
      </tp>
      <tp>
        <v>1.55</v>
        <stp/>
        <stp>##V3_BDPV12</stp>
        <stp>SAVE 200619C00045000 Equity</stp>
        <stp>Px Ask</stp>
        <stp>[Pricing File.xlsm]TotalReturnPricing!R896C7</stp>
        <tr r="G896" s="2"/>
      </tp>
      <tp>
        <v>47.97</v>
        <stp/>
        <stp>##V3_BDPV12</stp>
        <stp>AGCO Equity</stp>
        <stp>Px Ask</stp>
        <stp>[Pricing File.xlsm]TotalReturnPricing!R627C7</stp>
        <tr r="G627" s="2"/>
      </tp>
      <tp>
        <v>111.34</v>
        <stp/>
        <stp>##V3_BDPV12</stp>
        <stp>DECK Equity</stp>
        <stp>Px Ask</stp>
        <stp>[Pricing File.xlsm]TotalReturnPricing!R602C7</stp>
        <tr r="G602" s="2"/>
      </tp>
      <tp>
        <v>36.729999999999997</v>
        <stp/>
        <stp>##V3_BDPV12</stp>
        <stp>SF Equity</stp>
        <stp>Px Ask</stp>
        <stp>[Pricing File.xlsm]TotalReturnPricing!R538C7</stp>
        <tr r="G538" s="2"/>
      </tp>
      <tp>
        <v>21.31</v>
        <stp/>
        <stp>##V3_BDPV12</stp>
        <stp>CY Equity</stp>
        <stp>Px Ask</stp>
        <stp>[Pricing File.xlsm]TotalReturnPricing!R268C7</stp>
        <tr r="G268" s="2"/>
      </tp>
      <tp>
        <v>146</v>
        <stp/>
        <stp>##V3_BDPV12</stp>
        <stp>FB Equity</stp>
        <stp>Px Ask</stp>
        <stp>[Pricing File.xlsm]TotalReturnPricing!R758C7</stp>
        <tr r="G758" s="2"/>
      </tp>
      <tp>
        <v>32.9</v>
        <stp/>
        <stp>##V3_BDPV12</stp>
        <stp>BC Equity</stp>
        <stp>Px Ask</stp>
        <stp>[Pricing File.xlsm]TotalReturnPricing!R568C7</stp>
        <tr r="G568" s="2"/>
      </tp>
      <tp>
        <v>8.83</v>
        <stp/>
        <stp>##V3_BDPV12</stp>
        <stp>EB Equity</stp>
        <stp>Px Ask</stp>
        <stp>[Pricing File.xlsm]TotalReturnPricing!R838C7</stp>
        <tr r="G838" s="2"/>
      </tp>
      <tp>
        <v>0.05</v>
        <stp/>
        <stp>##V3_BDPV12</stp>
        <stp>SAVE 200320C00042500 Equity</stp>
        <stp>Px Ask</stp>
        <stp>[Pricing File.xlsm]TotalReturnPricing!R894C7</stp>
        <tr r="G894" s="2"/>
      </tp>
      <tp>
        <v>5.87</v>
        <stp/>
        <stp>##V3_BDPV12</stp>
        <stp>ADTN Equity</stp>
        <stp>Px Ask</stp>
        <stp>[Pricing File.xlsm]TotalReturnPricing!R357C7</stp>
        <tr r="G357" s="2"/>
      </tp>
      <tp>
        <v>95.81</v>
        <stp/>
        <stp>##V3_BDPV12</stp>
        <stp>VMW Equity</stp>
        <stp>Px Bid</stp>
        <stp>[Pricing File.xlsm]TotalReturnPricing!R678C6</stp>
        <tr r="F678" s="2"/>
      </tp>
      <tp>
        <v>13.48</v>
        <stp/>
        <stp>##V3_BDPV12</stp>
        <stp>WMB Equity</stp>
        <stp>Px Bid</stp>
        <stp>[Pricing File.xlsm]TotalReturnPricing!R418C6</stp>
        <tr r="F418" s="2"/>
      </tp>
      <tp>
        <v>1.32</v>
        <stp/>
        <stp>##V3_BDPV12</stp>
        <stp>WLL Equity</stp>
        <stp>Px Bid</stp>
        <stp>[Pricing File.xlsm]TotalReturnPricing!R168C6</stp>
        <tr r="F168" s="2"/>
      </tp>
      <tp t="s">
        <v>#N/A N/A</v>
        <stp/>
        <stp>##V3_BDPV12</stp>
        <stp>TOO Equity</stp>
        <stp>Px Bid</stp>
        <stp>[Pricing File.xlsm]TotalReturnPricing!R148C6</stp>
        <tr r="F148" s="2"/>
      </tp>
      <tp>
        <v>16.41</v>
        <stp/>
        <stp>##V3_BDPV12</stp>
        <stp>TRN Equity</stp>
        <stp>Px Bid</stp>
        <stp>[Pricing File.xlsm]TotalReturnPricing!R388C6</stp>
        <tr r="F388" s="2"/>
      </tp>
      <tp>
        <v>26.9</v>
        <stp/>
        <stp>##V3_BDPV12</stp>
        <stp>TXT Equity</stp>
        <stp>Px Bid</stp>
        <stp>[Pricing File.xlsm]TotalReturnPricing!R528C6</stp>
        <tr r="F528" s="2"/>
      </tp>
      <tp>
        <v>13.95</v>
        <stp/>
        <stp>##V3_BDPV12</stp>
        <stp>UNG Equity</stp>
        <stp>Px Bid</stp>
        <stp>[Pricing File.xlsm]TotalReturnPricing!R188C6</stp>
        <tr r="F188" s="2"/>
      </tp>
      <tp>
        <v>2.73</v>
        <stp/>
        <stp>##V3_BDPV12</stp>
        <stp>RRC Equity</stp>
        <stp>Px Bid</stp>
        <stp>[Pricing File.xlsm]TotalReturnPricing!R348C6</stp>
        <tr r="F348" s="2"/>
      </tp>
      <tp>
        <v>0.05</v>
        <stp/>
        <stp>##V3_BDPV12</stp>
        <stp>QNST 200320C00015000 Equity</stp>
        <stp>Px Ask</stp>
        <stp>[Pricing File.xlsm]TotalReturnPricing!R871C7</stp>
        <tr r="G871" s="2"/>
      </tp>
      <tp>
        <v>7.72</v>
        <stp/>
        <stp>##V3_BDPV12</stp>
        <stp>ALLT Equity</stp>
        <stp>Px Ask</stp>
        <stp>[Pricing File.xlsm]TotalReturnPricing!R167C7</stp>
        <tr r="G167" s="2"/>
      </tp>
      <tp>
        <v>2196</v>
        <stp/>
        <stp>##V3_BDPV12</stp>
        <stp>WIZZ LN Equity</stp>
        <stp>Px Bid</stp>
        <stp>[Pricing File.xlsm]TotalReturnPricing!R99C6</stp>
        <tr r="F99" s="2"/>
      </tp>
      <tp t="s">
        <v>#N/A N/A</v>
        <stp/>
        <stp>##V3_BDPV12</stp>
        <stp>LVS 200417C00062500 Equity</stp>
        <stp>Px Bid</stp>
        <stp>[Pricing File.xlsm]TotalReturnPricing!R909C6</stp>
        <tr r="F909" s="2"/>
      </tp>
      <tp>
        <v>2.0499999999999998</v>
        <stp/>
        <stp>##V3_BDPV12</stp>
        <stp>EVRC Equity</stp>
        <stp>Px Ask</stp>
        <stp>[Pricing File.xlsm]TotalReturnPricing!R134C7</stp>
        <tr r="G134" s="2"/>
      </tp>
      <tp>
        <v>43.7</v>
        <stp/>
        <stp>##V3_BDPV12</stp>
        <stp>LYFT 200717P00065000 Equity</stp>
        <stp>Px Bid</stp>
        <stp>[Pricing File.xlsm]TotalReturnPricing!R895C6</stp>
        <tr r="F895" s="2"/>
      </tp>
      <tp>
        <v>110.01</v>
        <stp/>
        <stp>##V3_BDPV12</stp>
        <stp>HUBS Equity</stp>
        <stp>Px Ask</stp>
        <stp>[Pricing File.xlsm]TotalReturnPricing!R629C7</stp>
        <tr r="G629" s="2"/>
      </tp>
      <tp>
        <v>40.21</v>
        <stp/>
        <stp>##V3_BDPV12</stp>
        <stp>IWM 200320P00145000 Equity</stp>
        <stp>Px Bid</stp>
        <stp>[Pricing File.xlsm]TotalReturnPricing!R869C6</stp>
        <tr r="F869" s="2"/>
      </tp>
      <tp>
        <v>2</v>
        <stp/>
        <stp>##V3_BDPV12</stp>
        <stp>CVNA 210115C00080000 Equity</stp>
        <stp>Px Bid</stp>
        <stp>[Pricing File.xlsm]TotalReturnPricing!R919C6</stp>
        <tr r="F919" s="2"/>
      </tp>
      <tp>
        <v>9.94</v>
        <stp/>
        <stp>##V3_BDPV12</stp>
        <stp>HCKT Equity</stp>
        <stp>Px Ask</stp>
        <stp>[Pricing File.xlsm]TotalReturnPricing!R789C7</stp>
        <tr r="G789" s="2"/>
      </tp>
      <tp>
        <v>74.91</v>
        <stp/>
        <stp>##V3_BDPV12</stp>
        <stp>SLAB Equity</stp>
        <stp>Px Bid</stp>
        <stp>[Pricing File.xlsm]TotalReturnPricing!R638C6</stp>
        <tr r="F638" s="2"/>
      </tp>
      <tp>
        <v>59.38</v>
        <stp/>
        <stp>##V3_BDPV12</stp>
        <stp>ICFI Equity</stp>
        <stp>Px Ask</stp>
        <stp>[Pricing File.xlsm]TotalReturnPricing!R508C7</stp>
        <tr r="G508" s="2"/>
      </tp>
      <tp>
        <v>82.98</v>
        <stp/>
        <stp>##V3_BDPV12</stp>
        <stp>CBOE Equity</stp>
        <stp>Px Ask</stp>
        <stp>[Pricing File.xlsm]TotalReturnPricing!R682C7</stp>
        <tr r="G682" s="2"/>
      </tp>
      <tp>
        <v>17.48</v>
        <stp/>
        <stp>##V3_BDPV12</stp>
        <stp>CARG Equity</stp>
        <stp>Px Ask</stp>
        <stp>[Pricing File.xlsm]TotalReturnPricing!R802C7</stp>
        <tr r="G802" s="2"/>
      </tp>
      <tp>
        <v>16.920000000000002</v>
        <stp/>
        <stp>##V3_BDPV12</stp>
        <stp>CAKE Equity</stp>
        <stp>Px Ask</stp>
        <stp>[Pricing File.xlsm]TotalReturnPricing!R532C7</stp>
        <tr r="G532" s="2"/>
      </tp>
      <tp>
        <v>16.12</v>
        <stp/>
        <stp>##V3_BDPV12</stp>
        <stp>EGOV Equity</stp>
        <stp>Px Ask</stp>
        <stp>[Pricing File.xlsm]TotalReturnPricing!R284C7</stp>
        <tr r="G284" s="2"/>
      </tp>
      <tp>
        <v>1.27</v>
        <stp/>
        <stp>##V3_BDPV12</stp>
        <stp>BGFV Equity</stp>
        <stp>Px Ask</stp>
        <stp>[Pricing File.xlsm]TotalReturnPricing!R233C7</stp>
        <tr r="G233" s="2"/>
      </tp>
      <tp>
        <v>3.06</v>
        <stp/>
        <stp>##V3_BDPV12</stp>
        <stp>BGCP Equity</stp>
        <stp>Px Ask</stp>
        <stp>[Pricing File.xlsm]TotalReturnPricing!R243C7</stp>
        <tr r="G243" s="2"/>
      </tp>
      <tp>
        <v>5</v>
        <stp/>
        <stp>##V3_BDPV12</stp>
        <stp>SIRI Equity</stp>
        <stp>Px Bid</stp>
        <stp>[Pricing File.xlsm]TotalReturnPricing!R178C6</stp>
        <tr r="F178" s="2"/>
      </tp>
      <tp t="s">
        <v>#N/A N/A</v>
        <stp/>
        <stp>##V3_BDPV12</stp>
        <stp>CELG Equity</stp>
        <stp>Px Ask</stp>
        <stp>[Pricing File.xlsm]TotalReturnPricing!R732C7</stp>
        <tr r="G732" s="2"/>
      </tp>
      <tp>
        <v>4.67</v>
        <stp/>
        <stp>##V3_BDPV12</stp>
        <stp>SGRY Equity</stp>
        <stp>Px Bid</stp>
        <stp>[Pricing File.xlsm]TotalReturnPricing!R818C6</stp>
        <tr r="F818" s="2"/>
      </tp>
      <tp>
        <v>0.6</v>
        <stp/>
        <stp>##V3_BDPV12</stp>
        <stp>SKYW 200417C00055000 Equity</stp>
        <stp>Px Ask</stp>
        <stp>[Pricing File.xlsm]TotalReturnPricing!R893C7</stp>
        <tr r="G893" s="2"/>
      </tp>
      <tp>
        <v>31.5</v>
        <stp/>
        <stp>##V3_BDPV12</stp>
        <stp>CHGG Equity</stp>
        <stp>Px Ask</stp>
        <stp>[Pricing File.xlsm]TotalReturnPricing!R262C7</stp>
        <tr r="G262" s="2"/>
      </tp>
      <tp>
        <v>28.32</v>
        <stp/>
        <stp>##V3_BDPV12</stp>
        <stp>SATS Equity</stp>
        <stp>Px Bid</stp>
        <stp>[Pricing File.xlsm]TotalReturnPricing!R588C6</stp>
        <tr r="F588" s="2"/>
      </tp>
      <tp>
        <v>5.73</v>
        <stp/>
        <stp>##V3_BDPV12</stp>
        <stp>DNOW Equity</stp>
        <stp>Px Ask</stp>
        <stp>[Pricing File.xlsm]TotalReturnPricing!R285C7</stp>
        <tr r="G285" s="2"/>
      </tp>
      <tp>
        <v>67.66</v>
        <stp/>
        <stp>##V3_BDPV12</stp>
        <stp>SAIA Equity</stp>
        <stp>Px Bid</stp>
        <stp>[Pricing File.xlsm]TotalReturnPricing!R548C6</stp>
        <tr r="F548" s="2"/>
      </tp>
      <tp>
        <v>106.58</v>
        <stp/>
        <stp>##V3_BDPV12</stp>
        <stp>SAFM Equity</stp>
        <stp>Px Bid</stp>
        <stp>[Pricing File.xlsm]TotalReturnPricing!R728C6</stp>
        <tr r="F728" s="2"/>
      </tp>
      <tp>
        <v>138.82</v>
        <stp/>
        <stp>##V3_BDPV12</stp>
        <stp>AMED Equity</stp>
        <stp>Px Ask</stp>
        <stp>[Pricing File.xlsm]TotalReturnPricing!R520C7</stp>
        <tr r="G520" s="2"/>
      </tp>
      <tp t="s">
        <v>#N/A Field Not Applicable</v>
        <stp/>
        <stp>##V3_BDPV12</stp>
        <stp>SF Equity</stp>
        <stp>OPT_DELTA</stp>
        <stp>[Pricing File.xlsm]TotalReturnPricing!R538C8</stp>
        <tr r="H538" s="2"/>
      </tp>
      <tp t="s">
        <v>#N/A Field Not Applicable</v>
        <stp/>
        <stp>##V3_BDPV12</stp>
        <stp>MO Equity</stp>
        <stp>OPT_DELTA</stp>
        <stp>[Pricing File.xlsm]TotalReturnPricing!R811C8</stp>
        <tr r="H811" s="2"/>
      </tp>
      <tp>
        <v>1.58</v>
        <stp/>
        <stp>##V3_BDPV12</stp>
        <stp>LTRPA Equity</stp>
        <stp>Px Ask</stp>
        <stp>[Pricing File.xlsm]TotalReturnPricing!R236C7</stp>
        <tr r="G236" s="2"/>
      </tp>
      <tp t="s">
        <v>#N/A N/A</v>
        <stp/>
        <stp>##V3_BDPV12</stp>
        <stp>ESRX Equity</stp>
        <stp>Px Ask</stp>
        <stp>[Pricing File.xlsm]TotalReturnPricing!R815C7</stp>
        <tr r="G815" s="2"/>
      </tp>
      <tp>
        <v>32.35</v>
        <stp/>
        <stp>##V3_BDPV12</stp>
        <stp>ASGN Equity</stp>
        <stp>Px Ask</stp>
        <stp>[Pricing File.xlsm]TotalReturnPricing!R531C7</stp>
        <tr r="G531" s="2"/>
      </tp>
      <tp t="s">
        <v>#N/A N/A</v>
        <stp/>
        <stp>##V3_BDPV12</stp>
        <stp>ARRS Equity</stp>
        <stp>Px Ask</stp>
        <stp>[Pricing File.xlsm]TotalReturnPricing!R391C7</stp>
        <tr r="G391" s="2"/>
      </tp>
      <tp>
        <v>543.23</v>
        <stp/>
        <stp>##V3_BDPV12</stp>
        <stp>EQIX Equity</stp>
        <stp>Px Ask</stp>
        <stp>[Pricing File.xlsm]TotalReturnPricing!R785C7</stp>
        <tr r="G785" s="2"/>
      </tp>
      <tp>
        <v>33</v>
        <stp/>
        <stp>##V3_BDPV12</stp>
        <stp>LYFT 210115P00052500 Equity</stp>
        <stp>Px Bid</stp>
        <stp>[Pricing File.xlsm]TotalReturnPricing!R885C6</stp>
        <tr r="F885" s="2"/>
      </tp>
      <tp>
        <v>39.840000000000003</v>
        <stp/>
        <stp>##V3_BDPV12</stp>
        <stp>CWST Equity</stp>
        <stp>Px Ask</stp>
        <stp>[Pricing File.xlsm]TotalReturnPricing!R293C7</stp>
        <tr r="G293" s="2"/>
      </tp>
      <tp>
        <v>40.909999999999997</v>
        <stp/>
        <stp>##V3_BDPV12</stp>
        <stp>HURN Equity</stp>
        <stp>Px Ask</stp>
        <stp>[Pricing File.xlsm]TotalReturnPricing!R488C7</stp>
        <tr r="G488" s="2"/>
      </tp>
      <tp>
        <v>5.4</v>
        <stp/>
        <stp>##V3_BDPV12</stp>
        <stp>CVNA 210115C00060000 Equity</stp>
        <stp>Px Bid</stp>
        <stp>[Pricing File.xlsm]TotalReturnPricing!R918C6</stp>
        <tr r="F918" s="2"/>
      </tp>
      <tp>
        <v>93.22</v>
        <stp/>
        <stp>##V3_BDPV12</stp>
        <stp>CCMP Equity</stp>
        <stp>Px Ask</stp>
        <stp>[Pricing File.xlsm]TotalReturnPricing!R633C7</stp>
        <tr r="G633" s="2"/>
      </tp>
      <tp>
        <v>19.79</v>
        <stp/>
        <stp>##V3_BDPV12</stp>
        <stp>FCBC Equity</stp>
        <stp>Px Ask</stp>
        <stp>[Pricing File.xlsm]TotalReturnPricing!R386C7</stp>
        <tr r="G386" s="2"/>
      </tp>
      <tp>
        <v>18.71</v>
        <stp/>
        <stp>##V3_BDPV12</stp>
        <stp>AAWW Equity</stp>
        <stp>Px Ask</stp>
        <stp>[Pricing File.xlsm]TotalReturnPricing!R111C7</stp>
        <tr r="G111" s="2"/>
      </tp>
      <tp>
        <v>112.75</v>
        <stp/>
        <stp>##V3_BDPV12</stp>
        <stp>SNPS Equity</stp>
        <stp>Px Bid</stp>
        <stp>[Pricing File.xlsm]TotalReturnPricing!R639C6</stp>
        <tr r="F639" s="2"/>
      </tp>
      <tp>
        <v>1.1000000000000001</v>
        <stp/>
        <stp>##V3_BDPV12</stp>
        <stp>PFSI 200821C00040000 Equity</stp>
        <stp>Px Ask</stp>
        <stp>[Pricing File.xlsm]TotalReturnPricing!R898C7</stp>
        <tr r="G898" s="2"/>
      </tp>
      <tp t="s">
        <v>#N/A N/A</v>
        <stp/>
        <stp>##V3_BDPV12</stp>
        <stp>PFSI 200221C00030000 Equity</stp>
        <stp>Px Ask</stp>
        <stp>[Pricing File.xlsm]TotalReturnPricing!R862C7</stp>
        <tr r="G862" s="2"/>
      </tp>
      <tp>
        <v>5.21</v>
        <stp/>
        <stp>##V3_BDPV12</stp>
        <stp>GDEN Equity</stp>
        <stp>Px Ask</stp>
        <stp>[Pricing File.xlsm]TotalReturnPricing!R337C7</stp>
        <tr r="G337" s="2"/>
      </tp>
      <tp t="s">
        <v>#N/A N/A</v>
        <stp/>
        <stp>##V3_BDPV12</stp>
        <stp>CIVI Equity</stp>
        <stp>Px Ask</stp>
        <stp>[Pricing File.xlsm]TotalReturnPricing!R303C7</stp>
        <tr r="G303" s="2"/>
      </tp>
      <tp>
        <v>3.25</v>
        <stp/>
        <stp>##V3_BDPV12</stp>
        <stp>GIGA Equity</stp>
        <stp>Px Ask</stp>
        <stp>[Pricing File.xlsm]TotalReturnPricing!R127C7</stp>
        <tr r="G127" s="2"/>
      </tp>
      <tp>
        <v>7.37</v>
        <stp/>
        <stp>##V3_BDPV12</stp>
        <stp>INFY Equity</stp>
        <stp>Px Ask</stp>
        <stp>[Pricing File.xlsm]TotalReturnPricing!R279C7</stp>
        <tr r="G279" s="2"/>
      </tp>
      <tp>
        <v>19.260000000000002</v>
        <stp/>
        <stp>##V3_BDPV12</stp>
        <stp>HMSY Equity</stp>
        <stp>Px Ask</stp>
        <stp>[Pricing File.xlsm]TotalReturnPricing!R318C7</stp>
        <tr r="G318" s="2"/>
      </tp>
      <tp>
        <v>75.67</v>
        <stp/>
        <stp>##V3_BDPV12</stp>
        <stp>ALXN Equity</stp>
        <stp>Px Ask</stp>
        <stp>[Pricing File.xlsm]TotalReturnPricing!R731C7</stp>
        <tr r="G731" s="2"/>
      </tp>
      <tp>
        <v>7.3</v>
        <stp/>
        <stp>##V3_BDPV12</stp>
        <stp>SCPL Equity</stp>
        <stp>Px Bid</stp>
        <stp>[Pricing File.xlsm]TotalReturnPricing!R839C6</stp>
        <tr r="F839" s="2"/>
      </tp>
      <tp>
        <v>161.38999999999999</v>
        <stp/>
        <stp>##V3_BDPV12</stp>
        <stp>ALGN Equity</stp>
        <stp>Px Ask</stp>
        <stp>[Pricing File.xlsm]TotalReturnPricing!R751C7</stp>
        <tr r="G751" s="2"/>
      </tp>
      <tp t="s">
        <v>#N/A Field Not Applicable</v>
        <stp/>
        <stp>##V3_BDPV12</stp>
        <stp>FL Equity</stp>
        <stp>OPT_DELTA</stp>
        <stp>[Pricing File.xlsm]TotalReturnPricing!R523C8</stp>
        <tr r="H523" s="2"/>
      </tp>
      <tp>
        <v>2E-3</v>
        <stp/>
        <stp>##V3_BDPV12</stp>
        <stp>BLIAQ Equity</stp>
        <stp>Px Bid</stp>
        <stp>[Pricing File.xlsm]TotalReturnPricing!R117C6</stp>
        <tr r="F117" s="2"/>
      </tp>
      <tp>
        <v>1.3239000000000001</v>
        <stp/>
        <stp>##V3_BDPV12</stp>
        <stp>USGG30YR Index</stp>
        <stp>Px Last</stp>
        <stp>[Pricing File.xlsm]TotalReturnPricing!R151C5</stp>
        <tr r="E151" s="2"/>
      </tp>
      <tp t="s">
        <v>#N/A N/A</v>
        <stp/>
        <stp>##V3_BDPV12</stp>
        <stp>ESRX Equity</stp>
        <stp>Px Ask</stp>
        <stp>[Pricing File.xlsm]TotalReturnPricing!R596C7</stp>
        <tr r="G596" s="2"/>
      </tp>
      <tp>
        <v>5.0999999999999996</v>
        <stp/>
        <stp>##V3_BDPV12</stp>
        <stp>GSKY Equity</stp>
        <stp>Px Ask</stp>
        <stp>[Pricing File.xlsm]TotalReturnPricing!R834C7</stp>
        <tr r="G834" s="2"/>
      </tp>
      <tp t="s">
        <v>#N/A N/A</v>
        <stp/>
        <stp>##V3_BDPV12</stp>
        <stp>DPLO Equity</stp>
        <stp>Px Ask</stp>
        <stp>[Pricing File.xlsm]TotalReturnPricing!R277C7</stp>
        <tr r="G277" s="2"/>
      </tp>
      <tp>
        <v>5.93</v>
        <stp/>
        <stp>##V3_BDPV12</stp>
        <stp>AVID Equity</stp>
        <stp>Px Ask</stp>
        <stp>[Pricing File.xlsm]TotalReturnPricing!R172C7</stp>
        <tr r="G172" s="2"/>
      </tp>
      <tp>
        <v>1.722</v>
        <stp/>
        <stp>##V3_BDPV12</stp>
        <stp>EDR SM Equity</stp>
        <stp>Px Last</stp>
        <stp>[Pricing File.xlsm]TotalReturnPricing!R73C5</stp>
        <tr r="E73" s="2"/>
      </tp>
      <tp>
        <v>2.66</v>
        <stp/>
        <stp>##V3_BDPV12</stp>
        <stp>LYFT 210115C00030000 Equity</stp>
        <stp>Px Bid</stp>
        <stp>[Pricing File.xlsm]TotalReturnPricing!R914C6</stp>
        <tr r="F914" s="2"/>
      </tp>
      <tp>
        <v>43.57</v>
        <stp/>
        <stp>##V3_BDPV12</stp>
        <stp>CTSH Equity</stp>
        <stp>Px Ask</stp>
        <stp>[Pricing File.xlsm]TotalReturnPricing!R620C7</stp>
        <tr r="G620" s="2"/>
      </tp>
      <tp>
        <v>25.33</v>
        <stp/>
        <stp>##V3_BDPV12</stp>
        <stp>ATRC Equity</stp>
        <stp>Px Ask</stp>
        <stp>[Pricing File.xlsm]TotalReturnPricing!R352C7</stp>
        <tr r="G352" s="2"/>
      </tp>
      <tp>
        <v>1.39</v>
        <stp/>
        <stp>##V3_BDPV12</stp>
        <stp>YTRA Equity</stp>
        <stp>Px Bid</stp>
        <stp>[Pricing File.xlsm]TotalReturnPricing!R230C6</stp>
        <tr r="F230" s="2"/>
      </tp>
      <tp>
        <v>58.79</v>
        <stp/>
        <stp>##V3_BDPV12</stp>
        <stp>EXPD Equity</stp>
        <stp>Px Ask</stp>
        <stp>[Pricing File.xlsm]TotalReturnPricing!R576C7</stp>
        <tr r="G576" s="2"/>
      </tp>
      <tp>
        <v>54.74</v>
        <stp/>
        <stp>##V3_BDPV12</stp>
        <stp>EXPE Equity</stp>
        <stp>Px Ask</stp>
        <stp>[Pricing File.xlsm]TotalReturnPricing!R746C7</stp>
        <tr r="G746" s="2"/>
      </tp>
      <tp>
        <v>28.63</v>
        <stp/>
        <stp>##V3_BDPV12</stp>
        <stp>PLCE Equity</stp>
        <stp>Px Bid</stp>
        <stp>[Pricing File.xlsm]TotalReturnPricing!R699C6</stp>
        <tr r="F699" s="2"/>
      </tp>
      <tp>
        <v>10.62</v>
        <stp/>
        <stp>##V3_BDPV12</stp>
        <stp>JBLU Equity</stp>
        <stp>Px Ask</stp>
        <stp>[Pricing File.xlsm]TotalReturnPricing!R339C7</stp>
        <tr r="G339" s="2"/>
      </tp>
      <tp>
        <v>4.2300000000000004</v>
        <stp/>
        <stp>##V3_BDPV12</stp>
        <stp>ZIXI Equity</stp>
        <stp>Px Bid</stp>
        <stp>[Pricing File.xlsm]TotalReturnPricing!R173C6</stp>
        <tr r="F173" s="2"/>
      </tp>
      <tp>
        <v>22.38</v>
        <stp/>
        <stp>##V3_BDPV12</stp>
        <stp>KFRC Equity</stp>
        <stp>Px Ask</stp>
        <stp>[Pricing File.xlsm]TotalReturnPricing!R308C7</stp>
        <tr r="G308" s="2"/>
      </tp>
      <tp>
        <v>60.62</v>
        <stp/>
        <stp>##V3_BDPV12</stp>
        <stp>CERN Equity</stp>
        <stp>Px Ask</stp>
        <stp>[Pricing File.xlsm]TotalReturnPricing!R600C7</stp>
        <tr r="G600" s="2"/>
      </tp>
      <tp>
        <v>9.69</v>
        <stp/>
        <stp>##V3_BDPV12</stp>
        <stp>CDZI Equity</stp>
        <stp>Px Ask</stp>
        <stp>[Pricing File.xlsm]TotalReturnPricing!R250C7</stp>
        <tr r="G250" s="2"/>
      </tp>
      <tp>
        <v>44.42</v>
        <stp/>
        <stp>##V3_BDPV12</stp>
        <stp>GDDY Equity</stp>
        <stp>Px Ask</stp>
        <stp>[Pricing File.xlsm]TotalReturnPricing!R494C7</stp>
        <tr r="G494" s="2"/>
      </tp>
      <tp>
        <v>0.05</v>
        <stp/>
        <stp>##V3_BDPV12</stp>
        <stp>QNST 200320C00017500 Equity</stp>
        <stp>Px Ask</stp>
        <stp>[Pricing File.xlsm]TotalReturnPricing!R856C7</stp>
        <tr r="G856" s="2"/>
      </tp>
      <tp>
        <v>74.13</v>
        <stp/>
        <stp>##V3_BDPV12</stp>
        <stp>QDEL Equity</stp>
        <stp>Px Bid</stp>
        <stp>[Pricing File.xlsm]TotalReturnPricing!R448C6</stp>
        <tr r="F448" s="2"/>
      </tp>
      <tp>
        <v>1.11E-2</v>
        <stp/>
        <stp>##V3_BDPV12</stp>
        <stp>PFTI Equity</stp>
        <stp>Px Bid</stp>
        <stp>[Pricing File.xlsm]TotalReturnPricing!R119C6</stp>
        <tr r="F119" s="2"/>
      </tp>
      <tp>
        <v>14.01</v>
        <stp/>
        <stp>##V3_BDPV12</stp>
        <stp>FITB Equity</stp>
        <stp>Px Ask</stp>
        <stp>[Pricing File.xlsm]TotalReturnPricing!R375C7</stp>
        <tr r="G375" s="2"/>
      </tp>
      <tp>
        <v>10.54</v>
        <stp/>
        <stp>##V3_BDPV12</stp>
        <stp>GIII Equity</stp>
        <stp>Px Ask</stp>
        <stp>[Pricing File.xlsm]TotalReturnPricing!R374C7</stp>
        <tr r="G374" s="2"/>
      </tp>
      <tp>
        <v>92.84</v>
        <stp/>
        <stp>##V3_BDPV12</stp>
        <stp>DHIL Equity</stp>
        <stp>Px Ask</stp>
        <stp>[Pricing File.xlsm]TotalReturnPricing!R767C7</stp>
        <tr r="G767" s="2"/>
      </tp>
      <tp>
        <v>55.66</v>
        <stp/>
        <stp>##V3_BDPV12</stp>
        <stp>DORM Equity</stp>
        <stp>Px Ask</stp>
        <stp>[Pricing File.xlsm]TotalReturnPricing!R807C7</stp>
        <tr r="G807" s="2"/>
      </tp>
      <tp>
        <v>16.84</v>
        <stp/>
        <stp>##V3_BDPV12</stp>
        <stp>FORM Equity</stp>
        <stp>Px Ask</stp>
        <stp>[Pricing File.xlsm]TotalReturnPricing!R255C7</stp>
        <tr r="G255" s="2"/>
      </tp>
      <tp>
        <v>4.55</v>
        <stp/>
        <stp>##V3_BDPV12</stp>
        <stp>ANGI Equity</stp>
        <stp>Px Ask</stp>
        <stp>[Pricing File.xlsm]TotalReturnPricing!R242C7</stp>
        <tr r="G242" s="2"/>
      </tp>
      <tp>
        <v>30.01</v>
        <stp/>
        <stp>##V3_BDPV12</stp>
        <stp>AMTD Equity</stp>
        <stp>Px Ask</stp>
        <stp>[Pricing File.xlsm]TotalReturnPricing!R512C7</stp>
        <tr r="G512" s="2"/>
      </tp>
      <tp t="s">
        <v>#N/A Field Not Applicable</v>
        <stp/>
        <stp>##V3_BDPV12</stp>
        <stp>DE Equity</stp>
        <stp>OPT_DELTA</stp>
        <stp>[Pricing File.xlsm]TotalReturnPricing!R729C8</stp>
        <tr r="H729" s="2"/>
      </tp>
      <tp t="s">
        <v>#N/A Field Not Applicable</v>
        <stp/>
        <stp>##V3_BDPV12</stp>
        <stp>AM Equity</stp>
        <stp>OPT_DELTA</stp>
        <stp>[Pricing File.xlsm]TotalReturnPricing!R841C8</stp>
        <tr r="H841" s="2"/>
      </tp>
      <tp t="s">
        <v>#N/A Field Not Applicable</v>
        <stp/>
        <stp>##V3_BDPV12</stp>
        <stp>SPX Index</stp>
        <stp>OPT_DELTA</stp>
        <stp>[Pricing File.xlsm]TotalReturnPricing!R796C8</stp>
        <tr r="H796" s="2"/>
      </tp>
      <tp t="s">
        <v>#N/A Field Not Applicable</v>
        <stp/>
        <stp>##V3_BDPV12</stp>
        <stp>Z Equity</stp>
        <stp>OPT_DELTA</stp>
        <stp>[Pricing File.xlsm]TotalReturnPricing!R505C8</stp>
        <tr r="H505" s="2"/>
      </tp>
      <tp>
        <v>31.59</v>
        <stp/>
        <stp>##V3_BDPV12</stp>
        <stp>FSLR Equity</stp>
        <stp>Px Ask</stp>
        <stp>[Pricing File.xlsm]TotalReturnPricing!R504C7</stp>
        <tr r="G504" s="2"/>
      </tp>
      <tp>
        <v>587.58000000000004</v>
        <stp/>
        <stp>##V3_BDPV12</stp>
        <stp>CSGP Equity</stp>
        <stp>Px Ask</stp>
        <stp>[Pricing File.xlsm]TotalReturnPricing!R781C7</stp>
        <tr r="G781" s="2"/>
      </tp>
      <tp>
        <v>31.3</v>
        <stp/>
        <stp>##V3_BDPV12</stp>
        <stp>LYFT 200717P00052500 Equity</stp>
        <stp>Px Bid</stp>
        <stp>[Pricing File.xlsm]TotalReturnPricing!R881C6</stp>
        <tr r="F881" s="2"/>
      </tp>
      <tp>
        <v>18.010000000000002</v>
        <stp/>
        <stp>##V3_BDPV12</stp>
        <stp>APAM Equity</stp>
        <stp>Px Ask</stp>
        <stp>[Pricing File.xlsm]TotalReturnPricing!R423C7</stp>
        <tr r="G423" s="2"/>
      </tp>
      <tp>
        <v>46.91</v>
        <stp/>
        <stp>##V3_BDPV12</stp>
        <stp>FWRD Equity</stp>
        <stp>Px Ask</stp>
        <stp>[Pricing File.xlsm]TotalReturnPricing!R544C7</stp>
        <tr r="G544" s="2"/>
      </tp>
      <tp>
        <v>2.91</v>
        <stp/>
        <stp>##V3_BDPV12</stp>
        <stp>AWRE Equity</stp>
        <stp>Px Ask</stp>
        <stp>[Pricing File.xlsm]TotalReturnPricing!R163C7</stp>
        <tr r="G163" s="2"/>
      </tp>
      <tp>
        <v>8.09</v>
        <stp/>
        <stp>##V3_BDPV12</stp>
        <stp>PRTA Equity</stp>
        <stp>Px Bid</stp>
        <stp>[Pricing File.xlsm]TotalReturnPricing!R598C6</stp>
        <tr r="F598" s="2"/>
      </tp>
      <tp>
        <v>68.77</v>
        <stp/>
        <stp>##V3_BDPV12</stp>
        <stp>JCOM Equity</stp>
        <stp>Px Ask</stp>
        <stp>[Pricing File.xlsm]TotalReturnPricing!R668C7</stp>
        <tr r="G668" s="2"/>
      </tp>
      <tp>
        <v>82.98</v>
        <stp/>
        <stp>##V3_BDPV12</stp>
        <stp>CBOE Equity</stp>
        <stp>Px Ask</stp>
        <stp>[Pricing File.xlsm]TotalReturnPricing!R681C7</stp>
        <tr r="G681" s="2"/>
      </tp>
      <tp t="s">
        <v>#N/A N/A</v>
        <stp/>
        <stp>##V3_BDPV12</stp>
        <stp>PFSI 200221C00025000 Equity</stp>
        <stp>Px Ask</stp>
        <stp>[Pricing File.xlsm]TotalReturnPricing!R865C7</stp>
        <tr r="G865" s="2"/>
      </tp>
      <tp>
        <v>82.01</v>
        <stp/>
        <stp>##V3_BDPV12</stp>
        <stp>EEFT Equity</stp>
        <stp>Px Ask</stp>
        <stp>[Pricing File.xlsm]TotalReturnPricing!R687C7</stp>
        <tr r="G687" s="2"/>
      </tp>
      <tp>
        <v>53</v>
        <stp/>
        <stp>##V3_BDPV12</stp>
        <stp>ADUS Equity</stp>
        <stp>Px Ask</stp>
        <stp>[Pricing File.xlsm]TotalReturnPricing!R443C7</stp>
        <tr r="G443" s="2"/>
      </tp>
      <tp>
        <v>83.25</v>
        <stp/>
        <stp>##V3_BDPV12</stp>
        <stp>AKAM Equity</stp>
        <stp>Px Ask</stp>
        <stp>[Pricing File.xlsm]TotalReturnPricing!R513C7</stp>
        <tr r="G513" s="2"/>
      </tp>
      <tp>
        <v>99.26</v>
        <stp/>
        <stp>##V3_BDPV12</stp>
        <stp>EHTH Equity</stp>
        <stp>Px Ask</stp>
        <stp>[Pricing File.xlsm]TotalReturnPricing!R307C7</stp>
        <tr r="G307" s="2"/>
      </tp>
      <tp>
        <v>53.42</v>
        <stp/>
        <stp>##V3_BDPV12</stp>
        <stp>DOOR Equity</stp>
        <stp>Px Ask</stp>
        <stp>[Pricing File.xlsm]TotalReturnPricing!R646C7</stp>
        <tr r="G646" s="2"/>
      </tp>
      <tp>
        <v>1689.15</v>
        <stp/>
        <stp>##V3_BDPV12</stp>
        <stp>AMZN Equity</stp>
        <stp>Px Ask</stp>
        <stp>[Pricing File.xlsm]TotalReturnPricing!R793C7</stp>
        <tr r="G793" s="2"/>
      </tp>
      <tp>
        <v>16.100000000000001</v>
        <stp/>
        <stp>##V3_BDPV12</stp>
        <stp>ALLY Equity</stp>
        <stp>Px Ask</stp>
        <stp>[Pricing File.xlsm]TotalReturnPricing!R353C7</stp>
        <tr r="G353" s="2"/>
      </tp>
      <tp>
        <v>60.16</v>
        <stp/>
        <stp>##V3_BDPV12</stp>
        <stp>PCAR Equity</stp>
        <stp>Px Bid</stp>
        <stp>[Pricing File.xlsm]TotalReturnPricing!R618C6</stp>
        <tr r="F618" s="2"/>
      </tp>
      <tp>
        <v>36.020000000000003</v>
        <stp/>
        <stp>##V3_BDPV12</stp>
        <stp>CMCSA Equity</stp>
        <stp>Px Bid</stp>
        <stp>[Pricing File.xlsm]TotalReturnPricing!R478C6</stp>
        <tr r="F478" s="2"/>
      </tp>
      <tp t="s">
        <v>#N/A Field Not Applicable</v>
        <stp/>
        <stp>##V3_BDPV12</stp>
        <stp>X Equity</stp>
        <stp>OPT_DELTA</stp>
        <stp>[Pricing File.xlsm]TotalReturnPricing!R368C8</stp>
        <tr r="H368" s="2"/>
      </tp>
      <tp t="s">
        <v>#N/A N/A</v>
        <stp/>
        <stp>##V3_BDPV12</stp>
        <stp>ISCA Equity</stp>
        <stp>Px Ask</stp>
        <stp>[Pricing File.xlsm]TotalReturnPricing!R444C7</stp>
        <tr r="G444" s="2"/>
      </tp>
      <tp>
        <v>135.41999999999999</v>
        <stp/>
        <stp>##V3_BDPV12</stp>
        <stp>MSFT Equity</stp>
        <stp>Px Ask</stp>
        <stp>[Pricing File.xlsm]TotalReturnPricing!R630C7</stp>
        <tr r="G630" s="2"/>
      </tp>
      <tp>
        <v>85.38</v>
        <stp/>
        <stp>##V3_BDPV12</stp>
        <stp>LEA Equity</stp>
        <stp>Px Bid</stp>
        <stp>[Pricing File.xlsm]TotalReturnPricing!R743C6</stp>
        <tr r="F743" s="2"/>
      </tp>
      <tp>
        <v>76.05</v>
        <stp/>
        <stp>##V3_BDPV12</stp>
        <stp>LAD Equity</stp>
        <stp>Px Bid</stp>
        <stp>[Pricing File.xlsm]TotalReturnPricing!R693C6</stp>
        <tr r="F693" s="2"/>
      </tp>
      <tp>
        <v>72.569999999999993</v>
        <stp/>
        <stp>##V3_BDPV12</stp>
        <stp>LOW Equity</stp>
        <stp>Px Bid</stp>
        <stp>[Pricing File.xlsm]TotalReturnPricing!R643C6</stp>
        <tr r="F643" s="2"/>
      </tp>
      <tp>
        <v>28.82</v>
        <stp/>
        <stp>##V3_BDPV12</stp>
        <stp>EPAY Equity</stp>
        <stp>Px Ask</stp>
        <stp>[Pricing File.xlsm]TotalReturnPricing!R828C7</stp>
        <tr r="G828" s="2"/>
      </tp>
      <tp t="s">
        <v>#N/A N/A</v>
        <stp/>
        <stp>##V3_BDPV12</stp>
        <stp>EXPE 200221C00110000 Equity</stp>
        <stp>Px Bid</stp>
        <stp>[Pricing File.xlsm]TotalReturnPricing!R880C6</stp>
        <tr r="F880" s="2"/>
      </tp>
      <tp>
        <v>17.190000000000001</v>
        <stp/>
        <stp>##V3_BDPV12</stp>
        <stp>JWN Equity</stp>
        <stp>Px Bid</stp>
        <stp>[Pricing File.xlsm]TotalReturnPricing!R533C6</stp>
        <tr r="F533" s="2"/>
      </tp>
      <tp>
        <v>16.600000000000001</v>
        <stp/>
        <stp>##V3_BDPV12</stp>
        <stp>LVS 200417P00057500 Equity</stp>
        <stp>Px Bid</stp>
        <stp>[Pricing File.xlsm]TotalReturnPricing!R910C6</stp>
        <tr r="F910" s="2"/>
      </tp>
      <tp>
        <v>14</v>
        <stp/>
        <stp>##V3_BDPV12</stp>
        <stp>KBR Equity</stp>
        <stp>Px Bid</stp>
        <stp>[Pricing File.xlsm]TotalReturnPricing!R273C6</stp>
        <tr r="F273" s="2"/>
      </tp>
      <tp>
        <v>11.5</v>
        <stp/>
        <stp>##V3_BDPV12</stp>
        <stp>HTZ 200717P00020000 Equity</stp>
        <stp>Px Bid</stp>
        <stp>[Pricing File.xlsm]TotalReturnPricing!R884C6</stp>
        <tr r="F884" s="2"/>
      </tp>
      <tp>
        <v>0.10829999999999999</v>
        <stp/>
        <stp>##V3_BDPV12</stp>
        <stp>HUSA Equity</stp>
        <stp>Px Ask</stp>
        <stp>[Pricing File.xlsm]TotalReturnPricing!R125C7</stp>
        <tr r="G125" s="2"/>
      </tp>
      <tp>
        <v>84.44</v>
        <stp/>
        <stp>##V3_BDPV12</stp>
        <stp>HCA Equity</stp>
        <stp>Px Bid</stp>
        <stp>[Pricing File.xlsm]TotalReturnPricing!R653C6</stp>
        <tr r="F653" s="2"/>
      </tp>
      <tp>
        <v>5.93</v>
        <stp/>
        <stp>##V3_BDPV12</stp>
        <stp>HAL Equity</stp>
        <stp>Px Bid</stp>
        <stp>[Pricing File.xlsm]TotalReturnPricing!R493C6</stp>
        <tr r="F493" s="2"/>
      </tp>
      <tp>
        <v>1.93</v>
        <stp/>
        <stp>##V3_BDPV12</stp>
        <stp>HLX Equity</stp>
        <stp>Px Bid</stp>
        <stp>[Pricing File.xlsm]TotalReturnPricing!R183C6</stp>
        <tr r="F183" s="2"/>
      </tp>
      <tp t="s">
        <v>#N/A N/A</v>
        <stp/>
        <stp>##V3_BDPV12</stp>
        <stp>EXPE 200717C00120000 Equity</stp>
        <stp>Px Bid</stp>
        <stp>[Pricing File.xlsm]TotalReturnPricing!R905C6</stp>
        <tr r="F905" s="2"/>
      </tp>
      <tp>
        <v>5.34</v>
        <stp/>
        <stp>##V3_BDPV12</stp>
        <stp>IGT Equity</stp>
        <stp>Px Bid</stp>
        <stp>[Pricing File.xlsm]TotalReturnPricing!R323C6</stp>
        <tr r="F323" s="2"/>
      </tp>
      <tp t="s">
        <v>#N/A N/A</v>
        <stp/>
        <stp>##V3_BDPV12</stp>
        <stp>ITG Equity</stp>
        <stp>Px Bid</stp>
        <stp>[Pricing File.xlsm]TotalReturnPricing!R343C6</stp>
        <tr r="F343" s="2"/>
      </tp>
      <tp>
        <v>90.49</v>
        <stp/>
        <stp>##V3_BDPV12</stp>
        <stp>FDX Equity</stp>
        <stp>Px Bid</stp>
        <stp>[Pricing File.xlsm]TotalReturnPricing!R773C6</stp>
        <tr r="F773" s="2"/>
      </tp>
      <tp>
        <v>3.7</v>
        <stp/>
        <stp>##V3_BDPV12</stp>
        <stp>EZPW Equity</stp>
        <stp>Px Ask</stp>
        <stp>[Pricing File.xlsm]TotalReturnPricing!R208C7</stp>
        <tr r="G208" s="2"/>
      </tp>
      <tp>
        <v>50.8</v>
        <stp/>
        <stp>##V3_BDPV12</stp>
        <stp>DOX Equity</stp>
        <stp>Px Bid</stp>
        <stp>[Pricing File.xlsm]TotalReturnPricing!R613C6</stp>
        <tr r="F613" s="2"/>
      </tp>
      <tp>
        <v>0.29499999999999998</v>
        <stp/>
        <stp>##V3_BDPV12</stp>
        <stp>DNR Equity</stp>
        <stp>Px Bid</stp>
        <stp>[Pricing File.xlsm]TotalReturnPricing!R133C6</stp>
        <tr r="F133" s="2"/>
      </tp>
      <tp>
        <v>95</v>
        <stp/>
        <stp>##V3_BDPV12</stp>
        <stp>DIS Equity</stp>
        <stp>Px Bid</stp>
        <stp>[Pricing File.xlsm]TotalReturnPricing!R703C6</stp>
        <tr r="F703" s="2"/>
      </tp>
      <tp>
        <v>71.69</v>
        <stp/>
        <stp>##V3_BDPV12</stp>
        <stp>TWLO Equity</stp>
        <stp>Px Bid</stp>
        <stp>[Pricing File.xlsm]TotalReturnPricing!R403C6</stp>
        <tr r="F403" s="2"/>
      </tp>
      <tp>
        <v>95.7</v>
        <stp/>
        <stp>##V3_BDPV12</stp>
        <stp>SPLK Equity</stp>
        <stp>Px Bid</stp>
        <stp>[Pricing File.xlsm]TotalReturnPricing!R584C6</stp>
        <tr r="F584" s="2"/>
      </tp>
      <tp>
        <v>357.27</v>
        <stp/>
        <stp>##V3_BDPV12</stp>
        <stp>BLK Equity</stp>
        <stp>Px Bid</stp>
        <stp>[Pricing File.xlsm]TotalReturnPricing!R783C6</stp>
        <tr r="F783" s="2"/>
      </tp>
      <tp>
        <v>27.18</v>
        <stp/>
        <stp>##V3_BDPV12</stp>
        <stp>CAG Equity</stp>
        <stp>Px Bid</stp>
        <stp>[Pricing File.xlsm]TotalReturnPricing!R433C6</stp>
        <tr r="F433" s="2"/>
      </tp>
      <tp t="s">
        <v>#N/A N/A</v>
        <stp/>
        <stp>##V3_BDPV12</stp>
        <stp>CLD Equity</stp>
        <stp>Px Bid</stp>
        <stp>[Pricing File.xlsm]TotalReturnPricing!R813C6</stp>
        <tr r="F813" s="2"/>
      </tp>
      <tp>
        <v>3.97</v>
        <stp/>
        <stp>##V3_BDPV12</stp>
        <stp>CLF Equity</stp>
        <stp>Px Bid</stp>
        <stp>[Pricing File.xlsm]TotalReturnPricing!R203C6</stp>
        <tr r="F203" s="2"/>
      </tp>
      <tp>
        <v>6.06</v>
        <stp/>
        <stp>##V3_BDPV12</stp>
        <stp>CZR Equity</stp>
        <stp>Px Bid</stp>
        <stp>[Pricing File.xlsm]TotalReturnPricing!R803C6</stp>
        <tr r="F803" s="2"/>
      </tp>
      <tp>
        <v>124.29</v>
        <stp/>
        <stp>##V3_BDPV12</stp>
        <stp>CRM Equity</stp>
        <stp>Px Bid</stp>
        <stp>[Pricing File.xlsm]TotalReturnPricing!R673C6</stp>
        <tr r="F673" s="2"/>
      </tp>
      <tp>
        <v>6.5</v>
        <stp/>
        <stp>##V3_BDPV12</stp>
        <stp>RRTS Equity</stp>
        <stp>Px Bid</stp>
        <stp>[Pricing File.xlsm]TotalReturnPricing!R195C6</stp>
        <tr r="F195" s="2"/>
      </tp>
      <tp>
        <v>46.56</v>
        <stp/>
        <stp>##V3_BDPV12</stp>
        <stp>PRSC Equity</stp>
        <stp>Px Bid</stp>
        <stp>[Pricing File.xlsm]TotalReturnPricing!R547C6</stp>
        <tr r="F547" s="2"/>
      </tp>
      <tp>
        <v>67.349999999999994</v>
        <stp/>
        <stp>##V3_BDPV12</stp>
        <stp>TSCO Equity</stp>
        <stp>Px Bid</stp>
        <stp>[Pricing File.xlsm]TotalReturnPricing!R573C6</stp>
        <tr r="F573" s="2"/>
      </tp>
      <tp>
        <v>80.489999999999995</v>
        <stp/>
        <stp>##V3_BDPV12</stp>
        <stp>ABC Equity</stp>
        <stp>Px Bid</stp>
        <stp>[Pricing File.xlsm]TotalReturnPricing!R113C6</stp>
        <tr r="F113" s="2"/>
      </tp>
      <tp>
        <v>70.569999999999993</v>
        <stp/>
        <stp>##V3_BDPV12</stp>
        <stp>AMN Equity</stp>
        <stp>Px Bid</stp>
        <stp>[Pricing File.xlsm]TotalReturnPricing!R463C6</stp>
        <tr r="F463" s="2"/>
      </tp>
      <tp>
        <v>202.74</v>
        <stp/>
        <stp>##V3_BDPV12</stp>
        <stp>AMT Equity</stp>
        <stp>Px Bid</stp>
        <stp>[Pricing File.xlsm]TotalReturnPricing!R733C6</stp>
        <tr r="F733" s="2"/>
      </tp>
      <tp>
        <v>85.86</v>
        <stp/>
        <stp>##V3_BDPV12</stp>
        <stp>AXP Equity</stp>
        <stp>Px Bid</stp>
        <stp>[Pricing File.xlsm]TotalReturnPricing!R663C6</stp>
        <tr r="F663" s="2"/>
      </tp>
      <tp>
        <v>1.66</v>
        <stp/>
        <stp>##V3_BDPV12</stp>
        <stp>MCHX Equity</stp>
        <stp>Px Ask</stp>
        <stp>[Pricing File.xlsm]TotalReturnPricing!R150C7</stp>
        <tr r="G150" s="2"/>
      </tp>
      <tp>
        <v>3.95</v>
        <stp/>
        <stp>##V3_BDPV12</stp>
        <stp>RLGY Equity</stp>
        <stp>Px Bid</stp>
        <stp>[Pricing File.xlsm]TotalReturnPricing!R135C6</stp>
        <tr r="F135" s="2"/>
      </tp>
      <tp>
        <v>296.83999999999997</v>
        <stp/>
        <stp>##V3_BDPV12</stp>
        <stp>NFLX Equity</stp>
        <stp>Px Ask</stp>
        <stp>[Pricing File.xlsm]TotalReturnPricing!R763C7</stp>
        <tr r="G763" s="2"/>
      </tp>
      <tp>
        <v>6.1</v>
        <stp/>
        <stp>##V3_BDPV12</stp>
        <stp>VG Equity</stp>
        <stp>Px Ask</stp>
        <stp>[Pricing File.xlsm]TotalReturnPricing!R193C7</stp>
        <tr r="G193" s="2"/>
      </tp>
      <tp>
        <v>23.66</v>
        <stp/>
        <stp>##V3_BDPV12</stp>
        <stp>FL Equity</stp>
        <stp>Px Ask</stp>
        <stp>[Pricing File.xlsm]TotalReturnPricing!R523C7</stp>
        <tr r="G523" s="2"/>
      </tp>
      <tp>
        <v>6.66</v>
        <stp/>
        <stp>##V3_BDPV12</stp>
        <stp>GE Equity</stp>
        <stp>Px Ask</stp>
        <stp>[Pricing File.xlsm]TotalReturnPricing!R373C7</stp>
        <tr r="G373" s="2"/>
      </tp>
      <tp>
        <v>121.92</v>
        <stp/>
        <stp>##V3_BDPV12</stp>
        <stp>LH Equity</stp>
        <stp>Px Ask</stp>
        <stp>[Pricing File.xlsm]TotalReturnPricing!R753C7</stp>
        <tr r="G753" s="2"/>
      </tp>
      <tp>
        <v>45.44</v>
        <stp/>
        <stp>##V3_BDPV12</stp>
        <stp>SEIC Equity</stp>
        <stp>Px Bid</stp>
        <stp>[Pricing File.xlsm]TotalReturnPricing!R564C6</stp>
        <tr r="F564" s="2"/>
      </tp>
      <tp t="s">
        <v>#N/A N/A</v>
        <stp/>
        <stp>##V3_BDPV12</stp>
        <stp>WEX 200221C00210000 Equity</stp>
        <stp>Px Bid</stp>
        <stp>[Pricing File.xlsm]TotalReturnPricing!R861C6</stp>
        <tr r="F861" s="2"/>
      </tp>
      <tp t="s">
        <v>#N/A Invalid Security</v>
        <stp/>
        <stp>##V3_BDPV12</stp>
        <stp>HOG6 Comdty</stp>
        <stp>Px Ask</stp>
        <stp>[Pricing File.xlsm]TotalReturnPricing!R848C7</stp>
        <tr r="G848" s="2"/>
      </tp>
      <tp t="s">
        <v>#N/A N/A</v>
        <stp/>
        <stp>##V3_BDPV12</stp>
        <stp>TRK Equity</stp>
        <stp>Px Bid</stp>
        <stp>[Pricing File.xlsm]TotalReturnPricing!R333C6</stp>
        <tr r="F333" s="2"/>
      </tp>
      <tp>
        <v>2.2400000000000002</v>
        <stp/>
        <stp>##V3_BDPV12</stp>
        <stp>UMC Equity</stp>
        <stp>Px Bid</stp>
        <stp>[Pricing File.xlsm]TotalReturnPricing!R143C6</stp>
        <tr r="F143" s="2"/>
      </tp>
      <tp>
        <v>32.56</v>
        <stp/>
        <stp>##V3_BDPV12</stp>
        <stp>USB Equity</stp>
        <stp>Px Bid</stp>
        <stp>[Pricing File.xlsm]TotalReturnPricing!R553C6</stp>
        <tr r="F553" s="2"/>
      </tp>
      <tp>
        <v>29.94</v>
        <stp/>
        <stp>##V3_BDPV12</stp>
        <stp>RCL Equity</stp>
        <stp>Px Bid</stp>
        <stp>[Pricing File.xlsm]TotalReturnPricing!R713C6</stp>
        <tr r="F713" s="2"/>
      </tp>
      <tp>
        <v>24.08</v>
        <stp/>
        <stp>##V3_BDPV12</stp>
        <stp>RHP Equity</stp>
        <stp>Px Bid</stp>
        <stp>[Pricing File.xlsm]TotalReturnPricing!R593C6</stp>
        <tr r="F593" s="2"/>
      </tp>
      <tp>
        <v>13.73</v>
        <stp/>
        <stp>##V3_BDPV12</stp>
        <stp>SAH Equity</stp>
        <stp>Px Bid</stp>
        <stp>[Pricing File.xlsm]TotalReturnPricing!R313C6</stp>
        <tr r="F313" s="2"/>
      </tp>
      <tp>
        <v>47.72</v>
        <stp/>
        <stp>##V3_BDPV12</stp>
        <stp>STT Equity</stp>
        <stp>Px Bid</stp>
        <stp>[Pricing File.xlsm]TotalReturnPricing!R683C6</stp>
        <tr r="F683" s="2"/>
      </tp>
      <tp>
        <v>0.28999999999999998</v>
        <stp/>
        <stp>##V3_BDPV12</stp>
        <stp>USB3MTA Index</stp>
        <stp>Px Last</stp>
        <stp>[Pricing File.xlsm]TotalReturnPricing!R129C5</stp>
        <tr r="E129" s="2"/>
      </tp>
      <tp>
        <v>20.28</v>
        <stp/>
        <stp>##V3_BDPV12</stp>
        <stp>UBER Equity</stp>
        <stp>Px Bid</stp>
        <stp>[Pricing File.xlsm]TotalReturnPricing!R842C6</stp>
        <tr r="F842" s="2"/>
      </tp>
      <tp>
        <v>9.6199999999999992</v>
        <stp/>
        <stp>##V3_BDPV12</stp>
        <stp>IMMU Equity</stp>
        <stp>Px Ask</stp>
        <stp>[Pricing File.xlsm]TotalReturnPricing!R214C7</stp>
        <tr r="G214" s="2"/>
      </tp>
      <tp>
        <v>65.790000000000006</v>
        <stp/>
        <stp>##V3_BDPV12</stp>
        <stp>OMCL Equity</stp>
        <stp>Px Ask</stp>
        <stp>[Pricing File.xlsm]TotalReturnPricing!R492C7</stp>
        <tr r="G492" s="2"/>
      </tp>
      <tp t="s">
        <v>#N/A N/A</v>
        <stp/>
        <stp>##V3_BDPV12</stp>
        <stp>PJC Equity</stp>
        <stp>Px Bid</stp>
        <stp>[Pricing File.xlsm]TotalReturnPricing!R603C6</stp>
        <tr r="F603" s="2"/>
      </tp>
      <tp>
        <v>16.14</v>
        <stp/>
        <stp>##V3_BDPV12</stp>
        <stp>PPC Equity</stp>
        <stp>Px Bid</stp>
        <stp>[Pricing File.xlsm]TotalReturnPricing!R363C6</stp>
        <tr r="F363" s="2"/>
      </tp>
      <tp>
        <v>22.53</v>
        <stp/>
        <stp>##V3_BDPV12</stp>
        <stp>TCOM Equity</stp>
        <stp>Px Bid</stp>
        <stp>[Pricing File.xlsm]TotalReturnPricing!R843C6</stp>
        <tr r="F843" s="2"/>
      </tp>
      <tp>
        <v>30.57</v>
        <stp/>
        <stp>##V3_BDPV12</stp>
        <stp>SCHW Equity</stp>
        <stp>Px Bid</stp>
        <stp>[Pricing File.xlsm]TotalReturnPricing!R844C6</stp>
        <tr r="F844" s="2"/>
      </tp>
      <tp t="s">
        <v>#N/A Field Not Applicable</v>
        <stp/>
        <stp>##V3_BDPV12</stp>
        <stp>MB Equity</stp>
        <stp>OPT_DELTA</stp>
        <stp>[Pricing File.xlsm]TotalReturnPricing!R370C8</stp>
        <tr r="H370" s="2"/>
      </tp>
      <tp t="s">
        <v>#N/A Field Not Applicable</v>
        <stp/>
        <stp>##V3_BDPV12</stp>
        <stp>S Equity</stp>
        <stp>OPT_DELTA</stp>
        <stp>[Pricing File.xlsm]TotalReturnPricing!R212C8</stp>
        <tr r="H212" s="2"/>
      </tp>
      <tp>
        <v>51.65</v>
        <stp/>
        <stp>##V3_BDPV12</stp>
        <stp>HSIC Equity</stp>
        <stp>Px Ask</stp>
        <stp>[Pricing File.xlsm]TotalReturnPricing!R764C7</stp>
        <tr r="G764" s="2"/>
      </tp>
      <tp t="s">
        <v>#N/A N/A</v>
        <stp/>
        <stp>##V3_BDPV12</stp>
        <stp>ISCA Equity</stp>
        <stp>Px Ask</stp>
        <stp>[Pricing File.xlsm]TotalReturnPricing!R445C7</stp>
        <tr r="G445" s="2"/>
      </tp>
      <tp>
        <v>0.78420000000000001</v>
        <stp/>
        <stp>##V3_BDPV12</stp>
        <stp>NOG Equity</stp>
        <stp>Px Bid</stp>
        <stp>[Pricing File.xlsm]TotalReturnPricing!R132C6</stp>
        <tr r="F132" s="2"/>
      </tp>
      <tp>
        <v>126.44</v>
        <stp/>
        <stp>##V3_BDPV12</stp>
        <stp>NSC Equity</stp>
        <stp>Px Bid</stp>
        <stp>[Pricing File.xlsm]TotalReturnPricing!R712C6</stp>
        <tr r="F712" s="2"/>
      </tp>
      <tp>
        <v>17.05</v>
        <stp/>
        <stp>##V3_BDPV12</stp>
        <stp>MRTN Equity</stp>
        <stp>Px Ask</stp>
        <stp>[Pricing File.xlsm]TotalReturnPricing!R281C7</stp>
        <tr r="G281" s="2"/>
      </tp>
      <tp>
        <v>42.73</v>
        <stp/>
        <stp>##V3_BDPV12</stp>
        <stp>ORCL Equity</stp>
        <stp>Px Ask</stp>
        <stp>[Pricing File.xlsm]TotalReturnPricing!R543C7</stp>
        <tr r="G543" s="2"/>
      </tp>
      <tp>
        <v>1.74</v>
        <stp/>
        <stp>##V3_BDPV12</stp>
        <stp>OPK Equity</stp>
        <stp>Px Bid</stp>
        <stp>[Pricing File.xlsm]TotalReturnPricing!R182C6</stp>
        <tr r="F182" s="2"/>
      </tp>
      <tp>
        <v>20.68</v>
        <stp/>
        <stp>##V3_BDPV12</stp>
        <stp>MLI Equity</stp>
        <stp>Px Bid</stp>
        <stp>[Pricing File.xlsm]TotalReturnPricing!R412C6</stp>
        <tr r="F412" s="2"/>
      </tp>
      <tp>
        <v>99.53</v>
        <stp/>
        <stp>##V3_BDPV12</stp>
        <stp>MTB Equity</stp>
        <stp>Px Bid</stp>
        <stp>[Pricing File.xlsm]TotalReturnPricing!R752C6</stp>
        <tr r="F752" s="2"/>
      </tp>
      <tp>
        <v>5.5</v>
        <stp/>
        <stp>##V3_BDPV12</stp>
        <stp>HLT 200417C00075000 Equity</stp>
        <stp>Px Bid</stp>
        <stp>[Pricing File.xlsm]TotalReturnPricing!R913C6</stp>
        <tr r="F913" s="2"/>
      </tp>
      <tp>
        <v>0.15</v>
        <stp/>
        <stp>##V3_BDPV12</stp>
        <stp>HTZ 210115C00017000 Equity</stp>
        <stp>Px Bid</stp>
        <stp>[Pricing File.xlsm]TotalReturnPricing!R854C6</stp>
        <tr r="F854" s="2"/>
      </tp>
      <tp>
        <v>15.02</v>
        <stp/>
        <stp>##V3_BDPV12</stp>
        <stp>NUAN Equity</stp>
        <stp>Px Ask</stp>
        <stp>[Pricing File.xlsm]TotalReturnPricing!R292C7</stp>
        <tr r="G292" s="2"/>
      </tp>
      <tp>
        <v>5.34</v>
        <stp/>
        <stp>##V3_BDPV12</stp>
        <stp>IGT Equity</stp>
        <stp>Px Bid</stp>
        <stp>[Pricing File.xlsm]TotalReturnPricing!R322C6</stp>
        <tr r="F322" s="2"/>
      </tp>
      <tp t="s">
        <v>#N/A N/A</v>
        <stp/>
        <stp>##V3_BDPV12</stp>
        <stp>IGT 200320C00014000 Equity</stp>
        <stp>Px Bid</stp>
        <stp>[Pricing File.xlsm]TotalReturnPricing!R875C6</stp>
        <tr r="F875" s="2"/>
      </tp>
      <tp t="s">
        <v>#N/A N/A</v>
        <stp/>
        <stp>##V3_BDPV12</stp>
        <stp>ITG Equity</stp>
        <stp>Px Bid</stp>
        <stp>[Pricing File.xlsm]TotalReturnPricing!R342C6</stp>
        <tr r="F342" s="2"/>
      </tp>
      <tp>
        <v>240.12</v>
        <stp/>
        <stp>##V3_BDPV12</stp>
        <stp>IVV Equity</stp>
        <stp>Px Bid</stp>
        <stp>[Pricing File.xlsm]TotalReturnPricing!R832C6</stp>
        <tr r="F832" s="2"/>
      </tp>
      <tp>
        <v>108</v>
        <stp/>
        <stp>##V3_BDPV12</stp>
        <stp>TTWO Equity</stp>
        <stp>Px Bid</stp>
        <stp>[Pricing File.xlsm]TotalReturnPricing!R652C6</stp>
        <tr r="F652" s="2"/>
      </tp>
      <tp>
        <v>79.430000000000007</v>
        <stp/>
        <stp>##V3_BDPV12</stp>
        <stp>UTHR Equity</stp>
        <stp>Px Bid</stp>
        <stp>[Pricing File.xlsm]TotalReturnPricing!R723C6</stp>
        <tr r="F723" s="2"/>
      </tp>
      <tp>
        <v>70.97</v>
        <stp/>
        <stp>##V3_BDPV12</stp>
        <stp>FMC Equity</stp>
        <stp>Px Bid</stp>
        <stp>[Pricing File.xlsm]TotalReturnPricing!R642C6</stp>
        <tr r="F642" s="2"/>
      </tp>
      <tp>
        <v>29.83</v>
        <stp/>
        <stp>##V3_BDPV12</stp>
        <stp>FND Equity</stp>
        <stp>Px Bid</stp>
        <stp>[Pricing File.xlsm]TotalReturnPricing!R462C6</stp>
        <tr r="F462" s="2"/>
      </tp>
      <tp>
        <v>86.38</v>
        <stp/>
        <stp>##V3_BDPV12</stp>
        <stp>DGX Equity</stp>
        <stp>Px Bid</stp>
        <stp>[Pricing File.xlsm]TotalReturnPricing!R702C6</stp>
        <tr r="F702" s="2"/>
      </tp>
      <tp>
        <v>8.68</v>
        <stp/>
        <stp>##V3_BDPV12</stp>
        <stp>EQT Equity</stp>
        <stp>Px Bid</stp>
        <stp>[Pricing File.xlsm]TotalReturnPricing!R612C6</stp>
        <tr r="F612" s="2"/>
      </tp>
      <tp>
        <v>1.92</v>
        <stp/>
        <stp>##V3_BDPV12</stp>
        <stp>BBW Equity</stp>
        <stp>Px Bid</stp>
        <stp>[Pricing File.xlsm]TotalReturnPricing!R222C6</stp>
        <tr r="F222" s="2"/>
      </tp>
      <tp>
        <v>0.05</v>
        <stp/>
        <stp>##V3_BDPV12</stp>
        <stp>ALK 200417C00070000 Equity</stp>
        <stp>Px Bid</stp>
        <stp>[Pricing File.xlsm]TotalReturnPricing!R866C6</stp>
        <tr r="F866" s="2"/>
      </tp>
      <tp>
        <v>20.43</v>
        <stp/>
        <stp>##V3_BDPV12</stp>
        <stp>BAC Equity</stp>
        <stp>Px Bid</stp>
        <stp>[Pricing File.xlsm]TotalReturnPricing!R362C6</stp>
        <tr r="F362" s="2"/>
      </tp>
      <tp>
        <v>44.97</v>
        <stp/>
        <stp>##V3_BDPV12</stp>
        <stp>CLH Equity</stp>
        <stp>Px Bid</stp>
        <stp>[Pricing File.xlsm]TotalReturnPricing!R572C6</stp>
        <tr r="F572" s="2"/>
      </tp>
      <tp>
        <v>44.21</v>
        <stp/>
        <stp>##V3_BDPV12</stp>
        <stp>CAH Equity</stp>
        <stp>Px Bid</stp>
        <stp>[Pricing File.xlsm]TotalReturnPricing!R822C6</stp>
        <tr r="F822" s="2"/>
      </tp>
      <tp>
        <v>15.78</v>
        <stp/>
        <stp>##V3_BDPV12</stp>
        <stp>CAE Equity</stp>
        <stp>Px Bid</stp>
        <stp>[Pricing File.xlsm]TotalReturnPricing!R812C6</stp>
        <tr r="F812" s="2"/>
      </tp>
      <tp>
        <v>148.53</v>
        <stp/>
        <stp>##V3_BDPV12</stp>
        <stp>CME Equity</stp>
        <stp>Px Bid</stp>
        <stp>[Pricing File.xlsm]TotalReturnPricing!R722C6</stp>
        <tr r="F722" s="2"/>
      </tp>
      <tp>
        <v>46.56</v>
        <stp/>
        <stp>##V3_BDPV12</stp>
        <stp>PRSC Equity</stp>
        <stp>Px Bid</stp>
        <stp>[Pricing File.xlsm]TotalReturnPricing!R546C6</stp>
        <tr r="F546" s="2"/>
      </tp>
      <tp>
        <v>15.47</v>
        <stp/>
        <stp>##V3_BDPV12</stp>
        <stp>ABB Equity</stp>
        <stp>Px Bid</stp>
        <stp>[Pricing File.xlsm]TotalReturnPricing!R112C6</stp>
        <tr r="F112" s="2"/>
      </tp>
      <tp>
        <v>5.45</v>
        <stp/>
        <stp>##V3_BDPV12</stp>
        <stp>APA Equity</stp>
        <stp>Px Bid</stp>
        <stp>[Pricing File.xlsm]TotalReturnPricing!R542C6</stp>
        <tr r="F542" s="2"/>
      </tp>
      <tp>
        <v>85.86</v>
        <stp/>
        <stp>##V3_BDPV12</stp>
        <stp>AXP Equity</stp>
        <stp>Px Bid</stp>
        <stp>[Pricing File.xlsm]TotalReturnPricing!R662C6</stp>
        <tr r="F662" s="2"/>
      </tp>
      <tp>
        <v>34.58</v>
        <stp/>
        <stp>##V3_BDPV12</stp>
        <stp>ECPG Equity</stp>
        <stp>Px Ask</stp>
        <stp>[Pricing File.xlsm]TotalReturnPricing!R479C7</stp>
        <tr r="G479" s="2"/>
      </tp>
      <tp t="s">
        <v>#N/A N/A</v>
        <stp/>
        <stp>##V3_BDPV12</stp>
        <stp>OCLR Equity</stp>
        <stp>Px Ask</stp>
        <stp>[Pricing File.xlsm]TotalReturnPricing!R223C7</stp>
        <tr r="G223" s="2"/>
      </tp>
      <tp>
        <v>32.24</v>
        <stp/>
        <stp>##V3_BDPV12</stp>
        <stp>EBAY Equity</stp>
        <stp>Px Ask</stp>
        <stp>[Pricing File.xlsm]TotalReturnPricing!R449C7</stp>
        <tr r="G449" s="2"/>
      </tp>
      <tp>
        <v>8.48</v>
        <stp/>
        <stp>##V3_BDPV12</stp>
        <stp>HBAN Equity</stp>
        <stp>Px Ask</stp>
        <stp>[Pricing File.xlsm]TotalReturnPricing!R254C7</stp>
        <tr r="G254" s="2"/>
      </tp>
      <tp>
        <v>0.05</v>
        <stp/>
        <stp>##V3_BDPV12</stp>
        <stp>SAVE 200320C00045000 Equity</stp>
        <stp>Px Ask</stp>
        <stp>[Pricing File.xlsm]TotalReturnPricing!R889C7</stp>
        <tr r="G889" s="2"/>
      </tp>
      <tp>
        <v>0.34</v>
        <stp/>
        <stp>##V3_BDPV12</stp>
        <stp>JAKK Equity</stp>
        <stp>Px Ask</stp>
        <stp>[Pricing File.xlsm]TotalReturnPricing!R156C7</stp>
        <tr r="G156" s="2"/>
      </tp>
      <tp>
        <v>6.66</v>
        <stp/>
        <stp>##V3_BDPV12</stp>
        <stp>GE Equity</stp>
        <stp>Px Ask</stp>
        <stp>[Pricing File.xlsm]TotalReturnPricing!R372C7</stp>
        <tr r="G372" s="2"/>
      </tp>
      <tp>
        <v>7.96</v>
        <stp/>
        <stp>##V3_BDPV12</stp>
        <stp>LC Equity</stp>
        <stp>Px Ask</stp>
        <stp>[Pricing File.xlsm]TotalReturnPricing!R792C7</stp>
        <tr r="G792" s="2"/>
      </tp>
      <tp>
        <v>31.66</v>
        <stp/>
        <stp>##V3_BDPV12</stp>
        <stp>MS Equity</stp>
        <stp>Px Ask</stp>
        <stp>[Pricing File.xlsm]TotalReturnPricing!R522C7</stp>
        <tr r="G522" s="2"/>
      </tp>
      <tp>
        <v>5.19</v>
        <stp/>
        <stp>##V3_BDPV12</stp>
        <stp>MDRX Equity</stp>
        <stp>Px Ask</stp>
        <stp>[Pricing File.xlsm]TotalReturnPricing!R241C7</stp>
        <tr r="G241" s="2"/>
      </tp>
      <tp>
        <v>3.4</v>
        <stp/>
        <stp>##V3_BDPV12</stp>
        <stp>UAL 200417C00045000 Equity</stp>
        <stp>Px Bid</stp>
        <stp>[Pricing File.xlsm]TotalReturnPricing!R923C6</stp>
        <tr r="F923" s="2"/>
      </tp>
      <tp>
        <v>18.72</v>
        <stp/>
        <stp>##V3_BDPV12</stp>
        <stp>VPG Equity</stp>
        <stp>Px Bid</stp>
        <stp>[Pricing File.xlsm]TotalReturnPricing!R302C6</stp>
        <tr r="F302" s="2"/>
      </tp>
      <tp>
        <v>29.34</v>
        <stp/>
        <stp>##V3_BDPV12</stp>
        <stp>WERN Equity</stp>
        <stp>Px Bid</stp>
        <stp>[Pricing File.xlsm]TotalReturnPricing!R401C6</stp>
        <tr r="F401" s="2"/>
      </tp>
      <tp t="s">
        <v>#N/A N/A</v>
        <stp/>
        <stp>##V3_BDPV12</stp>
        <stp>WCG Equity</stp>
        <stp>Px Bid</stp>
        <stp>[Pricing File.xlsm]TotalReturnPricing!R762C6</stp>
        <tr r="F762" s="2"/>
      </tp>
      <tp>
        <v>12.34</v>
        <stp/>
        <stp>##V3_BDPV12</stp>
        <stp>WEN Equity</stp>
        <stp>Px Bid</stp>
        <stp>[Pricing File.xlsm]TotalReturnPricing!R282C6</stp>
        <tr r="F282" s="2"/>
      </tp>
      <tp>
        <v>23.7</v>
        <stp/>
        <stp>##V3_BDPV12</stp>
        <stp>WBS Equity</stp>
        <stp>Px Bid</stp>
        <stp>[Pricing File.xlsm]TotalReturnPricing!R552C6</stp>
        <tr r="F552" s="2"/>
      </tp>
      <tp>
        <v>87.86</v>
        <stp/>
        <stp>##V3_BDPV12</stp>
        <stp>WIX Equity</stp>
        <stp>Px Bid</stp>
        <stp>[Pricing File.xlsm]TotalReturnPricing!R632C6</stp>
        <tr r="F632" s="2"/>
      </tp>
      <tp>
        <v>30.04</v>
        <stp/>
        <stp>##V3_BDPV12</stp>
        <stp>WMS Equity</stp>
        <stp>Px Bid</stp>
        <stp>[Pricing File.xlsm]TotalReturnPricing!R332C6</stp>
        <tr r="F332" s="2"/>
      </tp>
      <tp t="s">
        <v>#N/A Invalid Security</v>
        <stp/>
        <stp>##V3_BDPV12</stp>
        <stp>HOG7 Comdty</stp>
        <stp>Px Ask</stp>
        <stp>[Pricing File.xlsm]TotalReturnPricing!R849C7</stp>
        <tr r="G849" s="2"/>
      </tp>
      <tp t="s">
        <v>#N/A N/A</v>
        <stp/>
        <stp>##V3_BDPV12</stp>
        <stp>SFLY Equity</stp>
        <stp>Px Bid</stp>
        <stp>[Pricing File.xlsm]TotalReturnPricing!R535C6</stp>
        <tr r="F535" s="2"/>
      </tp>
      <tp>
        <v>1.69</v>
        <stp/>
        <stp>##V3_BDPV12</stp>
        <stp>TWI Equity</stp>
        <stp>Px Bid</stp>
        <stp>[Pricing File.xlsm]TotalReturnPricing!R252C6</stp>
        <tr r="F252" s="2"/>
      </tp>
      <tp>
        <v>1.26</v>
        <stp/>
        <stp>##V3_BDPV12</stp>
        <stp>MOSY Equity</stp>
        <stp>Px Ask</stp>
        <stp>[Pricing File.xlsm]TotalReturnPricing!R131C7</stp>
        <tr r="G131" s="2"/>
      </tp>
      <tp>
        <v>1.97</v>
        <stp/>
        <stp>##V3_BDPV12</stp>
        <stp>RLH Equity</stp>
        <stp>Px Bid</stp>
        <stp>[Pricing File.xlsm]TotalReturnPricing!R202C6</stp>
        <tr r="F202" s="2"/>
      </tp>
      <tp>
        <v>25.05</v>
        <stp/>
        <stp>##V3_BDPV12</stp>
        <stp>ENSG Equity</stp>
        <stp>Px Ask</stp>
        <stp>[Pricing File.xlsm]TotalReturnPricing!R349C7</stp>
        <tr r="G349" s="2"/>
      </tp>
      <tp>
        <v>7.89</v>
        <stp/>
        <stp>##V3_BDPV12</stp>
        <stp>VALE Equity</stp>
        <stp>Px Bid</stp>
        <stp>[Pricing File.xlsm]TotalReturnPricing!R220C6</stp>
        <tr r="F220" s="2"/>
      </tp>
      <tp>
        <v>6.42</v>
        <stp/>
        <stp>##V3_BDPV12</stp>
        <stp>SABR Equity</stp>
        <stp>Px Bid</stp>
        <stp>[Pricing File.xlsm]TotalReturnPricing!R845C6</stp>
        <tr r="F845" s="2"/>
      </tp>
      <tp>
        <v>20.91</v>
        <stp/>
        <stp>##V3_BDPV12</stp>
        <stp>SEE Equity</stp>
        <stp>Px Bid</stp>
        <stp>[Pricing File.xlsm]TotalReturnPricing!R502C6</stp>
        <tr r="F502" s="2"/>
      </tp>
      <tp>
        <v>13.73</v>
        <stp/>
        <stp>##V3_BDPV12</stp>
        <stp>SAH Equity</stp>
        <stp>Px Bid</stp>
        <stp>[Pricing File.xlsm]TotalReturnPricing!R312C6</stp>
        <tr r="F312" s="2"/>
      </tp>
      <tp>
        <v>21.2</v>
        <stp/>
        <stp>##V3_BDPV12</stp>
        <stp>SKX Equity</stp>
        <stp>Px Bid</stp>
        <stp>[Pricing File.xlsm]TotalReturnPricing!R392C6</stp>
        <tr r="F392" s="2"/>
      </tp>
      <tp>
        <v>406.07</v>
        <stp/>
        <stp>##V3_BDPV12</stp>
        <stp>SHW Equity</stp>
        <stp>Px Bid</stp>
        <stp>[Pricing File.xlsm]TotalReturnPricing!R782C6</stp>
        <tr r="F782" s="2"/>
      </tp>
      <tp>
        <v>41.43</v>
        <stp/>
        <stp>##V3_BDPV12</stp>
        <stp>STX Equity</stp>
        <stp>Px Bid</stp>
        <stp>[Pricing File.xlsm]TotalReturnPricing!R422C6</stp>
        <tr r="F422" s="2"/>
      </tp>
      <tp>
        <v>9.15</v>
        <stp/>
        <stp>##V3_BDPV12</stp>
        <stp>IMAX Equity</stp>
        <stp>Px Ask</stp>
        <stp>[Pricing File.xlsm]TotalReturnPricing!R335C7</stp>
        <tr r="G335" s="2"/>
      </tp>
      <tp t="s">
        <v>#N/A N/A</v>
        <stp/>
        <stp>##V3_BDPV12</stp>
        <stp>BCEI 200221C00025000 Equity</stp>
        <stp>Px Bid</stp>
        <stp>[Pricing File.xlsm]TotalReturnPricing!R883C6</stp>
        <tr r="F883" s="2"/>
      </tp>
      <tp>
        <v>38.58</v>
        <stp/>
        <stp>##V3_BDPV12</stp>
        <stp>OLLI Equity</stp>
        <stp>Px Ask</stp>
        <stp>[Pricing File.xlsm]TotalReturnPricing!R503C7</stp>
        <tr r="G503" s="2"/>
      </tp>
      <tp>
        <v>17.010000000000002</v>
        <stp/>
        <stp>##V3_BDPV12</stp>
        <stp>UCBI Equity</stp>
        <stp>Px Bid</stp>
        <stp>[Pricing File.xlsm]TotalReturnPricing!R393C6</stp>
        <tr r="F393" s="2"/>
      </tp>
      <tp>
        <v>7.3599999999999999E-2</v>
        <stp/>
        <stp>##V3_BDPV12</stp>
        <stp>ent Equity</stp>
        <stp>Px Bid</stp>
        <stp>[Pricing File.xlsm]TotalReturnPricing!R152C6</stp>
        <tr r="F152" s="2"/>
      </tp>
      <tp t="s">
        <v>#N/A Field Not Applicable</v>
        <stp/>
        <stp>##V3_BDPV12</stp>
        <stp>MC Equity</stp>
        <stp>OPT_DELTA</stp>
        <stp>[Pricing File.xlsm]TotalReturnPricing!R480C8</stp>
        <tr r="H480" s="2"/>
      </tp>
      <tp>
        <v>704</v>
        <stp/>
        <stp>##V3_BDPV12</stp>
        <stp>7752 JP Equity</stp>
        <stp>Px Last</stp>
        <stp>[Pricing File.xlsm]TotalReturnPricing!R808C5</stp>
        <tr r="E808" s="2"/>
      </tp>
      <tp t="s">
        <v>#N/A Field Not Applicable</v>
        <stp/>
        <stp>##V3_BDPV12</stp>
        <stp>T Equity</stp>
        <stp>OPT_DELTA</stp>
        <stp>[Pricing File.xlsm]TotalReturnPricing!R476C8</stp>
        <tr r="H476" s="2"/>
      </tp>
      <tp t="s">
        <v>#N/A N/A</v>
        <stp/>
        <stp>##V3_BDPV12</stp>
        <stp>LYFT 200221P00042500 Equity</stp>
        <stp>Px Bid</stp>
        <stp>[Pricing File.xlsm]TotalReturnPricing!R879C6</stp>
        <tr r="F879" s="2"/>
      </tp>
      <tp t="s">
        <v>#N/A N/A</v>
        <stp/>
        <stp>##V3_BDPV12</stp>
        <stp>NCI Equity</stp>
        <stp>Px Bid</stp>
        <stp>[Pricing File.xlsm]TotalReturnPricing!R321C6</stp>
        <tr r="F321" s="2"/>
      </tp>
      <tp>
        <v>12.27</v>
        <stp/>
        <stp>##V3_BDPV12</stp>
        <stp>NWL Equity</stp>
        <stp>Px Bid</stp>
        <stp>[Pricing File.xlsm]TotalReturnPricing!R551C6</stp>
        <tr r="F551" s="2"/>
      </tp>
      <tp>
        <v>126.44</v>
        <stp/>
        <stp>##V3_BDPV12</stp>
        <stp>NSC Equity</stp>
        <stp>Px Bid</stp>
        <stp>[Pricing File.xlsm]TotalReturnPricing!R711C6</stp>
        <tr r="F711" s="2"/>
      </tp>
      <tp>
        <v>299.64999999999998</v>
        <stp/>
        <stp>##V3_BDPV12</stp>
        <stp>ORLY Equity</stp>
        <stp>Px Ask</stp>
        <stp>[Pricing File.xlsm]TotalReturnPricing!R770C7</stp>
        <tr r="G770" s="2"/>
      </tp>
      <tp>
        <v>53.74</v>
        <stp/>
        <stp>##V3_BDPV12</stp>
        <stp>OSK Equity</stp>
        <stp>Px Bid</stp>
        <stp>[Pricing File.xlsm]TotalReturnPricing!R621C6</stp>
        <tr r="F621" s="2"/>
      </tp>
      <tp>
        <v>54.11</v>
        <stp/>
        <stp>##V3_BDPV12</stp>
        <stp>SYNA Equity</stp>
        <stp>Px Bid</stp>
        <stp>[Pricing File.xlsm]TotalReturnPricing!R566C6</stp>
        <tr r="F566" s="2"/>
      </tp>
      <tp>
        <v>36.700000000000003</v>
        <stp/>
        <stp>##V3_BDPV12</stp>
        <stp>KEX Equity</stp>
        <stp>Px Bid</stp>
        <stp>[Pricing File.xlsm]TotalReturnPricing!R591C6</stp>
        <tr r="F591" s="2"/>
      </tp>
      <tp>
        <v>54.94</v>
        <stp/>
        <stp>##V3_BDPV12</stp>
        <stp>KMX Equity</stp>
        <stp>Px Bid</stp>
        <stp>[Pricing File.xlsm]TotalReturnPricing!R611C6</stp>
        <tr r="F611" s="2"/>
      </tp>
      <tp>
        <v>0.15</v>
        <stp/>
        <stp>##V3_BDPV12</stp>
        <stp>HTZ 210115C00025000 Equity</stp>
        <stp>Px Bid</stp>
        <stp>[Pricing File.xlsm]TotalReturnPricing!R855C6</stp>
        <tr r="F855" s="2"/>
      </tp>
      <tp>
        <v>149.75</v>
        <stp/>
        <stp>##V3_BDPV12</stp>
        <stp>IAC Equity</stp>
        <stp>Px Bid</stp>
        <stp>[Pricing File.xlsm]TotalReturnPricing!R701C6</stp>
        <tr r="F701" s="2"/>
      </tp>
      <tp>
        <v>103.3</v>
        <stp/>
        <stp>##V3_BDPV12</stp>
        <stp>IWM Equity</stp>
        <stp>Px Bid</stp>
        <stp>[Pricing File.xlsm]TotalReturnPricing!R831C6</stp>
        <tr r="F831" s="2"/>
      </tp>
      <tp>
        <v>24.54</v>
        <stp/>
        <stp>##V3_BDPV12</stp>
        <stp>FBC Equity</stp>
        <stp>Px Bid</stp>
        <stp>[Pricing File.xlsm]TotalReturnPricing!R421C6</stp>
        <tr r="F421" s="2"/>
      </tp>
      <tp>
        <v>1.32</v>
        <stp/>
        <stp>##V3_BDPV12</stp>
        <stp>DVD Equity</stp>
        <stp>Px Bid</stp>
        <stp>[Pricing File.xlsm]TotalReturnPricing!R141C6</stp>
        <tr r="F141" s="2"/>
      </tp>
      <tp>
        <v>17.75</v>
        <stp/>
        <stp>##V3_BDPV12</stp>
        <stp>BEN Equity</stp>
        <stp>Px Bid</stp>
        <stp>[Pricing File.xlsm]TotalReturnPricing!R511C6</stp>
        <tr r="F511" s="2"/>
      </tp>
      <tp>
        <v>63.83</v>
        <stp/>
        <stp>##V3_BDPV12</stp>
        <stp>BAH Equity</stp>
        <stp>Px Bid</stp>
        <stp>[Pricing File.xlsm]TotalReturnPricing!R431C6</stp>
        <tr r="F431" s="2"/>
      </tp>
      <tp>
        <v>57.29</v>
        <stp/>
        <stp>##V3_BDPV12</stp>
        <stp>BBY Equity</stp>
        <stp>Px Bid</stp>
        <stp>[Pricing File.xlsm]TotalReturnPricing!R571C6</stp>
        <tr r="F571" s="2"/>
      </tp>
      <tp>
        <v>1.52</v>
        <stp/>
        <stp>##V3_BDPV12</stp>
        <stp>BTN Equity</stp>
        <stp>Px Bid</stp>
        <stp>[Pricing File.xlsm]TotalReturnPricing!R191C6</stp>
        <tr r="F191" s="2"/>
      </tp>
      <tp>
        <v>10.81</v>
        <stp/>
        <stp>##V3_BDPV12</stp>
        <stp>BYD Equity</stp>
        <stp>Px Bid</stp>
        <stp>[Pricing File.xlsm]TotalReturnPricing!R371C6</stp>
        <tr r="F371" s="2"/>
      </tp>
      <tp>
        <v>0.44</v>
        <stp/>
        <stp>##V3_BDPV12</stp>
        <stp>CBL Equity</stp>
        <stp>Px Bid</stp>
        <stp>[Pricing File.xlsm]TotalReturnPricing!R221C6</stp>
        <tr r="F221" s="2"/>
      </tp>
      <tp>
        <v>44.21</v>
        <stp/>
        <stp>##V3_BDPV12</stp>
        <stp>CAH Equity</stp>
        <stp>Px Bid</stp>
        <stp>[Pricing File.xlsm]TotalReturnPricing!R641C6</stp>
        <tr r="F641" s="2"/>
      </tp>
      <tp>
        <v>148.53</v>
        <stp/>
        <stp>##V3_BDPV12</stp>
        <stp>CME Equity</stp>
        <stp>Px Bid</stp>
        <stp>[Pricing File.xlsm]TotalReturnPricing!R721C6</stp>
        <tr r="F721" s="2"/>
      </tp>
      <tp>
        <v>10.32</v>
        <stp/>
        <stp>##V3_BDPV12</stp>
        <stp>CNQ Equity</stp>
        <stp>Px Bid</stp>
        <stp>[Pricing File.xlsm]TotalReturnPricing!R411C6</stp>
        <tr r="F411" s="2"/>
      </tp>
      <tp>
        <v>26.1</v>
        <stp/>
        <stp>##V3_BDPV12</stp>
        <stp>COP Equity</stp>
        <stp>Px Bid</stp>
        <stp>[Pricing File.xlsm]TotalReturnPricing!R501C6</stp>
        <tr r="F501" s="2"/>
      </tp>
      <tp>
        <v>2.67</v>
        <stp/>
        <stp>##V3_BDPV12</stp>
        <stp>TRUE Equity</stp>
        <stp>Px Bid</stp>
        <stp>[Pricing File.xlsm]TotalReturnPricing!R311C6</stp>
        <tr r="F311" s="2"/>
      </tp>
      <tp>
        <v>15.91</v>
        <stp/>
        <stp>##V3_BDPV12</stp>
        <stp>AAL Equity</stp>
        <stp>Px Bid</stp>
        <stp>[Pricing File.xlsm]TotalReturnPricing!R541C6</stp>
        <tr r="F541" s="2"/>
      </tp>
      <tp>
        <v>32.520000000000003</v>
        <stp/>
        <stp>##V3_BDPV12</stp>
        <stp>ALK Equity</stp>
        <stp>Px Bid</stp>
        <stp>[Pricing File.xlsm]TotalReturnPricing!R671C6</stp>
        <tr r="F671" s="2"/>
      </tp>
      <tp>
        <v>38.700000000000003</v>
        <stp/>
        <stp>##V3_BDPV12</stp>
        <stp>AMD Equity</stp>
        <stp>Px Bid</stp>
        <stp>[Pricing File.xlsm]TotalReturnPricing!R261C6</stp>
        <tr r="F261" s="2"/>
      </tp>
      <tp>
        <v>23.54</v>
        <stp/>
        <stp>##V3_BDPV12</stp>
        <stp>AVT Equity</stp>
        <stp>Px Bid</stp>
        <stp>[Pricing File.xlsm]TotalReturnPricing!R471C6</stp>
        <tr r="F471" s="2"/>
      </tp>
      <tp>
        <v>49.72</v>
        <stp/>
        <stp>##V3_BDPV12</stp>
        <stp>ARW Equity</stp>
        <stp>Px Bid</stp>
        <stp>[Pricing File.xlsm]TotalReturnPricing!R661C6</stp>
        <tr r="F661" s="2"/>
      </tp>
      <tp>
        <v>84.31</v>
        <stp/>
        <stp>##V3_BDPV12</stp>
        <stp>AYI Equity</stp>
        <stp>Px Bid</stp>
        <stp>[Pricing File.xlsm]TotalReturnPricing!R771C6</stp>
        <tr r="F771" s="2"/>
      </tp>
      <tp>
        <v>8.98</v>
        <stp/>
        <stp>##V3_BDPV12</stp>
        <stp>PLAB Equity</stp>
        <stp>Px Bid</stp>
        <stp>[Pricing File.xlsm]TotalReturnPricing!R225C6</stp>
        <tr r="F225" s="2"/>
      </tp>
      <tp>
        <v>72.05</v>
        <stp/>
        <stp>##V3_BDPV12</stp>
        <stp>FCFS Equity</stp>
        <stp>Px Ask</stp>
        <stp>[Pricing File.xlsm]TotalReturnPricing!R579C7</stp>
        <tr r="G579" s="2"/>
      </tp>
      <tp>
        <v>57.35</v>
        <stp/>
        <stp>##V3_BDPV12</stp>
        <stp>SITE Equity</stp>
        <stp>Px Bid</stp>
        <stp>[Pricing File.xlsm]TotalReturnPricing!R826C6</stp>
        <tr r="F826" s="2"/>
      </tp>
      <tp>
        <v>95.69</v>
        <stp/>
        <stp>##V3_BDPV12</stp>
        <stp>FFIV Equity</stp>
        <stp>Px Ask</stp>
        <stp>[Pricing File.xlsm]TotalReturnPricing!R719C7</stp>
        <tr r="G719" s="2"/>
      </tp>
      <tp t="s">
        <v>#N/A N/A</v>
        <stp/>
        <stp>##V3_BDPV12</stp>
        <stp>BKNG 200320C02000000 Equity</stp>
        <stp>Px Bid</stp>
        <stp>[Pricing File.xlsm]TotalReturnPricing!R904C6</stp>
        <tr r="F904" s="2"/>
      </tp>
      <tp>
        <v>105.97</v>
        <stp/>
        <stp>##V3_BDPV12</stp>
        <stp>JPY Curncy</stp>
        <stp>Px Bid</stp>
        <stp>[Pricing File.xlsm]TotalReturnPricing!R706C6</stp>
        <tr r="F706" s="2"/>
      </tp>
      <tp>
        <v>6.89</v>
        <stp/>
        <stp>##V3_BDPV12</stp>
        <stp>PK Equity</stp>
        <stp>Px Ask</stp>
        <stp>[Pricing File.xlsm]TotalReturnPricing!R381C7</stp>
        <tr r="G381" s="2"/>
      </tp>
      <tp t="s">
        <v>#N/A N/A</v>
        <stp/>
        <stp>##V3_BDPV12</stp>
        <stp>XON Equity</stp>
        <stp>Px Bid</stp>
        <stp>[Pricing File.xlsm]TotalReturnPricing!R351C6</stp>
        <tr r="F351" s="2"/>
      </tp>
      <tp>
        <v>6.13</v>
        <stp/>
        <stp>##V3_BDPV12</stp>
        <stp>GT Equity</stp>
        <stp>Px Ask</stp>
        <stp>[Pricing File.xlsm]TotalReturnPricing!R441C7</stp>
        <tr r="G441" s="2"/>
      </tp>
      <tp>
        <v>54.48</v>
        <stp/>
        <stp>##V3_BDPV12</stp>
        <stp>XPO Equity</stp>
        <stp>Px Bid</stp>
        <stp>[Pricing File.xlsm]TotalReturnPricing!R581C6</stp>
        <tr r="F581" s="2"/>
      </tp>
      <tp>
        <v>6.82</v>
        <stp/>
        <stp>##V3_BDPV12</stp>
        <stp>AA Equity</stp>
        <stp>Px Ask</stp>
        <stp>[Pricing File.xlsm]TotalReturnPricing!R451C7</stp>
        <tr r="G451" s="2"/>
      </tp>
      <tp>
        <v>38.22</v>
        <stp/>
        <stp>##V3_BDPV12</stp>
        <stp>MO Equity</stp>
        <stp>Px Ask</stp>
        <stp>[Pricing File.xlsm]TotalReturnPricing!R811C7</stp>
        <tr r="G811" s="2"/>
      </tp>
      <tp>
        <v>3.05</v>
        <stp/>
        <stp>##V3_BDPV12</stp>
        <stp>AM Equity</stp>
        <stp>Px Ask</stp>
        <stp>[Pricing File.xlsm]TotalReturnPricing!R841C7</stp>
        <tr r="G841" s="2"/>
      </tp>
      <tp>
        <v>164.97</v>
        <stp/>
        <stp>##V3_BDPV12</stp>
        <stp>HD Equity</stp>
        <stp>Px Ask</stp>
        <stp>[Pricing File.xlsm]TotalReturnPricing!R741C7</stp>
        <tr r="G741" s="2"/>
      </tp>
      <tp>
        <v>3.4000000000000002E-2</v>
        <stp/>
        <stp>##V3_BDPV12</stp>
        <stp>TKOI Equity</stp>
        <stp>Px Bid</stp>
        <stp>[Pricing File.xlsm]TotalReturnPricing!R121C6</stp>
        <tr r="F121" s="2"/>
      </tp>
      <tp>
        <v>311.45999999999998</v>
        <stp/>
        <stp>##V3_BDPV12</stp>
        <stp>MKTX Equity</stp>
        <stp>Px Ask</stp>
        <stp>[Pricing File.xlsm]TotalReturnPricing!R772C7</stp>
        <tr r="G772" s="2"/>
      </tp>
      <tp>
        <v>26.45</v>
        <stp/>
        <stp>##V3_BDPV12</stp>
        <stp>WFC Equity</stp>
        <stp>Px Bid</stp>
        <stp>[Pricing File.xlsm]TotalReturnPricing!R561C6</stp>
        <tr r="F561" s="2"/>
      </tp>
      <tp>
        <v>30.04</v>
        <stp/>
        <stp>##V3_BDPV12</stp>
        <stp>WMS Equity</stp>
        <stp>Px Bid</stp>
        <stp>[Pricing File.xlsm]TotalReturnPricing!R331C6</stp>
        <tr r="F331" s="2"/>
      </tp>
      <tp>
        <v>3.4</v>
        <stp/>
        <stp>##V3_BDPV12</stp>
        <stp>WPX Equity</stp>
        <stp>Px Bid</stp>
        <stp>[Pricing File.xlsm]TotalReturnPricing!R231C6</stp>
        <tr r="F231" s="2"/>
      </tp>
      <tp>
        <v>24.15</v>
        <stp/>
        <stp>##V3_BDPV12</stp>
        <stp>MINI Equity</stp>
        <stp>Px Ask</stp>
        <stp>[Pricing File.xlsm]TotalReturnPricing!R402C7</stp>
        <tr r="G402" s="2"/>
      </tp>
      <tp>
        <v>1085</v>
        <stp/>
        <stp>##V3_BDPV12</stp>
        <stp>GOOG Equity</stp>
        <stp>Px Ask</stp>
        <stp>[Pricing File.xlsm]TotalReturnPricing!R788C7</stp>
        <tr r="G788" s="2"/>
      </tp>
      <tp>
        <v>5.81</v>
        <stp/>
        <stp>##V3_BDPV12</stp>
        <stp>PAGP Equity</stp>
        <stp>Px Bid</stp>
        <stp>[Pricing File.xlsm]TotalReturnPricing!R385C6</stp>
        <tr r="F385" s="2"/>
      </tp>
      <tp>
        <v>1.95</v>
        <stp/>
        <stp>##V3_BDPV12</stp>
        <stp>SWN Equity</stp>
        <stp>Px Bid</stp>
        <stp>[Pricing File.xlsm]TotalReturnPricing!R801C6</stp>
        <tr r="F801" s="2"/>
      </tp>
      <tp>
        <v>87.89</v>
        <stp/>
        <stp>##V3_BDPV12</stp>
        <stp>SBNY Equity</stp>
        <stp>Px Bid</stp>
        <stp>[Pricing File.xlsm]TotalReturnPricing!R736C6</stp>
        <tr r="F736" s="2"/>
      </tp>
      <tp>
        <v>9.15</v>
        <stp/>
        <stp>##V3_BDPV12</stp>
        <stp>IMAX Equity</stp>
        <stp>Px Ask</stp>
        <stp>[Pricing File.xlsm]TotalReturnPricing!R336C7</stp>
        <tr r="G336" s="2"/>
      </tp>
      <tp>
        <v>18.739999999999998</v>
        <stp/>
        <stp>##V3_BDPV12</stp>
        <stp>VCYT Equity</stp>
        <stp>Px Bid</stp>
        <stp>[Pricing File.xlsm]TotalReturnPricing!R213C6</stp>
        <tr r="F213" s="2"/>
      </tp>
      <tp>
        <v>0.122</v>
        <stp/>
        <stp>##V3_BDPV12</stp>
        <stp>SCIL Equity</stp>
        <stp>Px Bid</stp>
        <stp>[Pricing File.xlsm]TotalReturnPricing!R126C6</stp>
        <tr r="F126" s="2"/>
      </tp>
      <tp t="s">
        <v>#N/A Field Not Applicable</v>
        <stp/>
        <stp>##V3_BDPV12</stp>
        <stp>AA Equity</stp>
        <stp>OPT_DELTA</stp>
        <stp>[Pricing File.xlsm]TotalReturnPricing!R451C8</stp>
        <tr r="H451" s="2"/>
      </tp>
      <tp>
        <v>7.77</v>
        <stp/>
        <stp>##V3_BDPV12</stp>
        <stp>VECO  Equity</stp>
        <stp>Px Bid</stp>
        <stp>[Pricing File.xlsm]TotalReturnPricing!R413C6</stp>
        <tr r="F413" s="2"/>
      </tp>
      <tp t="s">
        <v>#N/A Field Not Applicable</v>
        <stp/>
        <stp>##V3_BDPV12</stp>
        <stp>W Equity</stp>
        <stp>OPT_DELTA</stp>
        <stp>[Pricing File.xlsm]TotalReturnPricing!R644C8</stp>
        <tr r="H644" s="2"/>
      </tp>
      <tp t="s">
        <v>#N/A Field Not Applicable</v>
        <stp/>
        <stp>##V3_BDPV12</stp>
        <stp>R Equity</stp>
        <stp>OPT_DELTA</stp>
        <stp>[Pricing File.xlsm]TotalReturnPricing!R631C8</stp>
        <tr r="H631" s="2"/>
      </tp>
      <tp t="s">
        <v>#N/A Field Not Applicable</v>
        <stp/>
        <stp>##V3_BDPV12</stp>
        <stp>T Equity</stp>
        <stp>OPT_DELTA</stp>
        <stp>[Pricing File.xlsm]TotalReturnPricing!R477C8</stp>
        <tr r="H477" s="2"/>
      </tp>
      <tp t="s">
        <v>#N/A N/A</v>
        <stp/>
        <stp>##V3_BDPV12</stp>
        <stp>NCI Equity</stp>
        <stp>Px Bid</stp>
        <stp>[Pricing File.xlsm]TotalReturnPricing!R320C6</stp>
        <tr r="F320" s="2"/>
      </tp>
      <tp>
        <v>10.27</v>
        <stp/>
        <stp>##V3_BDPV12</stp>
        <stp>NWS Equity</stp>
        <stp>Px Bid</stp>
        <stp>[Pricing File.xlsm]TotalReturnPricing!R270C6</stp>
        <tr r="F270" s="2"/>
      </tp>
      <tp>
        <v>17.75</v>
        <stp/>
        <stp>##V3_BDPV12</stp>
        <stp>MRVL Equity</stp>
        <stp>Px Ask</stp>
        <stp>[Pricing File.xlsm]TotalReturnPricing!R283C7</stp>
        <tr r="G283" s="2"/>
      </tp>
      <tp>
        <v>0.68010000000000004</v>
        <stp/>
        <stp>##V3_BDPV12</stp>
        <stp>GRPN Equity</stp>
        <stp>Px Ask</stp>
        <stp>[Pricing File.xlsm]TotalReturnPricing!R159C7</stp>
        <tr r="G159" s="2"/>
      </tp>
      <tp>
        <v>3.73</v>
        <stp/>
        <stp>##V3_BDPV12</stp>
        <stp>LQDT Equity</stp>
        <stp>Px Ask</stp>
        <stp>[Pricing File.xlsm]TotalReturnPricing!R192C7</stp>
        <tr r="G192" s="2"/>
      </tp>
      <tp>
        <v>9.94</v>
        <stp/>
        <stp>##V3_BDPV12</stp>
        <stp>MOS Equity</stp>
        <stp>Px Bid</stp>
        <stp>[Pricing File.xlsm]TotalReturnPricing!R360C6</stp>
        <tr r="F360" s="2"/>
      </tp>
      <tp t="s">
        <v>#N/A N/A</v>
        <stp/>
        <stp>##V3_BDPV12</stp>
        <stp>EXPE 200320C00110000 Equity</stp>
        <stp>Px Bid</stp>
        <stp>[Pricing File.xlsm]TotalReturnPricing!R892C6</stp>
        <tr r="F892" s="2"/>
      </tp>
      <tp>
        <v>0.05</v>
        <stp/>
        <stp>##V3_BDPV12</stp>
        <stp>TRIP 200320C00031500 Equity</stp>
        <stp>Px Ask</stp>
        <stp>[Pricing File.xlsm]TotalReturnPricing!R888C7</stp>
        <tr r="G888" s="2"/>
      </tp>
      <tp>
        <v>28.78</v>
        <stp/>
        <stp>##V3_BDPV12</stp>
        <stp>KNX Equity</stp>
        <stp>Px Bid</stp>
        <stp>[Pricing File.xlsm]TotalReturnPricing!R440C6</stp>
        <tr r="F440" s="2"/>
      </tp>
      <tp>
        <v>9.67</v>
        <stp/>
        <stp>##V3_BDPV12</stp>
        <stp>HST Equity</stp>
        <stp>Px Bid</stp>
        <stp>[Pricing File.xlsm]TotalReturnPricing!R310C6</stp>
        <tr r="F310" s="2"/>
      </tp>
      <tp t="s">
        <v>#N/A N/A</v>
        <stp/>
        <stp>##V3_BDPV12</stp>
        <stp>HTZ 200320C00021000 Equity</stp>
        <stp>Px Bid</stp>
        <stp>[Pricing File.xlsm]TotalReturnPricing!R902C6</stp>
        <tr r="F902" s="2"/>
      </tp>
      <tp>
        <v>1.77</v>
        <stp/>
        <stp>##V3_BDPV12</stp>
        <stp>LTRX Equity</stp>
        <stp>Px Ask</stp>
        <stp>[Pricing File.xlsm]TotalReturnPricing!R142C7</stp>
        <tr r="G142" s="2"/>
      </tp>
      <tp>
        <v>101.48</v>
        <stp/>
        <stp>##V3_BDPV12</stp>
        <stp>IFF Equity</stp>
        <stp>Px Bid</stp>
        <stp>[Pricing File.xlsm]TotalReturnPricing!R730C6</stp>
        <tr r="F730" s="2"/>
      </tp>
      <tp>
        <v>99.08</v>
        <stp/>
        <stp>##V3_BDPV12</stp>
        <stp>IBM Equity</stp>
        <stp>Px Bid</stp>
        <stp>[Pricing File.xlsm]TotalReturnPricing!R740C6</stp>
        <tr r="F740" s="2"/>
      </tp>
      <tp t="s">
        <v>#N/A N/A</v>
        <stp/>
        <stp>##V3_BDPV12</stp>
        <stp>FII Equity</stp>
        <stp>Px Bid</stp>
        <stp>[Pricing File.xlsm]TotalReturnPricing!R400C6</stp>
        <tr r="F400" s="2"/>
      </tp>
      <tp>
        <v>1.58</v>
        <stp/>
        <stp>##V3_BDPV12</stp>
        <stp>DSX Equity</stp>
        <stp>Px Bid</stp>
        <stp>[Pricing File.xlsm]TotalReturnPricing!R160C6</stp>
        <tr r="F160" s="2"/>
      </tp>
      <tp>
        <v>1.32</v>
        <stp/>
        <stp>##V3_BDPV12</stp>
        <stp>DVD Equity</stp>
        <stp>Px Bid</stp>
        <stp>[Pricing File.xlsm]TotalReturnPricing!R140C6</stp>
        <tr r="F140" s="2"/>
      </tp>
      <tp>
        <v>46.16</v>
        <stp/>
        <stp>##V3_BDPV12</stp>
        <stp>EIX Equity</stp>
        <stp>Px Bid</stp>
        <stp>[Pricing File.xlsm]TotalReturnPricing!R650C6</stp>
        <tr r="F650" s="2"/>
      </tp>
      <tp>
        <v>7.3599999999999999E-2</v>
        <stp/>
        <stp>##V3_BDPV12</stp>
        <stp>ENT Equity</stp>
        <stp>Px Bid</stp>
        <stp>[Pricing File.xlsm]TotalReturnPricing!R110C6</stp>
        <tr r="F110" s="2"/>
      </tp>
      <tp>
        <v>53.11</v>
        <stp/>
        <stp>##V3_BDPV12</stp>
        <stp>EXP Equity</stp>
        <stp>Px Bid</stp>
        <stp>[Pricing File.xlsm]TotalReturnPricing!R680C6</stp>
        <tr r="F680" s="2"/>
      </tp>
      <tp t="s">
        <v>#N/A N/A</v>
        <stp/>
        <stp>##V3_BDPV12</stp>
        <stp>TPGH Equity</stp>
        <stp>Px Bid</stp>
        <stp>[Pricing File.xlsm]TotalReturnPricing!R840C6</stp>
        <tr r="F840" s="2"/>
      </tp>
      <tp>
        <v>57.29</v>
        <stp/>
        <stp>##V3_BDPV12</stp>
        <stp>BBY Equity</stp>
        <stp>Px Bid</stp>
        <stp>[Pricing File.xlsm]TotalReturnPricing!R570C6</stp>
        <tr r="F570" s="2"/>
      </tp>
      <tp t="s">
        <v>#N/A N/A</v>
        <stp/>
        <stp>##V3_BDPV12</stp>
        <stp>BKS Equity</stp>
        <stp>Px Bid</stp>
        <stp>[Pricing File.xlsm]TotalReturnPricing!R210C6</stp>
        <tr r="F210" s="2"/>
      </tp>
      <tp>
        <v>12.64</v>
        <stp/>
        <stp>##V3_BDPV12</stp>
        <stp>CCU Equity</stp>
        <stp>Px Bid</stp>
        <stp>[Pricing File.xlsm]TotalReturnPricing!R380C6</stp>
        <tr r="F380" s="2"/>
      </tp>
      <tp>
        <v>14.56</v>
        <stp/>
        <stp>##V3_BDPV12</stp>
        <stp>CCL Equity</stp>
        <stp>Px Bid</stp>
        <stp>[Pricing File.xlsm]TotalReturnPricing!R610C6</stp>
        <tr r="F610" s="2"/>
      </tp>
      <tp>
        <v>131.44</v>
        <stp/>
        <stp>##V3_BDPV12</stp>
        <stp>CMI Equity</stp>
        <stp>Px Bid</stp>
        <stp>[Pricing File.xlsm]TotalReturnPricing!R820C6</stp>
        <tr r="F820" s="2"/>
      </tp>
      <tp>
        <v>44.21</v>
        <stp/>
        <stp>##V3_BDPV12</stp>
        <stp>CAH Equity</stp>
        <stp>Px Bid</stp>
        <stp>[Pricing File.xlsm]TotalReturnPricing!R640C6</stp>
        <tr r="F640" s="2"/>
      </tp>
      <tp>
        <v>26.09</v>
        <stp/>
        <stp>##V3_BDPV12</stp>
        <stp>CBT Equity</stp>
        <stp>Px Bid</stp>
        <stp>[Pricing File.xlsm]TotalReturnPricing!R560C6</stp>
        <tr r="F560" s="2"/>
      </tp>
      <tp>
        <v>48.95</v>
        <stp/>
        <stp>##V3_BDPV12</stp>
        <stp>CCK Equity</stp>
        <stp>Px Bid</stp>
        <stp>[Pricing File.xlsm]TotalReturnPricing!R580C6</stp>
        <tr r="F580" s="2"/>
      </tp>
      <tp>
        <v>0.2016</v>
        <stp/>
        <stp>##V3_BDPV12</stp>
        <stp>CHK Equity</stp>
        <stp>Px Bid</stp>
        <stp>[Pricing File.xlsm]TotalReturnPricing!R170C6</stp>
        <tr r="F170" s="2"/>
      </tp>
      <tp>
        <v>30.26</v>
        <stp/>
        <stp>##V3_BDPV12</stp>
        <stp>CNA Equity</stp>
        <stp>Px Bid</stp>
        <stp>[Pricing File.xlsm]TotalReturnPricing!R530C6</stp>
        <tr r="F530" s="2"/>
      </tp>
      <tp>
        <v>64.11</v>
        <stp/>
        <stp>##V3_BDPV12</stp>
        <stp>CRI Equity</stp>
        <stp>Px Bid</stp>
        <stp>[Pricing File.xlsm]TotalReturnPricing!R670C6</stp>
        <tr r="F670" s="2"/>
      </tp>
      <tp>
        <v>48.87</v>
        <stp/>
        <stp>##V3_BDPV12</stp>
        <stp>CSX Equity</stp>
        <stp>Px Bid</stp>
        <stp>[Pricing File.xlsm]TotalReturnPricing!R540C6</stp>
        <tr r="F540" s="2"/>
      </tp>
      <tp>
        <v>2.5299999999999998</v>
        <stp/>
        <stp>##V3_BDPV12</stp>
        <stp>CYH Equity</stp>
        <stp>Px Bid</stp>
        <stp>[Pricing File.xlsm]TotalReturnPricing!R200C6</stp>
        <tr r="F200" s="2"/>
      </tp>
      <tp>
        <v>13.9</v>
        <stp/>
        <stp>##V3_BDPV12</stp>
        <stp>SSYS Equity</stp>
        <stp>Px Bid</stp>
        <stp>[Pricing File.xlsm]TotalReturnPricing!R367C6</stp>
        <tr r="F367" s="2"/>
      </tp>
      <tp>
        <v>36.1</v>
        <stp/>
        <stp>##V3_BDPV12</stp>
        <stp>ADS Equity</stp>
        <stp>Px Bid</stp>
        <stp>[Pricing File.xlsm]TotalReturnPricing!R780C6</stp>
        <tr r="F780" s="2"/>
      </tp>
      <tp>
        <v>75.59</v>
        <stp/>
        <stp>##V3_BDPV12</stp>
        <stp>JBHT Equity</stp>
        <stp>Px Ask</stp>
        <stp>[Pricing File.xlsm]TotalReturnPricing!R674C7</stp>
        <tr r="G674" s="2"/>
      </tp>
      <tp>
        <v>54.63</v>
        <stp/>
        <stp>##V3_BDPV12</stp>
        <stp>ZEN Equity</stp>
        <stp>Px Bid</stp>
        <stp>[Pricing File.xlsm]TotalReturnPricing!R410C6</stp>
        <tr r="F410" s="2"/>
      </tp>
      <tp>
        <v>129.61000000000001</v>
        <stp/>
        <stp>##V3_BDPV12</stp>
        <stp>BA Equity</stp>
        <stp>Px Ask</stp>
        <stp>[Pricing File.xlsm]TotalReturnPricing!R420C7</stp>
        <tr r="G420" s="2"/>
      </tp>
      <tp>
        <v>187.67</v>
        <stp/>
        <stp>##V3_BDPV12</stp>
        <stp>CP Equity</stp>
        <stp>Px Ask</stp>
        <stp>[Pricing File.xlsm]TotalReturnPricing!R750C7</stp>
        <tr r="G750" s="2"/>
      </tp>
      <tp t="s">
        <v>#N/A N/A</v>
        <stp/>
        <stp>##V3_BDPV12</stp>
        <stp>HK Equity</stp>
        <stp>Px Ask</stp>
        <stp>[Pricing File.xlsm]TotalReturnPricing!R190C7</stp>
        <tr r="G190" s="2"/>
      </tp>
      <tp>
        <v>27.23</v>
        <stp/>
        <stp>##V3_BDPV12</stp>
        <stp>MC Equity</stp>
        <stp>Px Ask</stp>
        <stp>[Pricing File.xlsm]TotalReturnPricing!R480C7</stp>
        <tr r="G480" s="2"/>
      </tp>
      <tp t="s">
        <v>#N/A N/A</v>
        <stp/>
        <stp>##V3_BDPV12</stp>
        <stp>MB Equity</stp>
        <stp>Px Ask</stp>
        <stp>[Pricing File.xlsm]TotalReturnPricing!R370C7</stp>
        <tr r="G370" s="2"/>
      </tp>
      <tp>
        <v>13.73</v>
        <stp/>
        <stp>##V3_BDPV12</stp>
        <stp>RDFN Equity</stp>
        <stp>Px Bid</stp>
        <stp>[Pricing File.xlsm]TotalReturnPricing!R836C6</stp>
        <tr r="F836" s="2"/>
      </tp>
      <tp>
        <v>9.3000000000000007</v>
        <stp/>
        <stp>##V3_BDPV12</stp>
        <stp>RECN Equity</stp>
        <stp>Px Bid</stp>
        <stp>[Pricing File.xlsm]TotalReturnPricing!R256C6</stp>
        <tr r="F256" s="2"/>
      </tp>
      <tp>
        <v>2.75</v>
        <stp/>
        <stp>##V3_BDPV12</stp>
        <stp>WIT Equity</stp>
        <stp>Px Bid</stp>
        <stp>[Pricing File.xlsm]TotalReturnPricing!R180C6</stp>
        <tr r="F180" s="2"/>
      </tp>
      <tp t="s">
        <v>#N/A N/A</v>
        <stp/>
        <stp>##V3_BDPV12</stp>
        <stp>WEX 200221C00220000 Equity</stp>
        <stp>Px Bid</stp>
        <stp>[Pricing File.xlsm]TotalReturnPricing!R852C6</stp>
        <tr r="F852" s="2"/>
      </tp>
      <tp>
        <v>14.33</v>
        <stp/>
        <stp>##V3_BDPV12</stp>
        <stp>TEX Equity</stp>
        <stp>Px Bid</stp>
        <stp>[Pricing File.xlsm]TotalReturnPricing!R470C6</stp>
        <tr r="F470" s="2"/>
      </tp>
      <tp>
        <v>16.41</v>
        <stp/>
        <stp>##V3_BDPV12</stp>
        <stp>TRN Equity</stp>
        <stp>Px Bid</stp>
        <stp>[Pricing File.xlsm]TotalReturnPricing!R390C6</stp>
        <tr r="F390" s="2"/>
      </tp>
      <tp>
        <v>39.35</v>
        <stp/>
        <stp>##V3_BDPV12</stp>
        <stp>TPX Equity</stp>
        <stp>Px Bid</stp>
        <stp>[Pricing File.xlsm]TotalReturnPricing!R590C6</stp>
        <tr r="F590" s="2"/>
      </tp>
      <tp t="s">
        <v>#N/A N/A</v>
        <stp/>
        <stp>##V3_BDPV12</stp>
        <stp>GHDX Equity</stp>
        <stp>Px Ask</stp>
        <stp>[Pricing File.xlsm]TotalReturnPricing!R419C7</stp>
        <tr r="G419" s="2"/>
      </tp>
      <tp>
        <v>83.22</v>
        <stp/>
        <stp>##V3_BDPV12</stp>
        <stp>URI Equity</stp>
        <stp>Px Bid</stp>
        <stp>[Pricing File.xlsm]TotalReturnPricing!R720C6</stp>
        <tr r="F720" s="2"/>
      </tp>
      <tp>
        <v>2.8</v>
        <stp/>
        <stp>##V3_BDPV12</stp>
        <stp>HOME Equity</stp>
        <stp>Px Ask</stp>
        <stp>[Pricing File.xlsm]TotalReturnPricing!R806C7</stp>
        <tr r="G806" s="2"/>
      </tp>
      <tp>
        <v>40.25</v>
        <stp/>
        <stp>##V3_BDPV12</stp>
        <stp>RIO Equity</stp>
        <stp>Px Bid</stp>
        <stp>[Pricing File.xlsm]TotalReturnPricing!R510C6</stp>
        <tr r="F510" s="2"/>
      </tp>
      <tp>
        <v>66.59</v>
        <stp/>
        <stp>##V3_BDPV12</stp>
        <stp>RJF Equity</stp>
        <stp>Px Bid</stp>
        <stp>[Pricing File.xlsm]TotalReturnPricing!R660C6</stp>
        <tr r="F660" s="2"/>
      </tp>
      <tp>
        <v>57.82</v>
        <stp/>
        <stp>##V3_BDPV12</stp>
        <stp>RPM Equity</stp>
        <stp>Px Bid</stp>
        <stp>[Pricing File.xlsm]TotalReturnPricing!R550C6</stp>
        <tr r="F550" s="2"/>
      </tp>
      <tp>
        <v>11.65</v>
        <stp/>
        <stp>##V3_BDPV12</stp>
        <stp>SAVE Equity</stp>
        <stp>Px Bid</stp>
        <stp>[Pricing File.xlsm]TotalReturnPricing!R107C6</stp>
        <tr r="F107" s="2"/>
      </tp>
      <tp>
        <v>44.55</v>
        <stp/>
        <stp>##V3_BDPV12</stp>
        <stp>INTC Equity</stp>
        <stp>Px Ask</stp>
        <stp>[Pricing File.xlsm]TotalReturnPricing!R437C7</stp>
        <tr r="G437" s="2"/>
      </tp>
      <tp>
        <v>223.43</v>
        <stp/>
        <stp>##V3_BDPV12</stp>
        <stp>INTU Equity</stp>
        <stp>Px Ask</stp>
        <stp>[Pricing File.xlsm]TotalReturnPricing!R737C7</stp>
        <tr r="G737" s="2"/>
      </tp>
      <tp>
        <v>4.54</v>
        <stp/>
        <stp>##V3_BDPV12</stp>
        <stp>GNMK Equity</stp>
        <stp>Px Ask</stp>
        <stp>[Pricing File.xlsm]TotalReturnPricing!R239C7</stp>
        <tr r="G239" s="2"/>
      </tp>
      <tp>
        <v>2.44</v>
        <stp/>
        <stp>##V3_BDPV12</stp>
        <stp>PACB Equity</stp>
        <stp>Px Bid</stp>
        <stp>[Pricing File.xlsm]TotalReturnPricing!R154C6</stp>
        <tr r="F154" s="2"/>
      </tp>
      <tp>
        <v>28.68</v>
        <stp/>
        <stp>##V3_BDPV12</stp>
        <stp>PAG Equity</stp>
        <stp>Px Bid</stp>
        <stp>[Pricing File.xlsm]TotalReturnPricing!R500C6</stp>
        <tr r="F500" s="2"/>
      </tp>
      <tp>
        <v>43.34</v>
        <stp/>
        <stp>##V3_BDPV12</stp>
        <stp>PRU Equity</stp>
        <stp>Px Bid</stp>
        <stp>[Pricing File.xlsm]TotalReturnPricing!R710C6</stp>
        <tr r="F710" s="2"/>
      </tp>
      <tp>
        <v>82.41</v>
        <stp/>
        <stp>##V3_BDPV12</stp>
        <stp>PPG Equity</stp>
        <stp>Px Bid</stp>
        <stp>[Pricing File.xlsm]TotalReturnPricing!R700C6</stp>
        <tr r="F700" s="2"/>
      </tp>
      <tp>
        <v>19.96</v>
        <stp/>
        <stp>##V3_BDPV12</stp>
        <stp>GLPI Equity</stp>
        <stp>Px Ask</stp>
        <stp>[Pricing File.xlsm]TotalReturnPricing!R459C7</stp>
        <tr r="G459" s="2"/>
      </tp>
      <tp>
        <v>64.5</v>
        <stp/>
        <stp>##V3_BDPV12</stp>
        <stp>QCOM Equity</stp>
        <stp>Px Bid</stp>
        <stp>[Pricing File.xlsm]TotalReturnPricing!R555C6</stp>
        <tr r="F555" s="2"/>
      </tp>
      <tp t="s">
        <v>#N/A Field Not Applicable</v>
        <stp/>
        <stp>##V3_BDPV12</stp>
        <stp>LC Equity</stp>
        <stp>OPT_DELTA</stp>
        <stp>[Pricing File.xlsm]TotalReturnPricing!R792C8</stp>
        <tr r="H792" s="2"/>
      </tp>
      <tp t="s">
        <v>#N/A Field Not Applicable</v>
        <stp/>
        <stp>##V3_BDPV12</stp>
        <stp>BA Equity</stp>
        <stp>OPT_DELTA</stp>
        <stp>[Pricing File.xlsm]TotalReturnPricing!R420C8</stp>
        <tr r="H420" s="2"/>
      </tp>
      <tp t="s">
        <v>#N/A Field Not Applicable</v>
        <stp/>
        <stp>##V3_BDPV12</stp>
        <stp>SF Equity</stp>
        <stp>OPT_DELTA</stp>
        <stp>[Pricing File.xlsm]TotalReturnPricing!R537C8</stp>
        <tr r="H537" s="2"/>
      </tp>
      <tp t="s">
        <v>#N/A Field Not Applicable</v>
        <stp/>
        <stp>##V3_BDPV12</stp>
        <stp>ZG Equity</stp>
        <stp>OPT_DELTA</stp>
        <stp>[Pricing File.xlsm]TotalReturnPricing!R506C8</stp>
        <tr r="H506" s="2"/>
      </tp>
      <tp>
        <v>20.62</v>
        <stp/>
        <stp>##V3_BDPV12</stp>
        <stp>DISCA Equity</stp>
        <stp>Px Bid</stp>
        <stp>[Pricing File.xlsm]TotalReturnPricing!R378C6</stp>
        <tr r="F378" s="2"/>
      </tp>
      <tp t="s">
        <v>#N/A Field Not Applicable</v>
        <stp/>
        <stp>##V3_BDPV12</stp>
        <stp>716 HK Equity</stp>
        <stp>OPT_DELTA</stp>
        <stp>[Pricing File.xlsm]TotalReturnPricing!R62C8</stp>
        <tr r="H62" s="2"/>
      </tp>
      <tp t="s">
        <v>#N/A N/A</v>
        <stp/>
        <stp>##V3_BDPV12</stp>
        <stp>NFX Equity</stp>
        <stp>Px Bid</stp>
        <stp>[Pricing File.xlsm]TotalReturnPricing!R397C6</stp>
        <tr r="F397" s="2"/>
      </tp>
      <tp>
        <v>35.04</v>
        <stp/>
        <stp>##V3_BDPV12</stp>
        <stp>ARCH Equity</stp>
        <stp>Px Ask</stp>
        <stp>[Pricing File.xlsm]TotalReturnPricing!R628C7</stp>
        <tr r="G628" s="2"/>
      </tp>
      <tp>
        <v>36.71</v>
        <stp/>
        <stp>##V3_BDPV12</stp>
        <stp>LEN Equity</stp>
        <stp>Px Bid</stp>
        <stp>[Pricing File.xlsm]TotalReturnPricing!R557C6</stp>
        <tr r="F557" s="2"/>
      </tp>
      <tp>
        <v>37.51</v>
        <stp/>
        <stp>##V3_BDPV12</stp>
        <stp>LUV Equity</stp>
        <stp>Px Bid</stp>
        <stp>[Pricing File.xlsm]TotalReturnPricing!R567C6</stp>
        <tr r="F567" s="2"/>
      </tp>
      <tp>
        <v>20.02</v>
        <stp/>
        <stp>##V3_BDPV12</stp>
        <stp>LZB Equity</stp>
        <stp>Px Bid</stp>
        <stp>[Pricing File.xlsm]TotalReturnPricing!R427C6</stp>
        <tr r="F427" s="2"/>
      </tp>
      <tp>
        <v>3.97</v>
        <stp/>
        <stp>##V3_BDPV12</stp>
        <stp>MRC Equity</stp>
        <stp>Px Bid</stp>
        <stp>[Pricing File.xlsm]TotalReturnPricing!R287C6</stp>
        <tr r="F287" s="2"/>
      </tp>
      <tp t="s">
        <v>#N/A N/A</v>
        <stp/>
        <stp>##V3_BDPV12</stp>
        <stp>MPO Equity</stp>
        <stp>Px Bid</stp>
        <stp>[Pricing File.xlsm]TotalReturnPricing!R257C6</stp>
        <tr r="F257" s="2"/>
      </tp>
      <tp>
        <v>15.04</v>
        <stp/>
        <stp>##V3_BDPV12</stp>
        <stp>MYL Equity</stp>
        <stp>Px Bid</stp>
        <stp>[Pricing File.xlsm]TotalReturnPricing!R467C6</stp>
        <tr r="F467" s="2"/>
      </tp>
      <tp>
        <v>92.17</v>
        <stp/>
        <stp>##V3_BDPV12</stp>
        <stp>PYPL Equity</stp>
        <stp>Px Bid</stp>
        <stp>[Pricing File.xlsm]TotalReturnPricing!R583C6</stp>
        <tr r="F583" s="2"/>
      </tp>
      <tp>
        <v>114.2</v>
        <stp/>
        <stp>##V3_BDPV12</stp>
        <stp>KSU Equity</stp>
        <stp>Px Bid</stp>
        <stp>[Pricing File.xlsm]TotalReturnPricing!R697C6</stp>
        <tr r="F697" s="2"/>
      </tp>
      <tp>
        <v>69.53</v>
        <stp/>
        <stp>##V3_BDPV12</stp>
        <stp>HLT Equity</stp>
        <stp>Px Bid</stp>
        <stp>[Pricing File.xlsm]TotalReturnPricing!R847C6</stp>
        <tr r="F847" s="2"/>
      </tp>
      <tp>
        <v>15.71</v>
        <stp/>
        <stp>##V3_BDPV12</stp>
        <stp>HRB Equity</stp>
        <stp>Px Bid</stp>
        <stp>[Pricing File.xlsm]TotalReturnPricing!R407C6</stp>
        <tr r="F407" s="2"/>
      </tp>
      <tp>
        <v>6.1</v>
        <stp/>
        <stp>##V3_BDPV12</stp>
        <stp>HTZ Equity</stp>
        <stp>Px Bid</stp>
        <stp>[Pricing File.xlsm]TotalReturnPricing!R297C6</stp>
        <tr r="F297" s="2"/>
      </tp>
      <tp t="s">
        <v>#N/A N/A</v>
        <stp/>
        <stp>##V3_BDPV12</stp>
        <stp>ATHN Equity</stp>
        <stp>Px Ask</stp>
        <stp>[Pricing File.xlsm]TotalReturnPricing!R738C7</stp>
        <tr r="G738" s="2"/>
      </tp>
      <tp>
        <v>50.62</v>
        <stp/>
        <stp>##V3_BDPV12</stp>
        <stp>QTWO Equity</stp>
        <stp>Px Bid</stp>
        <stp>[Pricing File.xlsm]TotalReturnPricing!R472C6</stp>
        <tr r="F472" s="2"/>
      </tp>
      <tp>
        <v>6.23</v>
        <stp/>
        <stp>##V3_BDPV12</stp>
        <stp>FCX Equity</stp>
        <stp>Px Bid</stp>
        <stp>[Pricing File.xlsm]TotalReturnPricing!R267C6</stp>
        <tr r="F267" s="2"/>
      </tp>
      <tp>
        <v>0.75990000000000002</v>
        <stp/>
        <stp>##V3_BDPV12</stp>
        <stp>FLL Equity</stp>
        <stp>Px Bid</stp>
        <stp>[Pricing File.xlsm]TotalReturnPricing!R147C6</stp>
        <tr r="F147" s="2"/>
      </tp>
      <tp>
        <v>40.5</v>
        <stp/>
        <stp>##V3_BDPV12</stp>
        <stp>GPI Equity</stp>
        <stp>Px Bid</stp>
        <stp>[Pricing File.xlsm]TotalReturnPricing!R587C6</stp>
        <tr r="F587" s="2"/>
      </tp>
      <tp>
        <v>40.01</v>
        <stp/>
        <stp>##V3_BDPV12</stp>
        <stp>EMN Equity</stp>
        <stp>Px Bid</stp>
        <stp>[Pricing File.xlsm]TotalReturnPricing!R667C6</stp>
        <tr r="F667" s="2"/>
      </tp>
      <tp>
        <v>13.78</v>
        <stp/>
        <stp>##V3_BDPV12</stp>
        <stp>ERI Equity</stp>
        <stp>Px Bid</stp>
        <stp>[Pricing File.xlsm]TotalReturnPricing!R327C6</stp>
        <tr r="F327" s="2"/>
      </tp>
      <tp>
        <v>54.02</v>
        <stp/>
        <stp>##V3_BDPV12</stp>
        <stp>CNC Equity</stp>
        <stp>Px Bid</stp>
        <stp>[Pricing File.xlsm]TotalReturnPricing!R657C6</stp>
        <tr r="F657" s="2"/>
      </tp>
      <tp>
        <v>131.44</v>
        <stp/>
        <stp>##V3_BDPV12</stp>
        <stp>CMI Equity</stp>
        <stp>Px Bid</stp>
        <stp>[Pricing File.xlsm]TotalReturnPricing!R757C6</stp>
        <tr r="F757" s="2"/>
      </tp>
      <tp>
        <v>19.329999999999998</v>
        <stp/>
        <stp>##V3_BDPV12</stp>
        <stp>CIT Equity</stp>
        <stp>Px Bid</stp>
        <stp>[Pricing File.xlsm]TotalReturnPricing!R527C6</stp>
        <tr r="F527" s="2"/>
      </tp>
      <tp>
        <v>0.5</v>
        <stp/>
        <stp>##V3_BDPV12</stp>
        <stp>PRTY Equity</stp>
        <stp>Px Bid</stp>
        <stp>[Pricing File.xlsm]TotalReturnPricing!R263C6</stp>
        <tr r="F263" s="2"/>
      </tp>
      <tp>
        <v>29.57</v>
        <stp/>
        <stp>##V3_BDPV12</stp>
        <stp>PRAA Equity</stp>
        <stp>Px Bid</stp>
        <stp>[Pricing File.xlsm]TotalReturnPricing!R473C6</stp>
        <tr r="F473" s="2"/>
      </tp>
      <tp>
        <v>63.95</v>
        <stp/>
        <stp>##V3_BDPV12</stp>
        <stp>TREX Equity</stp>
        <stp>Px Bid</stp>
        <stp>[Pricing File.xlsm]TotalReturnPricing!R637C6</stp>
        <tr r="F637" s="2"/>
      </tp>
      <tp>
        <v>152.53</v>
        <stp/>
        <stp>##V3_BDPV12</stp>
        <stp>ACN Equity</stp>
        <stp>Px Bid</stp>
        <stp>[Pricing File.xlsm]TotalReturnPricing!R727C6</stp>
        <tr r="F727" s="2"/>
      </tp>
      <tp>
        <v>35.47</v>
        <stp/>
        <stp>##V3_BDPV12</stp>
        <stp>AIV Equity</stp>
        <stp>Px Bid</stp>
        <stp>[Pricing File.xlsm]TotalReturnPricing!R497C6</stp>
        <tr r="F497" s="2"/>
      </tp>
      <tp>
        <v>851.33</v>
        <stp/>
        <stp>##V3_BDPV12</stp>
        <stp>AZO Equity</stp>
        <stp>Px Bid</stp>
        <stp>[Pricing File.xlsm]TotalReturnPricing!R787C6</stp>
        <tr r="F787" s="2"/>
      </tp>
      <tp>
        <v>0.53480000000000005</v>
        <stp/>
        <stp>##V3_BDPV12</stp>
        <stp>RNWK Equity</stp>
        <stp>Px Bid</stp>
        <stp>[Pricing File.xlsm]TotalReturnPricing!R161C6</stp>
        <tr r="F161" s="2"/>
      </tp>
      <tp>
        <v>0.1</v>
        <stp/>
        <stp>##V3_BDPV12</stp>
        <stp>PENN 200417C00035000 Equity</stp>
        <stp>Px Ask</stp>
        <stp>[Pricing File.xlsm]TotalReturnPricing!R908C7</stp>
        <tr r="G908" s="2"/>
      </tp>
      <tp>
        <v>36.729999999999997</v>
        <stp/>
        <stp>##V3_BDPV12</stp>
        <stp>SF Equity</stp>
        <stp>Px Ask</stp>
        <stp>[Pricing File.xlsm]TotalReturnPricing!R537C7</stp>
        <tr r="G537" s="2"/>
      </tp>
      <tp>
        <v>21.01</v>
        <stp/>
        <stp>##V3_BDPV12</stp>
        <stp>GM Equity</stp>
        <stp>Px Ask</stp>
        <stp>[Pricing File.xlsm]TotalReturnPricing!R447C7</stp>
        <tr r="G447" s="2"/>
      </tp>
      <tp>
        <v>66.78</v>
        <stp/>
        <stp>##V3_BDPV12</stp>
        <stp>VAC Equity</stp>
        <stp>Px Bid</stp>
        <stp>[Pricing File.xlsm]TotalReturnPricing!R717C6</stp>
        <tr r="F717" s="2"/>
      </tp>
      <tp>
        <v>95.81</v>
        <stp/>
        <stp>##V3_BDPV12</stp>
        <stp>VMW Equity</stp>
        <stp>Px Bid</stp>
        <stp>[Pricing File.xlsm]TotalReturnPricing!R677C6</stp>
        <tr r="F677" s="2"/>
      </tp>
      <tp>
        <v>86.22</v>
        <stp/>
        <stp>##V3_BDPV12</stp>
        <stp>VMI Equity</stp>
        <stp>Px Bid</stp>
        <stp>[Pricing File.xlsm]TotalReturnPricing!R747C6</stp>
        <tr r="F747" s="2"/>
      </tp>
      <tp>
        <v>7.75</v>
        <stp/>
        <stp>##V3_BDPV12</stp>
        <stp>UAL 200417P00035000 Equity</stp>
        <stp>Px Bid</stp>
        <stp>[Pricing File.xlsm]TotalReturnPricing!R916C6</stp>
        <tr r="F916" s="2"/>
      </tp>
      <tp>
        <v>109.25</v>
        <stp/>
        <stp>##V3_BDPV12</stp>
        <stp>WEX Equity</stp>
        <stp>Px Bid</stp>
        <stp>[Pricing File.xlsm]TotalReturnPricing!R707C6</stp>
        <tr r="F707" s="2"/>
      </tp>
      <tp>
        <v>45.07</v>
        <stp/>
        <stp>##V3_BDPV12</stp>
        <stp>WBA Equity</stp>
        <stp>Px Bid</stp>
        <stp>[Pricing File.xlsm]TotalReturnPricing!R647C6</stp>
        <tr r="F647" s="2"/>
      </tp>
      <tp>
        <v>13.48</v>
        <stp/>
        <stp>##V3_BDPV12</stp>
        <stp>WMB Equity</stp>
        <stp>Px Bid</stp>
        <stp>[Pricing File.xlsm]TotalReturnPricing!R417C6</stp>
        <tr r="F417" s="2"/>
      </tp>
      <tp>
        <v>35.57</v>
        <stp/>
        <stp>##V3_BDPV12</stp>
        <stp>WSM Equity</stp>
        <stp>Px Bid</stp>
        <stp>[Pricing File.xlsm]TotalReturnPricing!R517C6</stp>
        <tr r="F517" s="2"/>
      </tp>
      <tp>
        <v>105.45</v>
        <stp/>
        <stp>##V3_BDPV12</stp>
        <stp>LHCG Equity</stp>
        <stp>Px Ask</stp>
        <stp>[Pricing File.xlsm]TotalReturnPricing!R575C7</stp>
        <tr r="G575" s="2"/>
      </tp>
      <tp>
        <v>39.44</v>
        <stp/>
        <stp>##V3_BDPV12</stp>
        <stp>QGEN Equity</stp>
        <stp>Px Bid</stp>
        <stp>[Pricing File.xlsm]TotalReturnPricing!R432C6</stp>
        <tr r="F432" s="2"/>
      </tp>
      <tp>
        <v>35.4</v>
        <stp/>
        <stp>##V3_BDPV12</stp>
        <stp>UAL Equity</stp>
        <stp>Px Bid</stp>
        <stp>[Pricing File.xlsm]TotalReturnPricing!R617C6</stp>
        <tr r="F617" s="2"/>
      </tp>
      <tp>
        <v>13.95</v>
        <stp/>
        <stp>##V3_BDPV12</stp>
        <stp>UNG Equity</stp>
        <stp>Px Bid</stp>
        <stp>[Pricing File.xlsm]TotalReturnPricing!R187C6</stp>
        <tr r="F187" s="2"/>
      </tp>
      <tp t="s">
        <v>#N/A N/A</v>
        <stp/>
        <stp>##V3_BDPV12</stp>
        <stp>USG Equity</stp>
        <stp>Px Bid</stp>
        <stp>[Pricing File.xlsm]TotalReturnPricing!R387C6</stp>
        <tr r="F387" s="2"/>
      </tp>
      <tp>
        <v>224.04</v>
        <stp/>
        <stp>##V3_BDPV12</stp>
        <stp>ANTM Equity</stp>
        <stp>Px Ask</stp>
        <stp>[Pricing File.xlsm]TotalReturnPricing!R708C7</stp>
        <tr r="G708" s="2"/>
      </tp>
      <tp>
        <v>7.37</v>
        <stp/>
        <stp>##V3_BDPV12</stp>
        <stp>INFY Equity</stp>
        <stp>Px Ask</stp>
        <stp>[Pricing File.xlsm]TotalReturnPricing!R280C7</stp>
        <tr r="G280" s="2"/>
      </tp>
      <tp>
        <v>10.55</v>
        <stp/>
        <stp>##V3_BDPV12</stp>
        <stp>SIG Equity</stp>
        <stp>Px Bid</stp>
        <stp>[Pricing File.xlsm]TotalReturnPricing!R597C6</stp>
        <tr r="F597" s="2"/>
      </tp>
      <tp>
        <v>239.41</v>
        <stp/>
        <stp>##V3_BDPV12</stp>
        <stp>SPY Equity</stp>
        <stp>Px Bid</stp>
        <stp>[Pricing File.xlsm]TotalReturnPricing!R827C6</stp>
        <tr r="F827" s="2"/>
      </tp>
      <tp>
        <v>8.16</v>
        <stp/>
        <stp>##V3_BDPV12</stp>
        <stp>RBCN Equity</stp>
        <stp>Px Bid</stp>
        <stp>[Pricing File.xlsm]TotalReturnPricing!R211C6</stp>
        <tr r="F211" s="2"/>
      </tp>
      <tp>
        <v>10.58</v>
        <stp/>
        <stp>##V3_BDPV12</stp>
        <stp>PBF Equity</stp>
        <stp>Px Bid</stp>
        <stp>[Pricing File.xlsm]TotalReturnPricing!R347C6</stp>
        <tr r="F347" s="2"/>
      </tp>
      <tp>
        <v>1.3</v>
        <stp/>
        <stp>##V3_BDPV12</stp>
        <stp>RCMT Equity</stp>
        <stp>Px Bid</stp>
        <stp>[Pricing File.xlsm]TotalReturnPricing!R171C6</stp>
        <tr r="F171" s="2"/>
      </tp>
      <tp>
        <v>30.57</v>
        <stp/>
        <stp>##V3_BDPV12</stp>
        <stp>SCHW Equity</stp>
        <stp>Px Bid</stp>
        <stp>[Pricing File.xlsm]TotalReturnPricing!R490C6</stp>
        <tr r="F490" s="2"/>
      </tp>
      <tp>
        <v>129.51</v>
        <stp/>
        <stp>##V3_BDPV12</stp>
        <stp>KLAC Equity</stp>
        <stp>Px Ask</stp>
        <stp>[Pricing File.xlsm]TotalReturnPricing!R692C7</stp>
        <tr r="G692" s="2"/>
      </tp>
      <tp>
        <v>45.74</v>
        <stp/>
        <stp>##V3_BDPV12</stp>
        <stp>KNEBV FH Equity</stp>
        <stp>Px Bid</stp>
        <stp>[Pricing File.xlsm]TotalReturnPricing!R77C6</stp>
        <tr r="F77" s="2"/>
      </tp>
      <tp t="s">
        <v>#N/A Field Not Applicable</v>
        <stp/>
        <stp>##V3_BDPV12</stp>
        <stp>GE Equity</stp>
        <stp>OPT_DELTA</stp>
        <stp>[Pricing File.xlsm]TotalReturnPricing!R373C8</stp>
        <tr r="H373" s="2"/>
      </tp>
      <tp>
        <v>27.82</v>
        <stp/>
        <stp>##V3_BDPV12</stp>
        <stp>ASTE Equity</stp>
        <stp>Px Ask</stp>
        <stp>[Pricing File.xlsm]TotalReturnPricing!R549C7</stp>
        <tr r="G549" s="2"/>
      </tp>
      <tp>
        <v>0.36499999999999999</v>
        <stp/>
        <stp>##V3_BDPV12</stp>
        <stp>NBR Equity</stp>
        <stp>Px Bid</stp>
        <stp>[Pricing File.xlsm]TotalReturnPricing!R206C6</stp>
        <tr r="F206" s="2"/>
      </tp>
      <tp>
        <v>372.24</v>
        <stp/>
        <stp>##V3_BDPV12</stp>
        <stp>NEU Equity</stp>
        <stp>Px Bid</stp>
        <stp>[Pricing File.xlsm]TotalReturnPricing!R786C6</stp>
        <tr r="F786" s="2"/>
      </tp>
      <tp>
        <v>1.61</v>
        <stp/>
        <stp>##V3_BDPV12</stp>
        <stp>ORN Equity</stp>
        <stp>Px Bid</stp>
        <stp>[Pricing File.xlsm]TotalReturnPricing!R196C6</stp>
        <tr r="F196" s="2"/>
      </tp>
      <tp>
        <v>6.17</v>
        <stp/>
        <stp>##V3_BDPV12</stp>
        <stp>MBI Equity</stp>
        <stp>Px Bid</stp>
        <stp>[Pricing File.xlsm]TotalReturnPricing!R226C6</stp>
        <tr r="F226" s="2"/>
      </tp>
      <tp>
        <v>16.829999999999998</v>
        <stp/>
        <stp>##V3_BDPV12</stp>
        <stp>MHO Equity</stp>
        <stp>Px Bid</stp>
        <stp>[Pricing File.xlsm]TotalReturnPricing!R376C6</stp>
        <tr r="F376" s="2"/>
      </tp>
      <tp>
        <v>9.77</v>
        <stp/>
        <stp>##V3_BDPV12</stp>
        <stp>MTW Equity</stp>
        <stp>Px Bid</stp>
        <stp>[Pricing File.xlsm]TotalReturnPricing!R176C6</stp>
        <tr r="F176" s="2"/>
      </tp>
      <tp>
        <v>19.7</v>
        <stp/>
        <stp>##V3_BDPV12</stp>
        <stp>KSS Equity</stp>
        <stp>Px Bid</stp>
        <stp>[Pricing File.xlsm]TotalReturnPricing!R486C6</stp>
        <tr r="F486" s="2"/>
      </tp>
      <tp>
        <v>13.8</v>
        <stp/>
        <stp>##V3_BDPV12</stp>
        <stp>HTZ 210115P00020000 Equity</stp>
        <stp>Px Bid</stp>
        <stp>[Pricing File.xlsm]TotalReturnPricing!R887C6</stp>
        <tr r="F887" s="2"/>
      </tp>
      <tp>
        <v>12.6</v>
        <stp/>
        <stp>##V3_BDPV12</stp>
        <stp>HTZ 200717P00021000 Equity</stp>
        <stp>Px Bid</stp>
        <stp>[Pricing File.xlsm]TotalReturnPricing!R900C6</stp>
        <tr r="F900" s="2"/>
      </tp>
      <tp>
        <v>37.26</v>
        <stp/>
        <stp>##V3_BDPV12</stp>
        <stp>HUBG Equity</stp>
        <stp>Px Ask</stp>
        <stp>[Pricing File.xlsm]TotalReturnPricing!R430C7</stp>
        <tr r="G430" s="2"/>
      </tp>
      <tp>
        <v>52.76</v>
        <stp/>
        <stp>##V3_BDPV12</stp>
        <stp>ATVI Equity</stp>
        <stp>Px Ask</stp>
        <stp>[Pricing File.xlsm]TotalReturnPricing!R589C7</stp>
        <tr r="G589" s="2"/>
      </tp>
      <tp>
        <v>5</v>
        <stp/>
        <stp>##V3_BDPV12</stp>
        <stp>IDT Equity</stp>
        <stp>Px Bid</stp>
        <stp>[Pricing File.xlsm]TotalReturnPricing!R276C6</stp>
        <tr r="F276" s="2"/>
      </tp>
      <tp>
        <v>50.21</v>
        <stp/>
        <stp>##V3_BDPV12</stp>
        <stp>IWM 200320P00155000 Equity</stp>
        <stp>Px Bid</stp>
        <stp>[Pricing File.xlsm]TotalReturnPricing!R870C6</stp>
        <tr r="F870" s="2"/>
      </tp>
      <tp>
        <v>6.23</v>
        <stp/>
        <stp>##V3_BDPV12</stp>
        <stp>FCX Equity</stp>
        <stp>Px Bid</stp>
        <stp>[Pricing File.xlsm]TotalReturnPricing!R266C6</stp>
        <tr r="F266" s="2"/>
      </tp>
      <tp>
        <v>114.8</v>
        <stp/>
        <stp>##V3_BDPV12</stp>
        <stp>FCN Equity</stp>
        <stp>Px Bid</stp>
        <stp>[Pricing File.xlsm]TotalReturnPricing!R416C6</stp>
        <tr r="F416" s="2"/>
      </tp>
      <tp>
        <v>1</v>
        <stp/>
        <stp>##V3_BDPV12</stp>
        <stp>CVNA 210115C00100000 Equity</stp>
        <stp>Px Bid</stp>
        <stp>[Pricing File.xlsm]TotalReturnPricing!R860C6</stp>
        <tr r="F860" s="2"/>
      </tp>
      <tp>
        <v>54.64</v>
        <stp/>
        <stp>##V3_BDPV12</stp>
        <stp>GIB Equity</stp>
        <stp>Px Bid</stp>
        <stp>[Pricing File.xlsm]TotalReturnPricing!R556C6</stp>
        <tr r="F556" s="2"/>
      </tp>
      <tp t="s">
        <v>#N/A N/A</v>
        <stp/>
        <stp>##V3_BDPV12</stp>
        <stp>GWR Equity</stp>
        <stp>Px Bid</stp>
        <stp>[Pricing File.xlsm]TotalReturnPricing!R606C6</stp>
        <tr r="F606" s="2"/>
      </tp>
      <tp>
        <v>40.5</v>
        <stp/>
        <stp>##V3_BDPV12</stp>
        <stp>GPI Equity</stp>
        <stp>Px Bid</stp>
        <stp>[Pricing File.xlsm]TotalReturnPricing!R586C6</stp>
        <tr r="F586" s="2"/>
      </tp>
      <tp>
        <v>18.260000000000002</v>
        <stp/>
        <stp>##V3_BDPV12</stp>
        <stp>MYRG Equity</stp>
        <stp>Px Ask</stp>
        <stp>[Pricing File.xlsm]TotalReturnPricing!R415C7</stp>
        <tr r="G415" s="2"/>
      </tp>
      <tp t="s">
        <v>#N/A N/A</v>
        <stp/>
        <stp>##V3_BDPV12</stp>
        <stp>NYNY Equity</stp>
        <stp>Px Ask</stp>
        <stp>[Pricing File.xlsm]TotalReturnPricing!R356C7</stp>
        <tr r="G356" s="2"/>
      </tp>
      <tp>
        <v>1.94</v>
        <stp/>
        <stp>##V3_BDPV12</stp>
        <stp>EVC Equity</stp>
        <stp>Px Bid</stp>
        <stp>[Pricing File.xlsm]TotalReturnPricing!R186C6</stp>
        <tr r="F186" s="2"/>
      </tp>
      <tp>
        <v>55.44</v>
        <stp/>
        <stp>##V3_BDPV12</stp>
        <stp>COF Equity</stp>
        <stp>Px Bid</stp>
        <stp>[Pricing File.xlsm]TotalReturnPricing!R666C6</stp>
        <tr r="F666" s="2"/>
      </tp>
      <tp>
        <v>31.47</v>
        <stp/>
        <stp>##V3_BDPV12</stp>
        <stp>CMA Equity</stp>
        <stp>Px Bid</stp>
        <stp>[Pricing File.xlsm]TotalReturnPricing!R626C6</stp>
        <tr r="F626" s="2"/>
      </tp>
      <tp>
        <v>52.3</v>
        <stp/>
        <stp>##V3_BDPV12</stp>
        <stp>CVS Equity</stp>
        <stp>Px Bid</stp>
        <stp>[Pricing File.xlsm]TotalReturnPricing!R816C6</stp>
        <tr r="F816" s="2"/>
      </tp>
      <tp>
        <v>5.0999999999999996</v>
        <stp/>
        <stp>##V3_BDPV12</stp>
        <stp>TROX Equity</stp>
        <stp>Px Bid</stp>
        <stp>[Pricing File.xlsm]TotalReturnPricing!R316C6</stp>
        <tr r="F316" s="2"/>
      </tp>
      <tp t="s">
        <v>#N/A N/A</v>
        <stp/>
        <stp>##V3_BDPV12</stp>
        <stp>ULTI Equity</stp>
        <stp>Px Bid</stp>
        <stp>[Pricing File.xlsm]TotalReturnPricing!R777C6</stp>
        <tr r="F777" s="2"/>
      </tp>
      <tp>
        <v>28.6</v>
        <stp/>
        <stp>##V3_BDPV12</stp>
        <stp>MATX Equity</stp>
        <stp>Px Ask</stp>
        <stp>[Pricing File.xlsm]TotalReturnPricing!R395C7</stp>
        <tr r="G395" s="2"/>
      </tp>
      <tp>
        <v>244.21</v>
        <stp/>
        <stp>##V3_BDPV12</stp>
        <stp>AAPL Equity</stp>
        <stp>Px Ask</stp>
        <stp>[Pricing File.xlsm]TotalReturnPricing!R109C7</stp>
        <tr r="G109" s="2"/>
      </tp>
      <tp>
        <v>5.87</v>
        <stp/>
        <stp>##V3_BDPV12</stp>
        <stp>ZNGA Equity</stp>
        <stp>Px Bid</stp>
        <stp>[Pricing File.xlsm]TotalReturnPricing!R158C6</stp>
        <tr r="F158" s="2"/>
      </tp>
      <tp>
        <v>6.68</v>
        <stp/>
        <stp>##V3_BDPV12</stp>
        <stp>WIFI Equity</stp>
        <stp>Px Bid</stp>
        <stp>[Pricing File.xlsm]TotalReturnPricing!R275C6</stp>
        <tr r="F275" s="2"/>
      </tp>
      <tp>
        <v>51.06</v>
        <stp/>
        <stp>##V3_BDPV12</stp>
        <stp>VZ Equity</stp>
        <stp>Px Ask</stp>
        <stp>[Pricing File.xlsm]TotalReturnPricing!R526C7</stp>
        <tr r="G526" s="2"/>
      </tp>
      <tp>
        <v>55.7</v>
        <stp/>
        <stp>##V3_BDPV12</stp>
        <stp>XLI Equity</stp>
        <stp>Px Bid</stp>
        <stp>[Pricing File.xlsm]TotalReturnPricing!R846C6</stp>
        <tr r="F846" s="2"/>
      </tp>
      <tp>
        <v>27.95</v>
        <stp/>
        <stp>##V3_BDPV12</stp>
        <stp>ZG Equity</stp>
        <stp>Px Ask</stp>
        <stp>[Pricing File.xlsm]TotalReturnPricing!R506C7</stp>
        <tr r="G506" s="2"/>
      </tp>
      <tp>
        <v>17.82</v>
        <stp/>
        <stp>##V3_BDPV12</stp>
        <stp>DY Equity</stp>
        <stp>Px Ask</stp>
        <stp>[Pricing File.xlsm]TotalReturnPricing!R676C7</stp>
        <tr r="G676" s="2"/>
      </tp>
      <tp>
        <v>154.66</v>
        <stp/>
        <stp>##V3_BDPV12</stp>
        <stp>GS Equity</stp>
        <stp>Px Ask</stp>
        <stp>[Pricing File.xlsm]TotalReturnPricing!R776C7</stp>
        <tr r="G776" s="2"/>
      </tp>
      <tp>
        <v>34.04</v>
        <stp/>
        <stp>##V3_BDPV12</stp>
        <stp>OC Equity</stp>
        <stp>Px Ask</stp>
        <stp>[Pricing File.xlsm]TotalReturnPricing!R616C7</stp>
        <tr r="G616" s="2"/>
      </tp>
      <tp>
        <v>2.67</v>
        <stp/>
        <stp>##V3_BDPV12</stp>
        <stp>UAL 200417P00020000 Equity</stp>
        <stp>Px Bid</stp>
        <stp>[Pricing File.xlsm]TotalReturnPricing!R922C6</stp>
        <tr r="F922" s="2"/>
      </tp>
      <tp>
        <v>12.7</v>
        <stp/>
        <stp>##V3_BDPV12</stp>
        <stp>UAL 200417P00045000 Equity</stp>
        <stp>Px Bid</stp>
        <stp>[Pricing File.xlsm]TotalReturnPricing!R917C6</stp>
        <tr r="F917" s="2"/>
      </tp>
      <tp>
        <v>1.5</v>
        <stp/>
        <stp>##V3_BDPV12</stp>
        <stp>UAL 200417C00050000 Equity</stp>
        <stp>Px Bid</stp>
        <stp>[Pricing File.xlsm]TotalReturnPricing!R912C6</stp>
        <tr r="F912" s="2"/>
      </tp>
      <tp>
        <v>48.07</v>
        <stp/>
        <stp>##V3_BDPV12</stp>
        <stp>WAB Equity</stp>
        <stp>Px Bid</stp>
        <stp>[Pricing File.xlsm]TotalReturnPricing!R636C6</stp>
        <tr r="F636" s="2"/>
      </tp>
      <tp>
        <v>11.5</v>
        <stp/>
        <stp>##V3_BDPV12</stp>
        <stp>WDR Equity</stp>
        <stp>Px Bid</stp>
        <stp>[Pricing File.xlsm]TotalReturnPricing!R326C6</stp>
        <tr r="F326" s="2"/>
      </tp>
      <tp>
        <v>35.57</v>
        <stp/>
        <stp>##V3_BDPV12</stp>
        <stp>WSM Equity</stp>
        <stp>Px Bid</stp>
        <stp>[Pricing File.xlsm]TotalReturnPricing!R516C6</stp>
        <tr r="F516" s="2"/>
      </tp>
      <tp>
        <v>115.67</v>
        <stp/>
        <stp>##V3_BDPV12</stp>
        <stp>TIF Equity</stp>
        <stp>Px Bid</stp>
        <stp>[Pricing File.xlsm]TotalReturnPricing!R686C6</stp>
        <tr r="F686" s="2"/>
      </tp>
      <tp>
        <v>93.49</v>
        <stp/>
        <stp>##V3_BDPV12</stp>
        <stp>TXN Equity</stp>
        <stp>Px Bid</stp>
        <stp>[Pricing File.xlsm]TotalReturnPricing!R656C6</stp>
        <tr r="F656" s="2"/>
      </tp>
      <tp>
        <v>7.02</v>
        <stp/>
        <stp>##V3_BDPV12</stp>
        <stp>SGMS Equity</stp>
        <stp>Px Bid</stp>
        <stp>[Pricing File.xlsm]TotalReturnPricing!R461C6</stp>
        <tr r="F461" s="2"/>
      </tp>
      <tp>
        <v>105.45</v>
        <stp/>
        <stp>##V3_BDPV12</stp>
        <stp>LHCG Equity</stp>
        <stp>Px Ask</stp>
        <stp>[Pricing File.xlsm]TotalReturnPricing!R574C7</stp>
        <tr r="G574" s="2"/>
      </tp>
      <tp>
        <v>24.84</v>
        <stp/>
        <stp>##V3_BDPV12</stp>
        <stp>UFS Equity</stp>
        <stp>Px Bid</stp>
        <stp>[Pricing File.xlsm]TotalReturnPricing!R466C6</stp>
        <tr r="F466" s="2"/>
      </tp>
      <tp>
        <v>125.09</v>
        <stp/>
        <stp>##V3_BDPV12</stp>
        <stp>UNP Equity</stp>
        <stp>Px Bid</stp>
        <stp>[Pricing File.xlsm]TotalReturnPricing!R696C6</stp>
        <tr r="F696" s="2"/>
      </tp>
      <tp>
        <v>43.41</v>
        <stp/>
        <stp>##V3_BDPV12</stp>
        <stp>RHI Equity</stp>
        <stp>Px Bid</stp>
        <stp>[Pricing File.xlsm]TotalReturnPricing!R496C6</stp>
        <tr r="F496" s="2"/>
      </tp>
      <tp>
        <v>57.62</v>
        <stp/>
        <stp>##V3_BDPV12</stp>
        <stp>PAYX Equity</stp>
        <stp>Px Bid</stp>
        <stp>[Pricing File.xlsm]TotalReturnPricing!R582C6</stp>
        <tr r="F582" s="2"/>
      </tp>
      <tp>
        <v>62.12</v>
        <stp/>
        <stp>##V3_BDPV12</stp>
        <stp>TARO Equity</stp>
        <stp>Px Bid</stp>
        <stp>[Pricing File.xlsm]TotalReturnPricing!R716C6</stp>
        <tr r="F716" s="2"/>
      </tp>
      <tp>
        <v>6.42</v>
        <stp/>
        <stp>##V3_BDPV12</stp>
        <stp>SABR Equity</stp>
        <stp>Px Bid</stp>
        <stp>[Pricing File.xlsm]TotalReturnPricing!R341C6</stp>
        <tr r="F341" s="2"/>
      </tp>
      <tp>
        <v>0.25</v>
        <stp/>
        <stp>##V3_BDPV12</stp>
        <stp>UAL 200619C00097500 Equity</stp>
        <stp>Px Bid</stp>
        <stp>[Pricing File.xlsm]TotalReturnPricing!R867C6</stp>
        <tr r="F867" s="2"/>
      </tp>
      <tp>
        <v>15.33</v>
        <stp/>
        <stp>##V3_BDPV12</stp>
        <stp>SEM Equity</stp>
        <stp>Px Bid</stp>
        <stp>[Pricing File.xlsm]TotalReturnPricing!R286C6</stp>
        <tr r="F286" s="2"/>
      </tp>
      <tp>
        <v>36.6</v>
        <stp/>
        <stp>##V3_BDPV12</stp>
        <stp>UAL 200515P00072500 Equity</stp>
        <stp>Px Bid</stp>
        <stp>[Pricing File.xlsm]TotalReturnPricing!R911C6</stp>
        <tr r="F911" s="2"/>
      </tp>
      <tp>
        <v>14.81</v>
        <stp/>
        <stp>##V3_BDPV12</stp>
        <stp>SYX Equity</stp>
        <stp>Px Bid</stp>
        <stp>[Pricing File.xlsm]TotalReturnPricing!R306C6</stp>
        <tr r="F306" s="2"/>
      </tp>
      <tp>
        <v>17.850000000000001</v>
        <stp/>
        <stp>##V3_BDPV12</stp>
        <stp>SYF Equity</stp>
        <stp>Px Bid</stp>
        <stp>[Pricing File.xlsm]TotalReturnPricing!R406C6</stp>
        <tr r="F406" s="2"/>
      </tp>
      <tp>
        <v>7.28</v>
        <stp/>
        <stp>##V3_BDPV12</stp>
        <stp>AMKR Equity</stp>
        <stp>Px Ask</stp>
        <stp>[Pricing File.xlsm]TotalReturnPricing!R229C7</stp>
        <tr r="G229" s="2"/>
      </tp>
      <tp t="s">
        <v>#N/A N/A</v>
        <stp/>
        <stp>##V3_BDPV12</stp>
        <stp>PIR Equity</stp>
        <stp>Px Bid</stp>
        <stp>[Pricing File.xlsm]TotalReturnPricing!R166C6</stp>
        <tr r="F166" s="2"/>
      </tp>
      <tp>
        <v>30.57</v>
        <stp/>
        <stp>##V3_BDPV12</stp>
        <stp>SCHW Equity</stp>
        <stp>Px Bid</stp>
        <stp>[Pricing File.xlsm]TotalReturnPricing!R491C6</stp>
        <tr r="F491" s="2"/>
      </tp>
      <tp>
        <v>210.99</v>
        <stp/>
        <stp>##V3_BDPV12</stp>
        <stp>ILMN Equity</stp>
        <stp>Px Ask</stp>
        <stp>[Pricing File.xlsm]TotalReturnPricing!R761C7</stp>
        <tr r="G761" s="2"/>
      </tp>
      <tp t="s">
        <v>#N/A Field Not Applicable</v>
        <stp/>
        <stp>##V3_BDPV12</stp>
        <stp>AN Equity</stp>
        <stp>OPT_DELTA</stp>
        <stp>[Pricing File.xlsm]TotalReturnPricing!R489C8</stp>
        <tr r="H489" s="2"/>
      </tp>
      <tp t="s">
        <v>#N/A Field Not Applicable</v>
        <stp/>
        <stp>##V3_BDPV12</stp>
        <stp>GE Equity</stp>
        <stp>OPT_DELTA</stp>
        <stp>[Pricing File.xlsm]TotalReturnPricing!R372C8</stp>
        <tr r="H372" s="2"/>
      </tp>
      <tp>
        <v>12.22</v>
        <stp/>
        <stp>##V3_BDPV12</stp>
        <stp>DGICA Equity</stp>
        <stp>Px Bid</stp>
        <stp>[Pricing File.xlsm]TotalReturnPricing!R274C6</stp>
        <tr r="F274" s="2"/>
      </tp>
      <tp t="s">
        <v>#N/A Field Not Applicable</v>
        <stp/>
        <stp>##V3_BDPV12</stp>
        <stp>V Equity</stp>
        <stp>OPT_DELTA</stp>
        <stp>[Pricing File.xlsm]TotalReturnPricing!R690C8</stp>
        <tr r="H690" s="2"/>
      </tp>
      <tp t="s">
        <v>#N/A Field Not Applicable</v>
        <stp/>
        <stp>##V3_BDPV12</stp>
        <stp>SAND SS Equity</stp>
        <stp>OPT_DELTA</stp>
        <stp>[Pricing File.xlsm]TotalReturnPricing!R725C8</stp>
        <tr r="H725" s="2"/>
      </tp>
      <tp>
        <v>40.380000000000003</v>
        <stp/>
        <stp>##V3_BDPV12</stp>
        <stp>LVS Equity</stp>
        <stp>Px Bid</stp>
        <stp>[Pricing File.xlsm]TotalReturnPricing!R595C6</stp>
        <tr r="F595" s="2"/>
      </tp>
      <tp>
        <v>1.59</v>
        <stp/>
        <stp>##V3_BDPV12</stp>
        <stp>LXU Equity</stp>
        <stp>Px Bid</stp>
        <stp>[Pricing File.xlsm]TotalReturnPricing!R205C6</stp>
        <tr r="F205" s="2"/>
      </tp>
      <tp>
        <v>7.82</v>
        <stp/>
        <stp>##V3_BDPV12</stp>
        <stp>MTG Equity</stp>
        <stp>Px Bid</stp>
        <stp>[Pricing File.xlsm]TotalReturnPricing!R235C6</stp>
        <tr r="F235" s="2"/>
      </tp>
      <tp>
        <v>88.35</v>
        <stp/>
        <stp>##V3_BDPV12</stp>
        <stp>JPM Equity</stp>
        <stp>Px Bid</stp>
        <stp>[Pricing File.xlsm]TotalReturnPricing!R675C6</stp>
        <tr r="F675" s="2"/>
      </tp>
      <tp>
        <v>54.79</v>
        <stp/>
        <stp>##V3_BDPV12</stp>
        <stp>WYNN Equity</stp>
        <stp>Px Bid</stp>
        <stp>[Pricing File.xlsm]TotalReturnPricing!R726C6</stp>
        <tr r="F726" s="2"/>
      </tp>
      <tp>
        <v>53.7</v>
        <stp/>
        <stp>##V3_BDPV12</stp>
        <stp>LYFT 210115P00075000 Equity</stp>
        <stp>Px Bid</stp>
        <stp>[Pricing File.xlsm]TotalReturnPricing!R899C6</stp>
        <tr r="F899" s="2"/>
      </tp>
      <tp>
        <v>40.1</v>
        <stp/>
        <stp>##V3_BDPV12</stp>
        <stp>HXL Equity</stp>
        <stp>Px Bid</stp>
        <stp>[Pricing File.xlsm]TotalReturnPricing!R545C6</stp>
        <tr r="F545" s="2"/>
      </tp>
      <tp>
        <v>9.6999999999999993</v>
        <stp/>
        <stp>##V3_BDPV12</stp>
        <stp>HTZ 200320P00017000 Equity</stp>
        <stp>Px Bid</stp>
        <stp>[Pricing File.xlsm]TotalReturnPricing!R901C6</stp>
        <tr r="F901" s="2"/>
      </tp>
      <tp t="s">
        <v>#N/A N/A</v>
        <stp/>
        <stp>##V3_BDPV12</stp>
        <stp>CTRP Equity</stp>
        <stp>Px Ask</stp>
        <stp>[Pricing File.xlsm]TotalReturnPricing!R578C7</stp>
        <tr r="G578" s="2"/>
      </tp>
      <tp>
        <v>8.74</v>
        <stp/>
        <stp>##V3_BDPV12</stp>
        <stp>IVZ Equity</stp>
        <stp>Px Bid</stp>
        <stp>[Pricing File.xlsm]TotalReturnPricing!R435C6</stp>
        <tr r="F435" s="2"/>
      </tp>
      <tp>
        <v>105.03</v>
        <stp/>
        <stp>##V3_BDPV12</stp>
        <stp>STMP Equity</stp>
        <stp>Px Bid</stp>
        <stp>[Pricing File.xlsm]TotalReturnPricing!R742C6</stp>
        <tr r="F742" s="2"/>
      </tp>
      <tp>
        <v>22.49</v>
        <stp/>
        <stp>##V3_BDPV12</stp>
        <stp>FLS Equity</stp>
        <stp>Px Bid</stp>
        <stp>[Pricing File.xlsm]TotalReturnPricing!R515C6</stp>
        <tr r="F515" s="2"/>
      </tp>
      <tp>
        <v>28.28</v>
        <stp/>
        <stp>##V3_BDPV12</stp>
        <stp>FNF Equity</stp>
        <stp>Px Bid</stp>
        <stp>[Pricing File.xlsm]TotalReturnPricing!R525C6</stp>
        <tr r="F525" s="2"/>
      </tp>
      <tp>
        <v>7.76</v>
        <stp/>
        <stp>##V3_BDPV12</stp>
        <stp>FRO Equity</stp>
        <stp>Px Bid</stp>
        <stp>[Pricing File.xlsm]TotalReturnPricing!R175C6</stp>
        <tr r="F175" s="2"/>
      </tp>
      <tp>
        <v>82.91</v>
        <stp/>
        <stp>##V3_BDPV12</stp>
        <stp>FRC Equity</stp>
        <stp>Px Bid</stp>
        <stp>[Pricing File.xlsm]TotalReturnPricing!R695C6</stp>
        <tr r="F695" s="2"/>
      </tp>
      <tp>
        <v>3.15</v>
        <stp/>
        <stp>##V3_BDPV12</stp>
        <stp>TVTY Equity</stp>
        <stp>Px Bid</stp>
        <stp>[Pricing File.xlsm]TotalReturnPricing!R475C6</stp>
        <tr r="F475" s="2"/>
      </tp>
      <tp t="s">
        <v>#N/A N/A</v>
        <stp/>
        <stp>##V3_BDPV12</stp>
        <stp>NYNY Equity</stp>
        <stp>Px Ask</stp>
        <stp>[Pricing File.xlsm]TotalReturnPricing!R355C7</stp>
        <tr r="G355" s="2"/>
      </tp>
      <tp>
        <v>19.12</v>
        <stp/>
        <stp>##V3_BDPV12</stp>
        <stp>LYFT Equity</stp>
        <stp>Px Ask</stp>
        <stp>[Pricing File.xlsm]TotalReturnPricing!R837C7</stp>
        <tr r="G837" s="2"/>
      </tp>
      <tp>
        <v>37.86</v>
        <stp/>
        <stp>##V3_BDPV12</stp>
        <stp>DFS Equity</stp>
        <stp>Px Bid</stp>
        <stp>[Pricing File.xlsm]TotalReturnPricing!R585C6</stp>
        <tr r="F585" s="2"/>
      </tp>
      <tp>
        <v>34.85</v>
        <stp/>
        <stp>##V3_BDPV12</stp>
        <stp>DDS Equity</stp>
        <stp>Px Bid</stp>
        <stp>[Pricing File.xlsm]TotalReturnPricing!R645C6</stp>
        <tr r="F645" s="2"/>
      </tp>
      <tp t="s">
        <v>#N/A N/A</v>
        <stp/>
        <stp>##V3_BDPV12</stp>
        <stp>DDE Equity</stp>
        <stp>Px Bid</stp>
        <stp>[Pricing File.xlsm]TotalReturnPricing!R825C6</stp>
        <tr r="F825" s="2"/>
      </tp>
      <tp>
        <v>21.19</v>
        <stp/>
        <stp>##V3_BDPV12</stp>
        <stp>DKS Equity</stp>
        <stp>Px Bid</stp>
        <stp>[Pricing File.xlsm]TotalReturnPricing!R455C6</stp>
        <tr r="F455" s="2"/>
      </tp>
      <tp>
        <v>71.73</v>
        <stp/>
        <stp>##V3_BDPV12</stp>
        <stp>DVA Equity</stp>
        <stp>Px Bid</stp>
        <stp>[Pricing File.xlsm]TotalReturnPricing!R605C6</stp>
        <tr r="F605" s="2"/>
      </tp>
      <tp>
        <v>49.2</v>
        <stp/>
        <stp>##V3_BDPV12</stp>
        <stp>DRI Equity</stp>
        <stp>Px Bid</stp>
        <stp>[Pricing File.xlsm]TotalReturnPricing!R665C6</stp>
        <tr r="F665" s="2"/>
      </tp>
      <tp>
        <v>4.87</v>
        <stp/>
        <stp>##V3_BDPV12</stp>
        <stp>SPWH Equity</stp>
        <stp>Px Bid</stp>
        <stp>[Pricing File.xlsm]TotalReturnPricing!R162C6</stp>
        <tr r="F162" s="2"/>
      </tp>
      <tp>
        <v>2.2599999999999998</v>
        <stp/>
        <stp>##V3_BDPV12</stp>
        <stp>BKD Equity</stp>
        <stp>Px Bid</stp>
        <stp>[Pricing File.xlsm]TotalReturnPricing!R265C6</stp>
        <tr r="F265" s="2"/>
      </tp>
      <tp>
        <v>14.3</v>
        <stp/>
        <stp>##V3_BDPV12</stp>
        <stp>CAR Equity</stp>
        <stp>Px Bid</stp>
        <stp>[Pricing File.xlsm]TotalReturnPricing!R425C6</stp>
        <tr r="F425" s="2"/>
      </tp>
      <tp>
        <v>93.4</v>
        <stp/>
        <stp>##V3_BDPV12</stp>
        <stp>CAT Equity</stp>
        <stp>Px Bid</stp>
        <stp>[Pricing File.xlsm]TotalReturnPricing!R715C6</stp>
        <tr r="F715" s="2"/>
      </tp>
      <tp>
        <v>31.47</v>
        <stp/>
        <stp>##V3_BDPV12</stp>
        <stp>CMA Equity</stp>
        <stp>Px Bid</stp>
        <stp>[Pricing File.xlsm]TotalReturnPricing!R625C6</stp>
        <tr r="F625" s="2"/>
      </tp>
      <tp>
        <v>6.06</v>
        <stp/>
        <stp>##V3_BDPV12</stp>
        <stp>CZR Equity</stp>
        <stp>Px Bid</stp>
        <stp>[Pricing File.xlsm]TotalReturnPricing!R245C6</stp>
        <tr r="F245" s="2"/>
      </tp>
      <tp>
        <v>12.46</v>
        <stp/>
        <stp>##V3_BDPV12</stp>
        <stp>TRWH Equity</stp>
        <stp>Px Bid</stp>
        <stp>[Pricing File.xlsm]TotalReturnPricing!R835C6</stp>
        <tr r="F835" s="2"/>
      </tp>
      <tp>
        <v>1.48</v>
        <stp/>
        <stp>##V3_BDPV12</stp>
        <stp>YRCW Equity</stp>
        <stp>Px Bid</stp>
        <stp>[Pricing File.xlsm]TotalReturnPricing!R248C6</stp>
        <tr r="F248" s="2"/>
      </tp>
      <tp>
        <v>253.83</v>
        <stp/>
        <stp>##V3_BDPV12</stp>
        <stp>TREE Equity</stp>
        <stp>Px Bid</stp>
        <stp>[Pricing File.xlsm]TotalReturnPricing!R775C6</stp>
        <tr r="F775" s="2"/>
      </tp>
      <tp>
        <v>11.42</v>
        <stp/>
        <stp>##V3_BDPV12</stp>
        <stp>USCR Equity</stp>
        <stp>Px Bid</stp>
        <stp>[Pricing File.xlsm]TotalReturnPricing!R824C6</stp>
        <tr r="F824" s="2"/>
      </tp>
      <tp t="s">
        <v>#N/A N/A</v>
        <stp/>
        <stp>##V3_BDPV12</stp>
        <stp>AET Equity</stp>
        <stp>Px Bid</stp>
        <stp>[Pricing File.xlsm]TotalReturnPricing!R745C6</stp>
        <tr r="F745" s="2"/>
      </tp>
      <tp>
        <v>76.489999999999995</v>
        <stp/>
        <stp>##V3_BDPV12</stp>
        <stp>CCOI Equity</stp>
        <stp>Px Ask</stp>
        <stp>[Pricing File.xlsm]TotalReturnPricing!R498C7</stp>
        <tr r="G498" s="2"/>
      </tp>
      <tp>
        <v>77.53</v>
        <stp/>
        <stp>##V3_BDPV12</stp>
        <stp>CBRL Equity</stp>
        <stp>Px Ask</stp>
        <stp>[Pricing File.xlsm]TotalReturnPricing!R748C7</stp>
        <tr r="G748" s="2"/>
      </tp>
      <tp>
        <v>0.1</v>
        <stp/>
        <stp>##V3_BDPV12</stp>
        <stp>ALGT 200417C00150000 Equity</stp>
        <stp>Px Bid</stp>
        <stp>[Pricing File.xlsm]TotalReturnPricing!R864C6</stp>
        <tr r="F864" s="2"/>
      </tp>
      <tp>
        <v>49.33</v>
        <stp/>
        <stp>##V3_BDPV12</stp>
        <stp>MGRC Equity</stp>
        <stp>Px Ask</stp>
        <stp>[Pricing File.xlsm]TotalReturnPricing!R436C7</stp>
        <tr r="G436" s="2"/>
      </tp>
      <tp>
        <v>322.25</v>
        <stp/>
        <stp>##V3_BDPV12</stp>
        <stp>SHOP Equity</stp>
        <stp>Px Bid</stp>
        <stp>[Pricing File.xlsm]TotalReturnPricing!R672C6</stp>
        <tr r="F672" s="2"/>
      </tp>
      <tp>
        <v>1.65</v>
        <stp/>
        <stp>##V3_BDPV12</stp>
        <stp>SM Equity</stp>
        <stp>Px Ask</stp>
        <stp>[Pricing File.xlsm]TotalReturnPricing!R305C7</stp>
        <tr r="G305" s="2"/>
      </tp>
      <tp>
        <v>99.89</v>
        <stp/>
        <stp>##V3_BDPV12</stp>
        <stp>WM Equity</stp>
        <stp>Px Ask</stp>
        <stp>[Pricing File.xlsm]TotalReturnPricing!R635C7</stp>
        <tr r="G635" s="2"/>
      </tp>
      <tp>
        <v>34.47</v>
        <stp/>
        <stp>##V3_BDPV12</stp>
        <stp>XOM Equity</stp>
        <stp>Px Bid</stp>
        <stp>[Pricing File.xlsm]TotalReturnPricing!R655C6</stp>
        <tr r="F655" s="2"/>
      </tp>
      <tp>
        <v>9.85</v>
        <stp/>
        <stp>##V3_BDPV12</stp>
        <stp>XHR Equity</stp>
        <stp>Px Bid</stp>
        <stp>[Pricing File.xlsm]TotalReturnPricing!R325C6</stp>
        <tr r="F325" s="2"/>
      </tp>
      <tp>
        <v>235.65</v>
        <stp/>
        <stp>##V3_BDPV12</stp>
        <stp>MA Equity</stp>
        <stp>Px Ask</stp>
        <stp>[Pricing File.xlsm]TotalReturnPricing!R805C7</stp>
        <tr r="G805" s="2"/>
      </tp>
      <tp>
        <v>34.46</v>
        <stp/>
        <stp>##V3_BDPV12</stp>
        <stp>MU Equity</stp>
        <stp>Px Ask</stp>
        <stp>[Pricing File.xlsm]TotalReturnPricing!R405C7</stp>
        <tr r="G405" s="2"/>
      </tp>
      <tp>
        <v>13.21</v>
        <stp/>
        <stp>##V3_BDPV12</stp>
        <stp>HA Equity</stp>
        <stp>Px Ask</stp>
        <stp>[Pricing File.xlsm]TotalReturnPricing!R485C7</stp>
        <tr r="G485" s="2"/>
      </tp>
      <tp>
        <v>22.96</v>
        <stp/>
        <stp>##V3_BDPV12</stp>
        <stp>SKYW Equity</stp>
        <stp>Px Bid</stp>
        <stp>[Pricing File.xlsm]TotalReturnPricing!R442C6</stp>
        <tr r="F442" s="2"/>
      </tp>
      <tp t="s">
        <v>#N/A N/A</v>
        <stp/>
        <stp>##V3_BDPV12</stp>
        <stp>SEMG Equity</stp>
        <stp>Px Bid</stp>
        <stp>[Pricing File.xlsm]TotalReturnPricing!R382C6</stp>
        <tr r="F382" s="2"/>
      </tp>
      <tp>
        <v>0.245</v>
        <stp/>
        <stp>##V3_BDPV12</stp>
        <stp>PEIX Equity</stp>
        <stp>Px Bid</stp>
        <stp>[Pricing File.xlsm]TotalReturnPricing!R181C6</stp>
        <tr r="F181" s="2"/>
      </tp>
      <tp t="s">
        <v>#N/A N/A</v>
        <stp/>
        <stp>##V3_BDPV12</stp>
        <stp>BIOS Equity</stp>
        <stp>Px Ask</stp>
        <stp>[Pricing File.xlsm]TotalReturnPricing!R149C7</stp>
        <tr r="G149" s="2"/>
      </tp>
      <tp>
        <v>89.75</v>
        <stp/>
        <stp>##V3_BDPV12</stp>
        <stp>BIDU Equity</stp>
        <stp>Px Ask</stp>
        <stp>[Pricing File.xlsm]TotalReturnPricing!R769C7</stp>
        <tr r="G769" s="2"/>
      </tp>
      <tp>
        <v>254.86</v>
        <stp/>
        <stp>##V3_BDPV12</stp>
        <stp>TDY Equity</stp>
        <stp>Px Bid</stp>
        <stp>[Pricing File.xlsm]TotalReturnPricing!R735C6</stp>
        <tr r="F735" s="2"/>
      </tp>
      <tp>
        <v>93.79</v>
        <stp/>
        <stp>##V3_BDPV12</stp>
        <stp>TGT Equity</stp>
        <stp>Px Bid</stp>
        <stp>[Pricing File.xlsm]TotalReturnPricing!R565C6</stp>
        <tr r="F565" s="2"/>
      </tp>
      <tp>
        <v>61.18</v>
        <stp/>
        <stp>##V3_BDPV12</stp>
        <stp>CHRW Equity</stp>
        <stp>Px Ask</stp>
        <stp>[Pricing File.xlsm]TotalReturnPricing!R608C7</stp>
        <tr r="G608" s="2"/>
      </tp>
      <tp>
        <v>8.5299999999999994</v>
        <stp/>
        <stp>##V3_BDPV12</stp>
        <stp>PGTI Equity</stp>
        <stp>Px Bid</stp>
        <stp>[Pricing File.xlsm]TotalReturnPricing!R251C6</stp>
        <tr r="F251" s="2"/>
      </tp>
      <tp>
        <v>24.84</v>
        <stp/>
        <stp>##V3_BDPV12</stp>
        <stp>UFS Equity</stp>
        <stp>Px Bid</stp>
        <stp>[Pricing File.xlsm]TotalReturnPricing!R465C6</stp>
        <tr r="F465" s="2"/>
      </tp>
      <tp>
        <v>224.97</v>
        <stp/>
        <stp>##V3_BDPV12</stp>
        <stp>UNH Equity</stp>
        <stp>Px Bid</stp>
        <stp>[Pricing File.xlsm]TotalReturnPricing!R765C6</stp>
        <tr r="F765" s="2"/>
      </tp>
      <tp>
        <v>81.709999999999994</v>
        <stp/>
        <stp>##V3_BDPV12</stp>
        <stp>UHS Equity</stp>
        <stp>Px Bid</stp>
        <stp>[Pricing File.xlsm]TotalReturnPricing!R705C6</stp>
        <tr r="F705" s="2"/>
      </tp>
      <tp>
        <v>1.29</v>
        <stp/>
        <stp>##V3_BDPV12</stp>
        <stp>RIG Equity</stp>
        <stp>Px Bid</stp>
        <stp>[Pricing File.xlsm]TotalReturnPricing!R215C6</stp>
        <tr r="F215" s="2"/>
      </tp>
      <tp>
        <v>43.41</v>
        <stp/>
        <stp>##V3_BDPV12</stp>
        <stp>RHI Equity</stp>
        <stp>Px Bid</stp>
        <stp>[Pricing File.xlsm]TotalReturnPricing!R495C6</stp>
        <tr r="F495" s="2"/>
      </tp>
      <tp>
        <v>6.14</v>
        <stp/>
        <stp>##V3_BDPV12</stp>
        <stp>RRR Equity</stp>
        <stp>Px Bid</stp>
        <stp>[Pricing File.xlsm]TotalReturnPricing!R365C6</stp>
        <tr r="F365" s="2"/>
      </tp>
      <tp>
        <v>57.4</v>
        <stp/>
        <stp>##V3_BDPV12</stp>
        <stp>SAIC Equity</stp>
        <stp>Px Bid</stp>
        <stp>[Pricing File.xlsm]TotalReturnPricing!R622C6</stp>
        <tr r="F622" s="2"/>
      </tp>
      <tp>
        <v>90.62</v>
        <stp/>
        <stp>##V3_BDPV12</stp>
        <stp>SMG Equity</stp>
        <stp>Px Bid</stp>
        <stp>[Pricing File.xlsm]TotalReturnPricing!R685C6</stp>
        <tr r="F685" s="2"/>
      </tp>
      <tp>
        <v>14.4</v>
        <stp/>
        <stp>##V3_BDPV12</stp>
        <stp>SLB Equity</stp>
        <stp>Px Bid</stp>
        <stp>[Pricing File.xlsm]TotalReturnPricing!R615C6</stp>
        <tr r="F615" s="2"/>
      </tp>
      <tp t="s">
        <v>#N/A N/A</v>
        <stp/>
        <stp>##V3_BDPV12</stp>
        <stp>SSW Equity</stp>
        <stp>Px Bid</stp>
        <stp>[Pricing File.xlsm]TotalReturnPricing!R185C6</stp>
        <tr r="F185" s="2"/>
      </tp>
      <tp>
        <v>14.56</v>
        <stp/>
        <stp>##V3_BDPV12</stp>
        <stp>MMYT Equity</stp>
        <stp>Px Ask</stp>
        <stp>[Pricing File.xlsm]TotalReturnPricing!R426C7</stp>
        <tr r="G426" s="2"/>
      </tp>
      <tp>
        <v>11.83</v>
        <stp/>
        <stp>##V3_BDPV12</stp>
        <stp>PBCT Equity</stp>
        <stp>Px Bid</stp>
        <stp>[Pricing File.xlsm]TotalReturnPricing!R301C6</stp>
        <tr r="F301" s="2"/>
      </tp>
      <tp>
        <v>13.1</v>
        <stp/>
        <stp>##V3_BDPV12</stp>
        <stp>SBGI Equity</stp>
        <stp>Px Bid</stp>
        <stp>[Pricing File.xlsm]TotalReturnPricing!R452C6</stp>
        <tr r="F452" s="2"/>
      </tp>
      <tp t="s">
        <v>#N/A N/A</v>
        <stp/>
        <stp>##V3_BDPV12</stp>
        <stp>PIR Equity</stp>
        <stp>Px Bid</stp>
        <stp>[Pricing File.xlsm]TotalReturnPricing!R165C6</stp>
        <tr r="F165" s="2"/>
      </tp>
      <tp>
        <v>59.71</v>
        <stp/>
        <stp>##V3_BDPV12</stp>
        <stp>PXD Equity</stp>
        <stp>Px Bid</stp>
        <stp>[Pricing File.xlsm]TotalReturnPricing!R755C6</stp>
        <tr r="F755" s="2"/>
      </tp>
      <tp>
        <v>8.5500000000000007</v>
        <stp/>
        <stp>##V3_BDPV12</stp>
        <stp>PCYO Equity</stp>
        <stp>Px Bid</stp>
        <stp>[Pricing File.xlsm]TotalReturnPricing!R201C6</stp>
        <tr r="F201" s="2"/>
      </tp>
      <tp>
        <v>15.36</v>
        <stp/>
        <stp>##V3_BDPV12</stp>
        <stp>RCII Equity</stp>
        <stp>Px Bid</stp>
        <stp>[Pricing File.xlsm]TotalReturnPricing!R253C6</stp>
        <tr r="F253" s="2"/>
      </tp>
      <tp t="s">
        <v>#N/A Field Not Applicable</v>
        <stp/>
        <stp>##V3_BDPV12</stp>
        <stp>HA Equity</stp>
        <stp>OPT_DELTA</stp>
        <stp>[Pricing File.xlsm]TotalReturnPricing!R485C8</stp>
        <tr r="H485" s="2"/>
      </tp>
      <tp t="s">
        <v>#N/A Field Not Applicable</v>
        <stp/>
        <stp>##V3_BDPV12</stp>
        <stp>VG Equity</stp>
        <stp>OPT_DELTA</stp>
        <stp>[Pricing File.xlsm]TotalReturnPricing!R193C8</stp>
        <tr r="H193" s="2"/>
      </tp>
      <tp t="s">
        <v>#N/A Field Not Applicable</v>
        <stp/>
        <stp>##V3_BDPV12</stp>
        <stp>MA Equity</stp>
        <stp>OPT_DELTA</stp>
        <stp>[Pricing File.xlsm]TotalReturnPricing!R805C8</stp>
        <tr r="H805" s="2"/>
      </tp>
      <tp>
        <v>30.89</v>
        <stp/>
        <stp>##V3_BDPV12</stp>
        <stp>NYT Equity</stp>
        <stp>Px Bid</stp>
        <stp>[Pricing File.xlsm]TotalReturnPricing!R324C6</stp>
        <tr r="F324" s="2"/>
      </tp>
      <tp>
        <v>51.35</v>
        <stp/>
        <stp>##V3_BDPV12</stp>
        <stp>CRUS Equity</stp>
        <stp>Px Ask</stp>
        <stp>[Pricing File.xlsm]TotalReturnPricing!R599C7</stp>
        <tr r="G599" s="2"/>
      </tp>
      <tp>
        <v>213.78</v>
        <stp/>
        <stp>##V3_BDPV12</stp>
        <stp>LRCX Equity</stp>
        <stp>Px Ask</stp>
        <stp>[Pricing File.xlsm]TotalReturnPricing!R756C7</stp>
        <tr r="G756" s="2"/>
      </tp>
      <tp>
        <v>76.05</v>
        <stp/>
        <stp>##V3_BDPV12</stp>
        <stp>LAD Equity</stp>
        <stp>Px Bid</stp>
        <stp>[Pricing File.xlsm]TotalReturnPricing!R694C6</stp>
        <tr r="F694" s="2"/>
      </tp>
      <tp>
        <v>40.380000000000003</v>
        <stp/>
        <stp>##V3_BDPV12</stp>
        <stp>LVS Equity</stp>
        <stp>Px Bid</stp>
        <stp>[Pricing File.xlsm]TotalReturnPricing!R594C6</stp>
        <tr r="F594" s="2"/>
      </tp>
      <tp>
        <v>35.130000000000003</v>
        <stp/>
        <stp>##V3_BDPV12</stp>
        <stp>MAS Equity</stp>
        <stp>Px Bid</stp>
        <stp>[Pricing File.xlsm]TotalReturnPricing!R464C6</stp>
        <tr r="F464" s="2"/>
      </tp>
      <tp>
        <v>121.27</v>
        <stp/>
        <stp>##V3_BDPV12</stp>
        <stp>MCK Equity</stp>
        <stp>Px Bid</stp>
        <stp>[Pricing File.xlsm]TotalReturnPricing!R754C6</stp>
        <tr r="F754" s="2"/>
      </tp>
      <tp t="s">
        <v>#N/A N/A</v>
        <stp/>
        <stp>##V3_BDPV12</stp>
        <stp>EXPE 200221C00105000 Equity</stp>
        <stp>Px Bid</stp>
        <stp>[Pricing File.xlsm]TotalReturnPricing!R882C6</stp>
        <tr r="F882" s="2"/>
      </tp>
      <tp>
        <v>0.53459999999999996</v>
        <stp/>
        <stp>##V3_BDPV12</stp>
        <stp>JCP Equity</stp>
        <stp>Px Bid</stp>
        <stp>[Pricing File.xlsm]TotalReturnPricing!R174C6</stp>
        <tr r="F174" s="2"/>
      </tp>
      <tp>
        <v>1</v>
        <stp/>
        <stp>##V3_BDPV12</stp>
        <stp>HTZ 210115C00013000 Equity</stp>
        <stp>Px Bid</stp>
        <stp>[Pricing File.xlsm]TotalReturnPricing!R906C6</stp>
        <tr r="F906" s="2"/>
      </tp>
      <tp t="s">
        <v>#N/A N/A</v>
        <stp/>
        <stp>##V3_BDPV12</stp>
        <stp>HTZ 200717C00020000 Equity</stp>
        <stp>Px Bid</stp>
        <stp>[Pricing File.xlsm]TotalReturnPricing!R903C6</stp>
        <tr r="F903" s="2"/>
      </tp>
      <tp>
        <v>84.44</v>
        <stp/>
        <stp>##V3_BDPV12</stp>
        <stp>HCA Equity</stp>
        <stp>Px Bid</stp>
        <stp>[Pricing File.xlsm]TotalReturnPricing!R654C6</stp>
        <tr r="F654" s="2"/>
      </tp>
      <tp>
        <v>6.69</v>
        <stp/>
        <stp>##V3_BDPV12</stp>
        <stp>STAY Equity</stp>
        <stp>Px Bid</stp>
        <stp>[Pricing File.xlsm]TotalReturnPricing!R823C6</stp>
        <tr r="F823" s="2"/>
      </tp>
      <tp>
        <v>90.49</v>
        <stp/>
        <stp>##V3_BDPV12</stp>
        <stp>FDX Equity</stp>
        <stp>Px Bid</stp>
        <stp>[Pricing File.xlsm]TotalReturnPricing!R774C6</stp>
        <tr r="F774" s="2"/>
      </tp>
      <tp>
        <v>8.33</v>
        <stp/>
        <stp>##V3_BDPV12</stp>
        <stp>GPS Equity</stp>
        <stp>Px Bid</stp>
        <stp>[Pricing File.xlsm]TotalReturnPricing!R364C6</stp>
        <tr r="F364" s="2"/>
      </tp>
      <tp>
        <v>139.82</v>
        <stp/>
        <stp>##V3_BDPV12</stp>
        <stp>GPN Equity</stp>
        <stp>Px Bid</stp>
        <stp>[Pricing File.xlsm]TotalReturnPricing!R684C6</stp>
        <tr r="F684" s="2"/>
      </tp>
      <tp>
        <v>75.94</v>
        <stp/>
        <stp>##V3_BDPV12</stp>
        <stp>DOV Equity</stp>
        <stp>Px Bid</stp>
        <stp>[Pricing File.xlsm]TotalReturnPricing!R664C6</stp>
        <tr r="F664" s="2"/>
      </tp>
      <tp>
        <v>21.19</v>
        <stp/>
        <stp>##V3_BDPV12</stp>
        <stp>DKS Equity</stp>
        <stp>Px Bid</stp>
        <stp>[Pricing File.xlsm]TotalReturnPricing!R454C6</stp>
        <tr r="F454" s="2"/>
      </tp>
      <tp>
        <v>23.92</v>
        <stp/>
        <stp>##V3_BDPV12</stp>
        <stp>EPR Equity</stp>
        <stp>Px Bid</stp>
        <stp>[Pricing File.xlsm]TotalReturnPricing!R624C6</stp>
        <tr r="F624" s="2"/>
      </tp>
      <tp>
        <v>2.2599999999999998</v>
        <stp/>
        <stp>##V3_BDPV12</stp>
        <stp>BKD Equity</stp>
        <stp>Px Bid</stp>
        <stp>[Pricing File.xlsm]TotalReturnPricing!R264C6</stp>
        <tr r="F264" s="2"/>
      </tp>
      <tp>
        <v>93.4</v>
        <stp/>
        <stp>##V3_BDPV12</stp>
        <stp>CAT Equity</stp>
        <stp>Px Bid</stp>
        <stp>[Pricing File.xlsm]TotalReturnPricing!R714C6</stp>
        <tr r="F714" s="2"/>
      </tp>
      <tp>
        <v>47.97</v>
        <stp/>
        <stp>##V3_BDPV12</stp>
        <stp>CPA Equity</stp>
        <stp>Px Bid</stp>
        <stp>[Pricing File.xlsm]TotalReturnPricing!R724C6</stp>
        <tr r="F724" s="2"/>
      </tp>
      <tp>
        <v>9.1</v>
        <stp/>
        <stp>##V3_BDPV12</stp>
        <stp>CYD Equity</stp>
        <stp>Px Bid</stp>
        <stp>[Pricing File.xlsm]TotalReturnPricing!R344C6</stp>
        <tr r="F344" s="2"/>
      </tp>
      <tp>
        <v>22.46</v>
        <stp/>
        <stp>##V3_BDPV12</stp>
        <stp>SRDX Equity</stp>
        <stp>Px Bid</stp>
        <stp>[Pricing File.xlsm]TotalReturnPricing!R383C6</stp>
        <tr r="F383" s="2"/>
      </tp>
      <tp>
        <v>13.39</v>
        <stp/>
        <stp>##V3_BDPV12</stp>
        <stp>URBN Equity</stp>
        <stp>Px Bid</stp>
        <stp>[Pricing File.xlsm]TotalReturnPricing!R315C6</stp>
        <tr r="F315" s="2"/>
      </tp>
      <tp t="s">
        <v>#N/A N/A</v>
        <stp/>
        <stp>##V3_BDPV12</stp>
        <stp>AAC Equity</stp>
        <stp>Px Bid</stp>
        <stp>[Pricing File.xlsm]TotalReturnPricing!R184C6</stp>
        <tr r="F184" s="2"/>
      </tp>
      <tp>
        <v>46.38</v>
        <stp/>
        <stp>##V3_BDPV12</stp>
        <stp>ABG Equity</stp>
        <stp>Px Bid</stp>
        <stp>[Pricing File.xlsm]TotalReturnPricing!R114C6</stp>
        <tr r="F114" s="2"/>
      </tp>
      <tp>
        <v>95.25</v>
        <stp/>
        <stp>##V3_BDPV12</stp>
        <stp>AAP Equity</stp>
        <stp>Px Bid</stp>
        <stp>[Pricing File.xlsm]TotalReturnPricing!R704C6</stp>
        <tr r="F704" s="2"/>
      </tp>
      <tp>
        <v>9.7899999999999991</v>
        <stp/>
        <stp>##V3_BDPV12</stp>
        <stp>ANF Equity</stp>
        <stp>Px Bid</stp>
        <stp>[Pricing File.xlsm]TotalReturnPricing!R224C6</stp>
        <tr r="F224" s="2"/>
      </tp>
      <tp>
        <v>1.71</v>
        <stp/>
        <stp>##V3_BDPV12</stp>
        <stp>AQB Equity</stp>
        <stp>Px Bid</stp>
        <stp>[Pricing File.xlsm]TotalReturnPricing!R194C6</stp>
        <tr r="F194" s="2"/>
      </tp>
      <tp t="s">
        <v>#N/A N/A</v>
        <stp/>
        <stp>##V3_BDPV12</stp>
        <stp>APC Equity</stp>
        <stp>Px Bid</stp>
        <stp>[Pricing File.xlsm]TotalReturnPricing!R524C6</stp>
        <tr r="F524" s="2"/>
      </tp>
      <tp>
        <v>10.62</v>
        <stp/>
        <stp>##V3_BDPV12</stp>
        <stp>JBLU Equity</stp>
        <stp>Px Ask</stp>
        <stp>[Pricing File.xlsm]TotalReturnPricing!R340C7</stp>
        <tr r="G340" s="2"/>
      </tp>
      <tp>
        <v>6.09</v>
        <stp/>
        <stp>##V3_BDPV12</stp>
        <stp>BBBY Equity</stp>
        <stp>Px Ask</stp>
        <stp>[Pricing File.xlsm]TotalReturnPricing!R408C7</stp>
        <tr r="G408" s="2"/>
      </tp>
      <tp>
        <v>0.1888</v>
        <stp/>
        <stp>##V3_BDPV12</stp>
        <stp>RMBL Equity</stp>
        <stp>Px Bid</stp>
        <stp>[Pricing File.xlsm]TotalReturnPricing!R122C6</stp>
        <tr r="F122" s="2"/>
      </tp>
      <tp>
        <v>7.5</v>
        <stp/>
        <stp>##V3_BDPV12</stp>
        <stp>QNST Equity</stp>
        <stp>Px Bid</stp>
        <stp>[Pricing File.xlsm]TotalReturnPricing!R821C6</stp>
        <tr r="F821" s="2"/>
      </tp>
      <tp>
        <v>0.95</v>
        <stp/>
        <stp>##V3_BDPV12</stp>
        <stp>PFSI 200821C00035000 Equity</stp>
        <stp>Px Ask</stp>
        <stp>[Pricing File.xlsm]TotalReturnPricing!R897C7</stp>
        <tr r="G897" s="2"/>
      </tp>
      <tp>
        <v>5.04</v>
        <stp/>
        <stp>##V3_BDPV12</stp>
        <stp>TIVO Equity</stp>
        <stp>Px Bid</stp>
        <stp>[Pricing File.xlsm]TotalReturnPricing!R314C6</stp>
        <tr r="F314" s="2"/>
      </tp>
      <tp>
        <v>9.41</v>
        <stp/>
        <stp>##V3_BDPV12</stp>
        <stp>BV Equity</stp>
        <stp>Px Ask</stp>
        <stp>[Pricing File.xlsm]TotalReturnPricing!R164C7</stp>
        <tr r="G164" s="2"/>
      </tp>
      <tp>
        <v>34.46</v>
        <stp/>
        <stp>##V3_BDPV12</stp>
        <stp>MU Equity</stp>
        <stp>Px Ask</stp>
        <stp>[Pricing File.xlsm]TotalReturnPricing!R404C7</stp>
        <tr r="G404" s="2"/>
      </tp>
      <tp>
        <v>13.21</v>
        <stp/>
        <stp>##V3_BDPV12</stp>
        <stp>HA Equity</stp>
        <stp>Px Ask</stp>
        <stp>[Pricing File.xlsm]TotalReturnPricing!R484C7</stp>
        <tr r="G484" s="2"/>
      </tp>
      <tp>
        <v>22.96</v>
        <stp/>
        <stp>##V3_BDPV12</stp>
        <stp>SKYW Equity</stp>
        <stp>Px Bid</stp>
        <stp>[Pricing File.xlsm]TotalReturnPricing!R833C6</stp>
        <tr r="F833" s="2"/>
      </tp>
      <tp>
        <v>85.35</v>
        <stp/>
        <stp>##V3_BDPV12</stp>
        <stp>NDAQ Equity</stp>
        <stp>Px Ask</stp>
        <stp>[Pricing File.xlsm]TotalReturnPricing!R634C7</stp>
        <tr r="G634" s="2"/>
      </tp>
      <tp>
        <v>0.25</v>
        <stp/>
        <stp>##V3_BDPV12</stp>
        <stp>UAL 200619C00090000 Equity</stp>
        <stp>Px Bid</stp>
        <stp>[Pricing File.xlsm]TotalReturnPricing!R872C6</stp>
        <tr r="F872" s="2"/>
      </tp>
      <tp>
        <v>26.46</v>
        <stp/>
        <stp>##V3_BDPV12</stp>
        <stp>SERV Equity</stp>
        <stp>Px Bid</stp>
        <stp>[Pricing File.xlsm]TotalReturnPricing!R483C6</stp>
        <tr r="F483" s="2"/>
      </tp>
      <tp>
        <v>2.4500000000000002</v>
        <stp/>
        <stp>##V3_BDPV12</stp>
        <stp>WETF Equity</stp>
        <stp>Px Bid</stp>
        <stp>[Pricing File.xlsm]TotalReturnPricing!R227C6</stp>
        <tr r="F227" s="2"/>
      </tp>
      <tp>
        <v>8.5299999999999994</v>
        <stp/>
        <stp>##V3_BDPV12</stp>
        <stp>PENN Equity</stp>
        <stp>Px Bid</stp>
        <stp>[Pricing File.xlsm]TotalReturnPricing!R330C6</stp>
        <tr r="F330" s="2"/>
      </tp>
      <tp>
        <v>1.11E-2</v>
        <stp/>
        <stp>##V3_BDPV12</stp>
        <stp>PFTI Equity</stp>
        <stp>Px Bid</stp>
        <stp>[Pricing File.xlsm]TotalReturnPricing!R120C6</stp>
        <tr r="F120" s="2"/>
      </tp>
      <tp>
        <v>21.75</v>
        <stp/>
        <stp>##V3_BDPV12</stp>
        <stp>PFSI Equity</stp>
        <stp>Px Bid</stp>
        <stp>[Pricing File.xlsm]TotalReturnPricing!R300C6</stp>
        <tr r="F300" s="2"/>
      </tp>
      <tp>
        <v>48.15</v>
        <stp/>
        <stp>##V3_BDPV12</stp>
        <stp>TER Equity</stp>
        <stp>Px Bid</stp>
        <stp>[Pricing File.xlsm]TotalReturnPricing!R434C6</stp>
        <tr r="F434" s="2"/>
      </tp>
      <tp>
        <v>14.97</v>
        <stp/>
        <stp>##V3_BDPV12</stp>
        <stp>THC Equity</stp>
        <stp>Px Bid</stp>
        <stp>[Pricing File.xlsm]TotalReturnPricing!R304C6</stp>
        <tr r="F304" s="2"/>
      </tp>
      <tp>
        <v>13.35</v>
        <stp/>
        <stp>##V3_BDPV12</stp>
        <stp>TSG Equity</stp>
        <stp>Px Bid</stp>
        <stp>[Pricing File.xlsm]TotalReturnPricing!R804C6</stp>
        <tr r="F804" s="2"/>
      </tp>
      <tp>
        <v>0.8</v>
        <stp/>
        <stp>##V3_BDPV12</stp>
        <stp>SKYW 200417C00065000 Equity</stp>
        <stp>Px Ask</stp>
        <stp>[Pricing File.xlsm]TotalReturnPricing!R878C7</stp>
        <tr r="G878" s="2"/>
      </tp>
      <tp>
        <v>15.69</v>
        <stp/>
        <stp>##V3_BDPV12</stp>
        <stp>BHLB Equity</stp>
        <stp>Px Ask</stp>
        <stp>[Pricing File.xlsm]TotalReturnPricing!R458C7</stp>
        <tr r="G458" s="2"/>
      </tp>
      <tp>
        <v>8.51</v>
        <stp/>
        <stp>##V3_BDPV12</stp>
        <stp>COWN Equity</stp>
        <stp>Px Ask</stp>
        <stp>[Pricing File.xlsm]TotalReturnPricing!R289C7</stp>
        <tr r="G289" s="2"/>
      </tp>
      <tp>
        <v>33.89</v>
        <stp/>
        <stp>##V3_BDPV12</stp>
        <stp>LOGI Equity</stp>
        <stp>Px Ask</stp>
        <stp>[Pricing File.xlsm]TotalReturnPricing!R446C7</stp>
        <tr r="G446" s="2"/>
      </tp>
      <tp>
        <v>13.11</v>
        <stp/>
        <stp>##V3_BDPV12</stp>
        <stp>RAD Equity</stp>
        <stp>Px Bid</stp>
        <stp>[Pricing File.xlsm]TotalReturnPricing!R144C6</stp>
        <tr r="F144" s="2"/>
      </tp>
      <tp>
        <v>1.6</v>
        <stp/>
        <stp>##V3_BDPV12</stp>
        <stp>RRD Equity</stp>
        <stp>Px Bid</stp>
        <stp>[Pricing File.xlsm]TotalReturnPricing!R244C6</stp>
        <tr r="F244" s="2"/>
      </tp>
      <tp>
        <v>9.5</v>
        <stp/>
        <stp>##V3_BDPV12</stp>
        <stp>RWT Equity</stp>
        <stp>Px Bid</stp>
        <stp>[Pricing File.xlsm]TotalReturnPricing!R294C6</stp>
        <tr r="F294" s="2"/>
      </tp>
      <tp>
        <v>18.72</v>
        <stp/>
        <stp>##V3_BDPV12</stp>
        <stp>SANM Equity</stp>
        <stp>Px Bid</stp>
        <stp>[Pricing File.xlsm]TotalReturnPricing!R453C6</stp>
        <tr r="F453" s="2"/>
      </tp>
      <tp>
        <v>6.79</v>
        <stp/>
        <stp>##V3_BDPV12</stp>
        <stp>SLM Equity</stp>
        <stp>Px Bid</stp>
        <stp>[Pricing File.xlsm]TotalReturnPricing!R234C6</stp>
        <tr r="F234" s="2"/>
      </tp>
      <tp>
        <v>12.02</v>
        <stp/>
        <stp>##V3_BDPV12</stp>
        <stp>SUM Equity</stp>
        <stp>Px Bid</stp>
        <stp>[Pricing File.xlsm]TotalReturnPricing!R394C6</stp>
        <tr r="F394" s="2"/>
      </tp>
      <tp>
        <v>5.24</v>
        <stp/>
        <stp>##V3_BDPV12</stp>
        <stp>TBBK Equity</stp>
        <stp>Px Bid</stp>
        <stp>[Pricing File.xlsm]TotalReturnPricing!R204C6</stp>
        <tr r="F204" s="2"/>
      </tp>
      <tp>
        <v>30.63</v>
        <stp/>
        <stp>##V3_BDPV12</stp>
        <stp>PTR Equity</stp>
        <stp>Px Bid</stp>
        <stp>[Pricing File.xlsm]TotalReturnPricing!R604C6</stp>
        <tr r="F604" s="2"/>
      </tp>
      <tp>
        <v>14.22</v>
        <stp/>
        <stp>##V3_BDPV12</stp>
        <stp>MLCO Equity</stp>
        <stp>Px Ask</stp>
        <stp>[Pricing File.xlsm]TotalReturnPricing!R817C7</stp>
        <tr r="G817" s="2"/>
      </tp>
      <tp>
        <v>129.51</v>
        <stp/>
        <stp>##V3_BDPV12</stp>
        <stp>KLAC Equity</stp>
        <stp>Px Ask</stp>
        <stp>[Pricing File.xlsm]TotalReturnPricing!R691C7</stp>
        <tr r="G691" s="2"/>
      </tp>
      <tp t="s">
        <v>#N/A Field Not Applicable</v>
        <stp/>
        <stp>##V3_BDPV12</stp>
        <stp>OC Equity</stp>
        <stp>OPT_DELTA</stp>
        <stp>[Pricing File.xlsm]TotalReturnPricing!R616C8</stp>
        <tr r="H616" s="2"/>
      </tp>
      <tp t="s">
        <v>#N/A Field Not Applicable</v>
        <stp/>
        <stp>##V3_BDPV12</stp>
        <stp>HD Equity</stp>
        <stp>OPT_DELTA</stp>
        <stp>[Pricing File.xlsm]TotalReturnPricing!R741C8</stp>
        <tr r="H741" s="2"/>
      </tp>
      <tp t="s">
        <v>#N/A Field Not Applicable</v>
        <stp/>
        <stp>##V3_BDPV12</stp>
        <stp>HA Equity</stp>
        <stp>OPT_DELTA</stp>
        <stp>[Pricing File.xlsm]TotalReturnPricing!R484C8</stp>
        <tr r="H484" s="2"/>
      </tp>
      <tp t="s">
        <v>#N/A Field Not Applicable</v>
        <stp/>
        <stp>##V3_BDPV12</stp>
        <stp>LL Equity</stp>
        <stp>OPT_DELTA</stp>
        <stp>[Pricing File.xlsm]TotalReturnPricing!R369C8</stp>
        <tr r="H369" s="2"/>
      </tp>
      <tp>
        <v>45.83</v>
        <stp/>
        <stp>##V3_BDPV12</stp>
        <stp>KNEBV FH Equity</stp>
        <stp>Px Ask</stp>
        <stp>[Pricing File.xlsm]TotalReturnPricing!R77C7</stp>
        <tr r="G77" s="2"/>
      </tp>
      <tp>
        <v>1.63</v>
        <stp/>
        <stp>##V3_BDPV12</stp>
        <stp>LTRPA Equity</stp>
        <stp>Px Last</stp>
        <stp>[Pricing File.xlsm]TotalReturnPricing!R236C5</stp>
        <tr r="E236" s="2"/>
      </tp>
      <tp>
        <v>2386.13</v>
        <stp/>
        <stp>##V3_BDPV12</stp>
        <stp>SPX Index</stp>
        <stp>Px Last</stp>
        <stp>[Pricing File.xlsm]TotalReturnPricing!R796C5</stp>
        <tr r="E796" s="2"/>
      </tp>
      <tp t="s">
        <v>#N/A Field Not Applicable</v>
        <stp/>
        <stp>##V3_BDPV12</stp>
        <stp xml:space="preserve">ADI Equity </stp>
        <stp>OPT_DELTA</stp>
        <stp>[Pricing File.xlsm]TotalReturnPricing!R651C8</stp>
        <tr r="H651" s="2"/>
      </tp>
      <tp>
        <v>103.84</v>
        <stp/>
        <stp>##V3_BDPV12</stp>
        <stp>HO1 Comdty</stp>
        <stp>Px Bid</stp>
        <stp>[Pricing File.xlsm]TotalReturnPricing!R67C6</stp>
        <tr r="F67" s="2"/>
      </tp>
      <tp t="s">
        <v>#N/A Field Not Applicable</v>
        <stp/>
        <stp>##V3_BDPV12</stp>
        <stp>JPY Curncy</stp>
        <stp>OPT_DELTA</stp>
        <stp>[Pricing File.xlsm]TotalReturnPricing!R86C8</stp>
        <tr r="H86" s="2"/>
      </tp>
      <tp>
        <v>84</v>
        <stp/>
        <stp>##V3_BDPV12</stp>
        <stp>888 LN Equity</stp>
        <stp>Px Ask</stp>
        <stp>[Pricing File.xlsm]TotalReturnPricing!R102C7</stp>
        <tr r="G102" s="2"/>
      </tp>
      <tp>
        <v>1037.415</v>
        <stp/>
        <stp>##V3_BDPV12</stp>
        <stp>RTY Index</stp>
        <stp>Px Last</stp>
        <stp>[Pricing File.xlsm]TotalReturnPricing!R794C5</stp>
        <tr r="E794" s="2"/>
      </tp>
      <tp>
        <v>0.73550000000000004</v>
        <stp/>
        <stp>##V3_BDPV12</stp>
        <stp>USGG10YR Index</stp>
        <stp>Px Bid</stp>
        <stp>[Pricing File.xlsm]TotalReturnPricing!R145C6</stp>
        <tr r="F145" s="2"/>
      </tp>
      <tp>
        <v>12.14</v>
        <stp/>
        <stp>##V3_BDPV12</stp>
        <stp>1128 HK Equity</stp>
        <stp>Px Bid</stp>
        <stp>[Pricing File.xlsm]TotalReturnPricing!R105C6</stp>
        <tr r="F105" s="2"/>
      </tp>
      <tp>
        <v>12.14</v>
        <stp/>
        <stp>##V3_BDPV12</stp>
        <stp>1128 HK Equity</stp>
        <stp>Px Bid</stp>
        <stp>[Pricing File.xlsm]TotalReturnPricing!R814C6</stp>
        <tr r="F814" s="2"/>
      </tp>
      <tp>
        <v>103.9</v>
        <stp/>
        <stp>##V3_BDPV12</stp>
        <stp>HO1 Comdty</stp>
        <stp>Px Ask</stp>
        <stp>[Pricing File.xlsm]TotalReturnPricing!R67C7</stp>
        <tr r="G67" s="2"/>
      </tp>
      <tp t="s">
        <v>#N/A Field Not Applicable</v>
        <stp/>
        <stp>##V3_BDPV12</stp>
        <stp>EUR Curncy</stp>
        <stp>OPT_DELTA</stp>
        <stp>[Pricing File.xlsm]TotalReturnPricing!R81C8</stp>
        <tr r="H81" s="2"/>
      </tp>
      <tp t="s">
        <v>#N/A Field Not Applicable</v>
        <stp/>
        <stp>##V3_BDPV12</stp>
        <stp>SPY Equity</stp>
        <stp>OPT_DELTA</stp>
        <stp>[Pricing File.xlsm]TotalReturnPricing!R50C8</stp>
        <tr r="H50" s="2"/>
      </tp>
      <tp t="s">
        <v>#N/A Field Not Applicable</v>
        <stp/>
        <stp>##V3_BDPV12</stp>
        <stp xml:space="preserve">USB Equity </stp>
        <stp>OPT_DELTA</stp>
        <stp>[Pricing File.xlsm]TotalReturnPricing!R554C8</stp>
        <tr r="H554" s="2"/>
      </tp>
      <tp>
        <v>700</v>
        <stp/>
        <stp>##V3_BDPV12</stp>
        <stp>7752 JP Equity</stp>
        <stp>Px Bid</stp>
        <stp>[Pricing File.xlsm]TotalReturnPricing!R808C6</stp>
        <tr r="F808" s="2"/>
      </tp>
      <tp t="s">
        <v>#N/A Field Not Applicable</v>
        <stp/>
        <stp>##V3_BDPV12</stp>
        <stp>HO1 Comdty</stp>
        <stp>OPT_DELTA</stp>
        <stp>[Pricing File.xlsm]TotalReturnPricing!R67C8</stp>
        <tr r="H67" s="2"/>
      </tp>
      <tp>
        <v>2.816192E-2</v>
        <stp/>
        <stp>##V3_BDPV12</stp>
        <stp>TRIP 200320C00031500 Equity</stp>
        <stp>OPT_DELTA</stp>
        <stp>[Pricing File.xlsm]TotalReturnPricing!R888C8</stp>
        <tr r="H888" s="2"/>
      </tp>
      <tp>
        <v>5.0527320000000001E-2</v>
        <stp/>
        <stp>##V3_BDPV12</stp>
        <stp>IGT 200320C00014000 Equity</stp>
        <stp>OPT_DELTA</stp>
        <stp>[Pricing File.xlsm]TotalReturnPricing!R875C8</stp>
        <tr r="H875" s="2"/>
      </tp>
      <tp>
        <v>0.46675729999999999</v>
        <stp/>
        <stp>##V3_BDPV12</stp>
        <stp>HLT 200417C00075000 Equity</stp>
        <stp>OPT_DELTA</stp>
        <stp>[Pricing File.xlsm]TotalReturnPricing!R913C8</stp>
        <tr r="H913" s="2"/>
      </tp>
      <tp t="s">
        <v>#N/A N/A</v>
        <stp/>
        <stp>##V3_BDPV12</stp>
        <stp>WEX 200221C00200000 Equity</stp>
        <stp>OPT_DELTA</stp>
        <stp>[Pricing File.xlsm]TotalReturnPricing!R858C8</stp>
        <tr r="H858" s="2"/>
      </tp>
      <tp t="s">
        <v>#N/A Field Not Applicable</v>
        <stp/>
        <stp>##V3_BDPV12</stp>
        <stp>IWM Equity</stp>
        <stp>OPT_DELTA</stp>
        <stp>[Pricing File.xlsm]TotalReturnPricing!R51C8</stp>
        <tr r="H51" s="2"/>
      </tp>
      <tp>
        <v>0.28999999999999998</v>
        <stp/>
        <stp>##V3_BDPV12</stp>
        <stp>USB3MTA Index</stp>
        <stp>Px Bid</stp>
        <stp>[Pricing File.xlsm]TotalReturnPricing!R129C6</stp>
        <tr r="F129" s="2"/>
      </tp>
      <tp>
        <v>1.3331</v>
        <stp/>
        <stp>##V3_BDPV12</stp>
        <stp>USGG30YR Index</stp>
        <stp>Px Bid</stp>
        <stp>[Pricing File.xlsm]TotalReturnPricing!R151C6</stp>
        <tr r="F151" s="2"/>
      </tp>
      <tp t="s">
        <v>#N/A Field Not Applicable</v>
        <stp/>
        <stp>##V3_BDPV12</stp>
        <stp>IVV Equity</stp>
        <stp>OPT_DELTA</stp>
        <stp>[Pricing File.xlsm]TotalReturnPricing!R53C8</stp>
        <tr r="H53" s="2"/>
      </tp>
      <tp>
        <v>-0.93074590000000001</v>
        <stp/>
        <stp>##V3_BDPV12</stp>
        <stp>IWM 200320P00145000 Equity</stp>
        <stp>OPT_DELTA</stp>
        <stp>[Pricing File.xlsm]TotalReturnPricing!R869C8</stp>
        <tr r="H869" s="2"/>
      </tp>
      <tp t="s">
        <v>#N/A Field Not Applicable</v>
        <stp/>
        <stp>##V3_BDPV12</stp>
        <stp>ICEAIR IR Equity</stp>
        <stp>OPT_DELTA</stp>
        <stp>[Pricing File.xlsm]TotalReturnPricing!R60C8</stp>
        <tr r="H60" s="2"/>
      </tp>
      <tp>
        <v>8.7200000000000006</v>
        <stp/>
        <stp>##V3_BDPV12</stp>
        <stp>ARA EQUITY</stp>
        <stp>Px Ask</stp>
        <stp>[Pricing File.xlsm]TotalReturnPricing!R296C7</stp>
        <tr r="G296" s="2"/>
      </tp>
      <tp>
        <v>5.4223519999999997E-2</v>
        <stp/>
        <stp>##V3_BDPV12</stp>
        <stp>SKYW 200417C00065000 Equity</stp>
        <stp>OPT_DELTA</stp>
        <stp>[Pricing File.xlsm]TotalReturnPricing!R878C8</stp>
        <tr r="H878" s="2"/>
      </tp>
      <tp>
        <v>-0.84157420000000005</v>
        <stp/>
        <stp>##V3_BDPV12</stp>
        <stp>SAVE 200320P00037500 Equity</stp>
        <stp>OPT_DELTA</stp>
        <stp>[Pricing File.xlsm]TotalReturnPricing!R873C8</stp>
        <tr r="H873" s="2"/>
      </tp>
      <tp>
        <v>0.1227907</v>
        <stp/>
        <stp>##V3_BDPV12</stp>
        <stp>HTZ 210115C00025000 Equity</stp>
        <stp>OPT_DELTA</stp>
        <stp>[Pricing File.xlsm]TotalReturnPricing!R855C8</stp>
        <tr r="H855" s="2"/>
      </tp>
      <tp>
        <v>0.4097113</v>
        <stp/>
        <stp>##V3_BDPV12</stp>
        <stp>HTZ 210115C00013000 Equity</stp>
        <stp>OPT_DELTA</stp>
        <stp>[Pricing File.xlsm]TotalReturnPricing!R906C8</stp>
        <tr r="H906" s="2"/>
      </tp>
      <tp t="s">
        <v>#N/A Field Not Applicable</v>
        <stp/>
        <stp>##V3_BDPV12</stp>
        <stp>MXN Curncy</stp>
        <stp>OPT_DELTA</stp>
        <stp>[Pricing File.xlsm]TotalReturnPricing!R87C8</stp>
        <tr r="H87" s="2"/>
      </tp>
      <tp>
        <v>0.63</v>
        <stp/>
        <stp>##V3_BDPV12</stp>
        <stp>716 HK Equity</stp>
        <stp>Px Ask</stp>
        <stp>[Pricing File.xlsm]TotalReturnPricing!R62C7</stp>
        <tr r="G62" s="2"/>
      </tp>
      <tp>
        <v>6.1719959999999997E-2</v>
        <stp/>
        <stp>##V3_BDPV12</stp>
        <stp>LVS 200417C00062500 Equity</stp>
        <stp>OPT_DELTA</stp>
        <stp>[Pricing File.xlsm]TotalReturnPricing!R909C8</stp>
        <tr r="H909" s="2"/>
      </tp>
      <tp>
        <v>-0.59162859999999995</v>
        <stp/>
        <stp>##V3_BDPV12</stp>
        <stp>UAL 200417P00045000 Equity</stp>
        <stp>OPT_DELTA</stp>
        <stp>[Pricing File.xlsm]TotalReturnPricing!R917C8</stp>
        <tr r="H917" s="2"/>
      </tp>
      <tp>
        <v>0.62</v>
        <stp/>
        <stp>##V3_BDPV12</stp>
        <stp>716 HK Equity</stp>
        <stp>Px Bid</stp>
        <stp>[Pricing File.xlsm]TotalReturnPricing!R62C6</stp>
        <tr r="F62" s="2"/>
      </tp>
      <tp t="s">
        <v>#N/A Field Not Applicable</v>
        <stp/>
        <stp>##V3_BDPV12</stp>
        <stp>STERV FH Equity</stp>
        <stp>OPT_DELTA</stp>
        <stp>[Pricing File.xlsm]TotalReturnPricing!R76C8</stp>
        <tr r="H76" s="2"/>
      </tp>
      <tp>
        <v>4.8945780000000001E-2</v>
        <stp/>
        <stp>##V3_BDPV12</stp>
        <stp>QNST 200320C00015000 Equity</stp>
        <stp>OPT_DELTA</stp>
        <stp>[Pricing File.xlsm]TotalReturnPricing!R871C8</stp>
        <tr r="H871" s="2"/>
      </tp>
      <tp t="s">
        <v>#N/A Field Not Applicable</v>
        <stp/>
        <stp>##V3_BDPV12</stp>
        <stp>HOA Comdty</stp>
        <stp>OPT_DELTA</stp>
        <stp>[Pricing File.xlsm]TotalReturnPricing!R68C8</stp>
        <tr r="H68" s="2"/>
      </tp>
      <tp>
        <v>-0.1246255</v>
        <stp/>
        <stp>##V3_BDPV12</stp>
        <stp>UAL 200417P00020000 Equity</stp>
        <stp>OPT_DELTA</stp>
        <stp>[Pricing File.xlsm]TotalReturnPricing!R922C8</stp>
        <tr r="H922" s="2"/>
      </tp>
      <tp>
        <v>0.25829039999999998</v>
        <stp/>
        <stp>##V3_BDPV12</stp>
        <stp>HTZ 210115C00017000 Equity</stp>
        <stp>OPT_DELTA</stp>
        <stp>[Pricing File.xlsm]TotalReturnPricing!R854C8</stp>
        <tr r="H854" s="2"/>
      </tp>
      <tp t="s">
        <v>#N/A Field Not Applicable</v>
        <stp/>
        <stp>##V3_BDPV12</stp>
        <stp>AUD Curncy</stp>
        <stp>OPT_DELTA</stp>
        <stp>[Pricing File.xlsm]TotalReturnPricing!R88C8</stp>
        <tr r="H88" s="2"/>
      </tp>
      <tp t="s">
        <v>#N/A Field Not Applicable</v>
        <stp/>
        <stp>##V3_BDPV12</stp>
        <stp>KNEBV FH Equity</stp>
        <stp>OPT_DELTA</stp>
        <stp>[Pricing File.xlsm]TotalReturnPricing!R77C8</stp>
        <tr r="H77" s="2"/>
      </tp>
      <tp>
        <v>0.221247</v>
        <stp/>
        <stp>##V3_BDPV12</stp>
        <stp>ALGT 200417C00150000 Equity</stp>
        <stp>OPT_DELTA</stp>
        <stp>[Pricing File.xlsm]TotalReturnPricing!R864C8</stp>
        <tr r="H864" s="2"/>
      </tp>
      <tp>
        <v>0.20700289999999999</v>
        <stp/>
        <stp>##V3_BDPV12</stp>
        <stp>LYFT 210115C00045000 Equity</stp>
        <stp>OPT_DELTA</stp>
        <stp>[Pricing File.xlsm]TotalReturnPricing!R915C8</stp>
        <tr r="H915" s="2"/>
      </tp>
      <tp t="s">
        <v>#N/A Field Not Applicable</v>
        <stp/>
        <stp>##V3_BDPV12</stp>
        <stp>CL3 Comdty</stp>
        <stp>OPT_DELTA</stp>
        <stp>[Pricing File.xlsm]TotalReturnPricing!R536C8</stp>
        <tr r="H536" s="2"/>
      </tp>
      <tp>
        <v>5.7457750000000002E-2</v>
        <stp/>
        <stp>##V3_BDPV12</stp>
        <stp>SKYW 200417C00060000 Equity</stp>
        <stp>OPT_DELTA</stp>
        <stp>[Pricing File.xlsm]TotalReturnPricing!R863C8</stp>
        <tr r="H863" s="2"/>
      </tp>
      <tp>
        <v>-0.90089200000000003</v>
        <stp/>
        <stp>##V3_BDPV12</stp>
        <stp>UAL 200515P00072500 Equity</stp>
        <stp>OPT_DELTA</stp>
        <stp>[Pricing File.xlsm]TotalReturnPricing!R911C8</stp>
        <tr r="H911" s="2"/>
      </tp>
      <tp>
        <v>4.3234950000000001E-2</v>
        <stp/>
        <stp>##V3_BDPV12</stp>
        <stp>QNST 200320C00017500 Equity</stp>
        <stp>OPT_DELTA</stp>
        <stp>[Pricing File.xlsm]TotalReturnPricing!R856C8</stp>
        <tr r="H856" s="2"/>
      </tp>
      <tp t="s">
        <v>#N/A N/A</v>
        <stp/>
        <stp>##V3_BDPV12</stp>
        <stp>WEX 200221C00220000 Equity</stp>
        <stp>OPT_DELTA</stp>
        <stp>[Pricing File.xlsm]TotalReturnPricing!R852C8</stp>
        <tr r="H852" s="2"/>
      </tp>
      <tp t="s">
        <v>#N/A N/A</v>
        <stp/>
        <stp>##V3_BDPV12</stp>
        <stp>WEX 200221C00210000 Equity</stp>
        <stp>OPT_DELTA</stp>
        <stp>[Pricing File.xlsm]TotalReturnPricing!R861C8</stp>
        <tr r="H861" s="2"/>
      </tp>
      <tp t="s">
        <v>#N/A Field Not Applicable</v>
        <stp/>
        <stp>##V3_BDPV12</stp>
        <stp>ISK Curncy</stp>
        <stp>OPT_DELTA</stp>
        <stp>[Pricing File.xlsm]TotalReturnPricing!R89C8</stp>
        <tr r="H89" s="2"/>
      </tp>
      <tp>
        <v>0.44590879999999999</v>
        <stp/>
        <stp>##V3_BDPV12</stp>
        <stp>LYFT 210115C00030000 Equity</stp>
        <stp>OPT_DELTA</stp>
        <stp>[Pricing File.xlsm]TotalReturnPricing!R914C8</stp>
        <tr r="H914" s="2"/>
      </tp>
      <tp t="s">
        <v>#N/A Field Not Applicable</v>
        <stp/>
        <stp>##V3_BDPV12</stp>
        <stp>888 LN Equity</stp>
        <stp>OPT_DELTA</stp>
        <stp>[Pricing File.xlsm]TotalReturnPricing!R102C8</stp>
        <tr r="H102" s="2"/>
      </tp>
      <tp>
        <v>44.05</v>
        <stp/>
        <stp>##V3_BDPV12</stp>
        <stp>27 HK Equity</stp>
        <stp>Px Last</stp>
        <stp>[Pricing File.xlsm]TotalReturnPricing!R42C5</stp>
        <tr r="E42" s="2"/>
      </tp>
      <tp>
        <v>-1</v>
        <stp/>
        <stp>##V3_BDPV12</stp>
        <stp>IWM 200320P00155000 Equity</stp>
        <stp>OPT_DELTA</stp>
        <stp>[Pricing File.xlsm]TotalReturnPricing!R870C8</stp>
        <tr r="H870" s="2"/>
      </tp>
      <tp>
        <v>7.8830269999999994E-2</v>
        <stp/>
        <stp>##V3_BDPV12</stp>
        <stp>HTZ 200717C00020000 Equity</stp>
        <stp>OPT_DELTA</stp>
        <stp>[Pricing File.xlsm]TotalReturnPricing!R903C8</stp>
        <tr r="H903" s="2"/>
      </tp>
      <tp t="s">
        <v>#N/A Field Not Applicable</v>
        <stp/>
        <stp>##V3_BDPV12</stp>
        <stp>BBD/B CN Equity</stp>
        <stp>OPT_DELTA</stp>
        <stp>[Pricing File.xlsm]TotalReturnPricing!R57C8</stp>
        <tr r="H57" s="2"/>
      </tp>
      <tp>
        <v>44.05</v>
        <stp/>
        <stp>##V3_BDPV12</stp>
        <stp>27 HK Equity</stp>
        <stp>Px Last</stp>
        <stp>[Pricing File.xlsm]TotalReturnPricing!R43C5</stp>
        <tr r="E43" s="2"/>
      </tp>
      <tp>
        <v>0.106456</v>
        <stp/>
        <stp>##V3_BDPV12</stp>
        <stp>SKYW 200417C00055000 Equity</stp>
        <stp>OPT_DELTA</stp>
        <stp>[Pricing File.xlsm]TotalReturnPricing!R893C8</stp>
        <tr r="H893" s="2"/>
      </tp>
      <tp>
        <v>0.48750490000000002</v>
        <stp/>
        <stp>##V3_BDPV12</stp>
        <stp>QNST 200320C00020000 Equity</stp>
        <stp>OPT_DELTA</stp>
        <stp>[Pricing File.xlsm]TotalReturnPricing!R857C8</stp>
        <tr r="H857" s="2"/>
      </tp>
      <tp>
        <v>-0.36508960000000001</v>
        <stp/>
        <stp>##V3_BDPV12</stp>
        <stp>UAL 200417P00035000 Equity</stp>
        <stp>OPT_DELTA</stp>
        <stp>[Pricing File.xlsm]TotalReturnPricing!R916C8</stp>
        <tr r="H916" s="2"/>
      </tp>
      <tp>
        <v>4.091434E-2</v>
        <stp/>
        <stp>##V3_BDPV12</stp>
        <stp>HTZ 200320C00021000 Equity</stp>
        <stp>OPT_DELTA</stp>
        <stp>[Pricing File.xlsm]TotalReturnPricing!R902C8</stp>
        <tr r="H902" s="2"/>
      </tp>
      <tp>
        <v>0.10360800000000001</v>
        <stp/>
        <stp>##V3_BDPV12</stp>
        <stp>WEX 200821C00230000 Equity</stp>
        <stp>OPT_DELTA</stp>
        <stp>[Pricing File.xlsm]TotalReturnPricing!R891C8</stp>
        <tr r="H891" s="2"/>
      </tp>
      <tp>
        <v>0.18651019999999999</v>
        <stp/>
        <stp>##V3_BDPV12</stp>
        <stp>PFSI 200515C00035000 Equity</stp>
        <stp>OPT_DELTA</stp>
        <stp>[Pricing File.xlsm]TotalReturnPricing!R874C8</stp>
        <tr r="H874" s="2"/>
      </tp>
      <tp t="s">
        <v>#N/A N/A</v>
        <stp/>
        <stp>##V3_BDPV12</stp>
        <stp>PFSI 200221C00025000 Equity</stp>
        <stp>OPT_DELTA</stp>
        <stp>[Pricing File.xlsm]TotalReturnPricing!R865C8</stp>
        <tr r="H865" s="2"/>
      </tp>
      <tp>
        <v>-0.85419290000000003</v>
        <stp/>
        <stp>##V3_BDPV12</stp>
        <stp>LVS 200417P00057500 Equity</stp>
        <stp>OPT_DELTA</stp>
        <stp>[Pricing File.xlsm]TotalReturnPricing!R910C8</stp>
        <tr r="H910" s="2"/>
      </tp>
      <tp>
        <v>0.50457399999999997</v>
        <stp/>
        <stp>##V3_BDPV12</stp>
        <stp>CVNA 210115C00060000 Equity</stp>
        <stp>OPT_DELTA</stp>
        <stp>[Pricing File.xlsm]TotalReturnPricing!R918C8</stp>
        <tr r="H918" s="2"/>
      </tp>
      <tp>
        <v>0.33008419999999999</v>
        <stp/>
        <stp>##V3_BDPV12</stp>
        <stp>CVNA 210115C00075000 Equity</stp>
        <stp>OPT_DELTA</stp>
        <stp>[Pricing File.xlsm]TotalReturnPricing!R859C8</stp>
        <tr r="H859" s="2"/>
      </tp>
      <tp t="s">
        <v>#N/A Field Not Applicable</v>
        <stp/>
        <stp>##V3_BDPV12</stp>
        <stp>SEK Curncy</stp>
        <stp>OPT_DELTA</stp>
        <stp>[Pricing File.xlsm]TotalReturnPricing!R83C8</stp>
        <tr r="H83" s="2"/>
      </tp>
      <tp t="s">
        <v>#N/A Invalid Security</v>
        <stp/>
        <stp>##V3_BDPV12</stp>
        <stp>HOV6 Comdty</stp>
        <stp>OPT_DELTA</stp>
        <stp>[Pricing File.xlsm]TotalReturnPricing!R851C8</stp>
        <tr r="H851" s="2"/>
      </tp>
      <tp>
        <v>4.5612989999999999E-2</v>
        <stp/>
        <stp>##V3_BDPV12</stp>
        <stp>UAL 200619C00090000 Equity</stp>
        <stp>OPT_DELTA</stp>
        <stp>[Pricing File.xlsm]TotalReturnPricing!R872C8</stp>
        <tr r="H872" s="2"/>
      </tp>
      <tp t="s">
        <v>#N/A Field Not Applicable</v>
        <stp/>
        <stp>##V3_BDPV12</stp>
        <stp>CAD Curncy</stp>
        <stp>OPT_DELTA</stp>
        <stp>[Pricing File.xlsm]TotalReturnPricing!R84C8</stp>
        <tr r="H84" s="2"/>
      </tp>
      <tp t="s">
        <v>#N/A Field Not Applicable</v>
        <stp/>
        <stp>##V3_BDPV12</stp>
        <stp>MAERSKB DC Equity</stp>
        <stp>OPT_DELTA</stp>
        <stp>[Pricing File.xlsm]TotalReturnPricing!R78C8</stp>
        <tr r="H78" s="2"/>
      </tp>
      <tp t="s">
        <v>#N/A Invalid Security</v>
        <stp/>
        <stp>##V3_BDPV12</stp>
        <stp>HOM6 Comdty</stp>
        <stp>OPT_DELTA</stp>
        <stp>[Pricing File.xlsm]TotalReturnPricing!R850C8</stp>
        <tr r="H850" s="2"/>
      </tp>
      <tp>
        <v>0.20606530000000001</v>
        <stp/>
        <stp>##V3_BDPV12</stp>
        <stp>PFSI 200821C00035000 Equity</stp>
        <stp>OPT_DELTA</stp>
        <stp>[Pricing File.xlsm]TotalReturnPricing!R897C8</stp>
        <tr r="H897" s="2"/>
      </tp>
      <tp t="s">
        <v>#N/A Field Not Applicable</v>
        <stp/>
        <stp>##V3_BDPV12</stp>
        <stp>KAMBI SS Equity</stp>
        <stp>OPT_DELTA</stp>
        <stp>[Pricing File.xlsm]TotalReturnPricing!R75C8</stp>
        <tr r="H75" s="2"/>
      </tp>
      <tp t="s">
        <v>#N/A Field Not Applicable</v>
        <stp/>
        <stp>##V3_BDPV12</stp>
        <stp>DAL Equity</stp>
        <stp>OPT_DELTA</stp>
        <stp>[Pricing File.xlsm]TotalReturnPricing!R66C8</stp>
        <tr r="H66" s="2"/>
      </tp>
      <tp t="s">
        <v>#N/A N/A</v>
        <stp/>
        <stp>##V3_BDPV12</stp>
        <stp>LYFT 200221P00042500 Equity</stp>
        <stp>OPT_DELTA</stp>
        <stp>[Pricing File.xlsm]TotalReturnPricing!R879C8</stp>
        <tr r="H879" s="2"/>
      </tp>
      <tp>
        <v>6904.5919999999996</v>
        <stp/>
        <stp>##V3_BDPV12</stp>
        <stp>CCMP Index</stp>
        <stp>Px Last</stp>
        <stp>[Pricing File.xlsm]TotalReturnPricing!R797C5</stp>
        <tr r="E797" s="2"/>
      </tp>
      <tp t="s">
        <v>#N/A Field Not Applicable</v>
        <stp/>
        <stp>##V3_BDPV12</stp>
        <stp>SGD Curncy</stp>
        <stp>OPT_DELTA</stp>
        <stp>[Pricing File.xlsm]TotalReturnPricing!R85C8</stp>
        <tr r="H85" s="2"/>
      </tp>
      <tp>
        <v>-1</v>
        <stp/>
        <stp>##V3_BDPV12</stp>
        <stp>HTZ 200417P00016000 Equity</stp>
        <stp>OPT_DELTA</stp>
        <stp>[Pricing File.xlsm]TotalReturnPricing!R868C8</stp>
        <tr r="H868" s="2"/>
      </tp>
      <tp t="s">
        <v>#N/A Field Not Applicable</v>
        <stp/>
        <stp>##V3_BDPV12</stp>
        <stp>DKK Curncy</stp>
        <stp>OPT_DELTA</stp>
        <stp>[Pricing File.xlsm]TotalReturnPricing!R79C8</stp>
        <tr r="H79" s="2"/>
      </tp>
      <tp t="s">
        <v>#N/A N/A</v>
        <stp/>
        <stp>##V3_BDPV12</stp>
        <stp>PFSI 200221C00030000 Equity</stp>
        <stp>OPT_DELTA</stp>
        <stp>[Pricing File.xlsm]TotalReturnPricing!R862C8</stp>
        <tr r="H862" s="2"/>
      </tp>
      <tp>
        <v>1.804743E-2</v>
        <stp/>
        <stp>##V3_BDPV12</stp>
        <stp>SAVE 200320C00045000 Equity</stp>
        <stp>OPT_DELTA</stp>
        <stp>[Pricing File.xlsm]TotalReturnPricing!R889C8</stp>
        <tr r="H889" s="2"/>
      </tp>
      <tp t="s">
        <v>#N/A Field Not Applicable</v>
        <stp/>
        <stp>##V3_BDPV12</stp>
        <stp>CHF Curncy</stp>
        <stp>OPT_DELTA</stp>
        <stp>[Pricing File.xlsm]TotalReturnPricing!R69C8</stp>
        <tr r="H69" s="2"/>
      </tp>
      <tp t="s">
        <v>#N/A N/A</v>
        <stp/>
        <stp>##V3_BDPV12</stp>
        <stp>BCEI 200221C00025000 Equity</stp>
        <stp>OPT_DELTA</stp>
        <stp>[Pricing File.xlsm]TotalReturnPricing!R883C8</stp>
        <tr r="H883" s="2"/>
      </tp>
      <tp t="s">
        <v>#N/A Field Not Applicable</v>
        <stp/>
        <stp>##V3_BDPV12</stp>
        <stp>GBP Curncy</stp>
        <stp>OPT_DELTA</stp>
        <stp>[Pricing File.xlsm]TotalReturnPricing!R82C8</stp>
        <tr r="H82" s="2"/>
      </tp>
      <tp>
        <v>4.5239870000000001E-2</v>
        <stp/>
        <stp>##V3_BDPV12</stp>
        <stp>UAL 200619C00097500 Equity</stp>
        <stp>OPT_DELTA</stp>
        <stp>[Pricing File.xlsm]TotalReturnPricing!R867C8</stp>
        <tr r="H867" s="2"/>
      </tp>
      <tp>
        <v>-1</v>
        <stp/>
        <stp>##V3_BDPV12</stp>
        <stp>LYFT 210115P00075000 Equity</stp>
        <stp>OPT_DELTA</stp>
        <stp>[Pricing File.xlsm]TotalReturnPricing!R899C8</stp>
        <tr r="H899" s="2"/>
      </tp>
      <tp>
        <v>12.16</v>
        <stp/>
        <stp>##V3_BDPV12</stp>
        <stp>1128 HK Equity</stp>
        <stp>Px Ask</stp>
        <stp>[Pricing File.xlsm]TotalReturnPricing!R105C7</stp>
        <tr r="G105" s="2"/>
      </tp>
      <tp>
        <v>0.72919999999999996</v>
        <stp/>
        <stp>##V3_BDPV12</stp>
        <stp>USGG10YR Index</stp>
        <stp>Px Ask</stp>
        <stp>[Pricing File.xlsm]TotalReturnPricing!R145C7</stp>
        <tr r="G145" s="2"/>
      </tp>
      <tp>
        <v>44.05</v>
        <stp/>
        <stp>##V3_BDPV12</stp>
        <stp>27 HK Equity</stp>
        <stp>Px Ask</stp>
        <stp>[Pricing File.xlsm]TotalReturnPricing!R42C7</stp>
        <tr r="G42" s="2"/>
      </tp>
      <tp t="s">
        <v>#N/A Field Not Applicable</v>
        <stp/>
        <stp>##V3_BDPV12</stp>
        <stp>XLF Equity</stp>
        <stp>OPT_DELTA</stp>
        <stp>[Pricing File.xlsm]TotalReturnPricing!R47C8</stp>
        <tr r="H47" s="2"/>
      </tp>
      <tp>
        <v>1.093132E-2</v>
        <stp/>
        <stp>##V3_BDPV12</stp>
        <stp>EXPE 200320C00110000 Equity</stp>
        <stp>OPT_DELTA</stp>
        <stp>[Pricing File.xlsm]TotalReturnPricing!R892C8</stp>
        <tr r="H892" s="2"/>
      </tp>
      <tp t="s">
        <v>#N/A Field Not Applicable</v>
        <stp/>
        <stp>##V3_BDPV12</stp>
        <stp>NOK Curncy</stp>
        <stp>OPT_DELTA</stp>
        <stp>[Pricing File.xlsm]TotalReturnPricing!R90C8</stp>
        <tr r="H90" s="2"/>
      </tp>
      <tp t="s">
        <v>#N/A Field Not Applicable</v>
        <stp/>
        <stp>##V3_BDPV12</stp>
        <stp xml:space="preserve">RH Equity </stp>
        <stp>OPT_DELTA</stp>
        <stp>[Pricing File.xlsm]TotalReturnPricing!R623C8</stp>
        <tr r="H623" s="2"/>
      </tp>
      <tp>
        <v>12.16</v>
        <stp/>
        <stp>##V3_BDPV12</stp>
        <stp>1128 HK Equity</stp>
        <stp>Px Ask</stp>
        <stp>[Pricing File.xlsm]TotalReturnPricing!R814C7</stp>
        <tr r="G814" s="2"/>
      </tp>
      <tp>
        <v>44.05</v>
        <stp/>
        <stp>##V3_BDPV12</stp>
        <stp>27 HK Equity</stp>
        <stp>Px Ask</stp>
        <stp>[Pricing File.xlsm]TotalReturnPricing!R43C7</stp>
        <tr r="G43" s="2"/>
      </tp>
      <tp>
        <v>7.7908169999999999E-2</v>
        <stp/>
        <stp>##V3_BDPV12</stp>
        <stp>SAVE 200619C00045000 Equity</stp>
        <stp>OPT_DELTA</stp>
        <stp>[Pricing File.xlsm]TotalReturnPricing!R896C8</stp>
        <tr r="H896" s="2"/>
      </tp>
      <tp t="s">
        <v>#N/A N/A</v>
        <stp/>
        <stp>##V3_BDPV12</stp>
        <stp>EXPE 200221C00105000 Equity</stp>
        <stp>OPT_DELTA</stp>
        <stp>[Pricing File.xlsm]TotalReturnPricing!R882C8</stp>
        <tr r="H882" s="2"/>
      </tp>
      <tp>
        <v>-1</v>
        <stp/>
        <stp>##V3_BDPV12</stp>
        <stp>HTZ 210115P00020000 Equity</stp>
        <stp>OPT_DELTA</stp>
        <stp>[Pricing File.xlsm]TotalReturnPricing!R887C8</stp>
        <tr r="H887" s="2"/>
      </tp>
      <tp t="s">
        <v>#N/A Field Not Applicable</v>
        <stp/>
        <stp>##V3_BDPV12</stp>
        <stp>XLI Equity</stp>
        <stp>OPT_DELTA</stp>
        <stp>[Pricing File.xlsm]TotalReturnPricing!R46C8</stp>
        <tr r="H46" s="2"/>
      </tp>
      <tp>
        <v>0.2472142</v>
        <stp/>
        <stp>##V3_BDPV12</stp>
        <stp>CVNA 200821C00075000 Equity</stp>
        <stp>OPT_DELTA</stp>
        <stp>[Pricing File.xlsm]TotalReturnPricing!R921C8</stp>
        <tr r="H921" s="2"/>
      </tp>
      <tp>
        <v>-0.87219080000000004</v>
        <stp/>
        <stp>##V3_BDPV12</stp>
        <stp>LYFT 210115P00052500 Equity</stp>
        <stp>OPT_DELTA</stp>
        <stp>[Pricing File.xlsm]TotalReturnPricing!R885C8</stp>
        <tr r="H885" s="2"/>
      </tp>
      <tp t="s">
        <v>#N/A Field Not Applicable</v>
        <stp/>
        <stp>##V3_BDPV12</stp>
        <stp xml:space="preserve">CI Equity </stp>
        <stp>OPT_DELTA</stp>
        <stp>[Pricing File.xlsm]TotalReturnPricing!R760C8</stp>
        <tr r="H760" s="2"/>
      </tp>
      <tp>
        <v>44</v>
        <stp/>
        <stp>##V3_BDPV12</stp>
        <stp>27 HK Equity</stp>
        <stp>Px Bid</stp>
        <stp>[Pricing File.xlsm]TotalReturnPricing!R43C6</stp>
        <tr r="F43" s="2"/>
      </tp>
      <tp>
        <v>-1</v>
        <stp/>
        <stp>##V3_BDPV12</stp>
        <stp>HTZ 200717P00020000 Equity</stp>
        <stp>OPT_DELTA</stp>
        <stp>[Pricing File.xlsm]TotalReturnPricing!R884C8</stp>
        <tr r="H884" s="2"/>
      </tp>
      <tp t="s">
        <v>#N/A N/A</v>
        <stp/>
        <stp>##V3_BDPV12</stp>
        <stp>EXPE 200221C00110000 Equity</stp>
        <stp>OPT_DELTA</stp>
        <stp>[Pricing File.xlsm]TotalReturnPricing!R880C8</stp>
        <tr r="H880" s="2"/>
      </tp>
      <tp>
        <v>-1</v>
        <stp/>
        <stp>##V3_BDPV12</stp>
        <stp>LYFT 210115P00055000 Equity</stp>
        <stp>OPT_DELTA</stp>
        <stp>[Pricing File.xlsm]TotalReturnPricing!R886C8</stp>
        <tr r="H886" s="2"/>
      </tp>
      <tp>
        <v>-1</v>
        <stp/>
        <stp>##V3_BDPV12</stp>
        <stp>HTZ 200717P00019000 Equity</stp>
        <stp>OPT_DELTA</stp>
        <stp>[Pricing File.xlsm]TotalReturnPricing!R877C8</stp>
        <tr r="H877" s="2"/>
      </tp>
      <tp>
        <v>-1</v>
        <stp/>
        <stp>##V3_BDPV12</stp>
        <stp>LYFT 200717P00065000 Equity</stp>
        <stp>OPT_DELTA</stp>
        <stp>[Pricing File.xlsm]TotalReturnPricing!R895C8</stp>
        <tr r="H895" s="2"/>
      </tp>
      <tp>
        <v>0.47541040000000001</v>
        <stp/>
        <stp>##V3_BDPV12</stp>
        <stp>CVNA 200821C00055000 Equity</stp>
        <stp>OPT_DELTA</stp>
        <stp>[Pricing File.xlsm]TotalReturnPricing!R920C8</stp>
        <tr r="H920" s="2"/>
      </tp>
      <tp>
        <v>44</v>
        <stp/>
        <stp>##V3_BDPV12</stp>
        <stp>27 HK Equity</stp>
        <stp>Px Bid</stp>
        <stp>[Pricing File.xlsm]TotalReturnPricing!R42C6</stp>
        <tr r="F42" s="2"/>
      </tp>
      <tp>
        <v>2.7038739999999999E-2</v>
        <stp/>
        <stp>##V3_BDPV12</stp>
        <stp>PENN 200417C00035000 Equity</stp>
        <stp>OPT_DELTA</stp>
        <stp>[Pricing File.xlsm]TotalReturnPricing!R908C8</stp>
        <tr r="H908" s="2"/>
      </tp>
      <tp>
        <v>1.573571E-2</v>
        <stp/>
        <stp>##V3_BDPV12</stp>
        <stp>SAVE 200320C00042500 Equity</stp>
        <stp>OPT_DELTA</stp>
        <stp>[Pricing File.xlsm]TotalReturnPricing!R894C8</stp>
        <tr r="H894" s="2"/>
      </tp>
      <tp t="s">
        <v>#N/A Invalid Security</v>
        <stp/>
        <stp>##V3_BDPV12</stp>
        <stp>HOG6 Comdty</stp>
        <stp>OPT_DELTA</stp>
        <stp>[Pricing File.xlsm]TotalReturnPricing!R848C8</stp>
        <tr r="H848" s="2"/>
      </tp>
      <tp t="s">
        <v>#N/A Invalid Security</v>
        <stp/>
        <stp>##V3_BDPV12</stp>
        <stp>HOG7 Comdty</stp>
        <stp>OPT_DELTA</stp>
        <stp>[Pricing File.xlsm]TotalReturnPricing!R849C8</stp>
        <tr r="H849" s="2"/>
      </tp>
      <tp>
        <v>0.24080950000000001</v>
        <stp/>
        <stp>##V3_BDPV12</stp>
        <stp>PFSI 200821C00040000 Equity</stp>
        <stp>OPT_DELTA</stp>
        <stp>[Pricing File.xlsm]TotalReturnPricing!R898C8</stp>
        <tr r="H898" s="2"/>
      </tp>
      <tp>
        <v>-0.96746180000000004</v>
        <stp/>
        <stp>##V3_BDPV12</stp>
        <stp>HTZ 200417P00018000 Equity</stp>
        <stp>OPT_DELTA</stp>
        <stp>[Pricing File.xlsm]TotalReturnPricing!R876C8</stp>
        <tr r="H876" s="2"/>
      </tp>
      <tp>
        <v>83.95</v>
        <stp/>
        <stp>##V3_BDPV12</stp>
        <stp>888 LN Equity</stp>
        <stp>Px Bid</stp>
        <stp>[Pricing File.xlsm]TotalReturnPricing!R102C6</stp>
        <tr r="F102" s="2"/>
      </tp>
      <tp>
        <v>1.3239000000000001</v>
        <stp/>
        <stp>##V3_BDPV12</stp>
        <stp>USGG30YR Index</stp>
        <stp>Px Ask</stp>
        <stp>[Pricing File.xlsm]TotalReturnPricing!R151C7</stp>
        <tr r="G151" s="2"/>
      </tp>
      <tp>
        <v>0.28999999999999998</v>
        <stp/>
        <stp>##V3_BDPV12</stp>
        <stp>USB3MTA Index</stp>
        <stp>Px Ask</stp>
        <stp>[Pricing File.xlsm]TotalReturnPricing!R129C7</stp>
        <tr r="G129" s="2"/>
      </tp>
      <tp t="s">
        <v>#N/A Field Not Applicable</v>
        <stp/>
        <stp>##V3_BDPV12</stp>
        <stp>INR Curncy</stp>
        <stp>OPT_DELTA</stp>
        <stp>[Pricing File.xlsm]TotalReturnPricing!R65C8</stp>
        <tr r="H65" s="2"/>
      </tp>
      <tp>
        <v>-1</v>
        <stp/>
        <stp>##V3_BDPV12</stp>
        <stp>HTZ 200320P00017000 Equity</stp>
        <stp>OPT_DELTA</stp>
        <stp>[Pricing File.xlsm]TotalReturnPricing!R901C8</stp>
        <tr r="H901" s="2"/>
      </tp>
      <tp>
        <v>5.3201190000000002E-2</v>
        <stp/>
        <stp>##V3_BDPV12</stp>
        <stp>EXPE 200717C00120000 Equity</stp>
        <stp>OPT_DELTA</stp>
        <stp>[Pricing File.xlsm]TotalReturnPricing!R905C8</stp>
        <tr r="H905" s="2"/>
      </tp>
      <tp t="s">
        <v>#N/A Field Not Applicable</v>
        <stp/>
        <stp>##V3_BDPV12</stp>
        <stp>HKD Curncy</stp>
        <stp>OPT_DELTA</stp>
        <stp>[Pricing File.xlsm]TotalReturnPricing!R80C8</stp>
        <tr r="H80" s="2"/>
      </tp>
      <tp>
        <v>8.7100000000000009</v>
        <stp/>
        <stp>##V3_BDPV12</stp>
        <stp>ARA EQUITY</stp>
        <stp>Px Bid</stp>
        <stp>[Pricing File.xlsm]TotalReturnPricing!R296C6</stp>
        <tr r="F296" s="2"/>
      </tp>
      <tp>
        <v>1.0306289999999999E-3</v>
        <stp/>
        <stp>##V3_BDPV12</stp>
        <stp>BKNG 200320C02000000 Equity</stp>
        <stp>OPT_DELTA</stp>
        <stp>[Pricing File.xlsm]TotalReturnPricing!R904C8</stp>
        <tr r="H904" s="2"/>
      </tp>
      <tp t="s">
        <v>#N/A Field Not Applicable</v>
        <stp/>
        <stp>##V3_BDPV12</stp>
        <stp>VECO  Equity</stp>
        <stp>OPT_DELTA</stp>
        <stp>[Pricing File.xlsm]TotalReturnPricing!R413C8</stp>
        <tr r="H413" s="2"/>
      </tp>
      <tp>
        <v>-1</v>
        <stp/>
        <stp>##V3_BDPV12</stp>
        <stp>LYFT 200717P00052500 Equity</stp>
        <stp>OPT_DELTA</stp>
        <stp>[Pricing File.xlsm]TotalReturnPricing!R881C8</stp>
        <tr r="H881" s="2"/>
      </tp>
      <tp>
        <v>-1</v>
        <stp/>
        <stp>##V3_BDPV12</stp>
        <stp>HTZ 200320P00019000 Equity</stp>
        <stp>OPT_DELTA</stp>
        <stp>[Pricing File.xlsm]TotalReturnPricing!R890C8</stp>
        <tr r="H890" s="2"/>
      </tp>
      <tp>
        <v>0.32732460000000002</v>
        <stp/>
        <stp>##V3_BDPV12</stp>
        <stp>UAL 200417C00050000 Equity</stp>
        <stp>OPT_DELTA</stp>
        <stp>[Pricing File.xlsm]TotalReturnPricing!R912C8</stp>
        <tr r="H912" s="2"/>
      </tp>
      <tp>
        <v>-1</v>
        <stp/>
        <stp>##V3_BDPV12</stp>
        <stp>HTZ 200717P00021000 Equity</stp>
        <stp>OPT_DELTA</stp>
        <stp>[Pricing File.xlsm]TotalReturnPricing!R900C8</stp>
        <tr r="H900" s="2"/>
      </tp>
      <tp>
        <v>0.35157909999999998</v>
        <stp/>
        <stp>##V3_BDPV12</stp>
        <stp>CVNA 210115C00080000 Equity</stp>
        <stp>OPT_DELTA</stp>
        <stp>[Pricing File.xlsm]TotalReturnPricing!R919C8</stp>
        <tr r="H919" s="2"/>
      </tp>
      <tp>
        <v>0.42318070000000002</v>
        <stp/>
        <stp>##V3_BDPV12</stp>
        <stp>UAL 200417C00045000 Equity</stp>
        <stp>OPT_DELTA</stp>
        <stp>[Pricing File.xlsm]TotalReturnPricing!R923C8</stp>
        <tr r="H923" s="2"/>
      </tp>
      <tp t="s">
        <v>#N/A Field Not Applicable</v>
        <stp/>
        <stp>##V3_BDPV12</stp>
        <stp>VOO Equity</stp>
        <stp>OPT_DELTA</stp>
        <stp>[Pricing File.xlsm]TotalReturnPricing!R52C8</stp>
        <tr r="H52" s="2"/>
      </tp>
      <tp>
        <v>705</v>
        <stp/>
        <stp>##V3_BDPV12</stp>
        <stp>7752 JP Equity</stp>
        <stp>Px Ask</stp>
        <stp>[Pricing File.xlsm]TotalReturnPricing!R808C7</stp>
        <tr r="G808" s="2"/>
      </tp>
      <tp>
        <v>3.1141970000000001E-2</v>
        <stp/>
        <stp>##V3_BDPV12</stp>
        <stp>ALK 200417C00070000 Equity</stp>
        <stp>OPT_DELTA</stp>
        <stp>[Pricing File.xlsm]TotalReturnPricing!R866C8</stp>
        <tr r="H866" s="2"/>
      </tp>
      <tp>
        <v>0.16419020000000001</v>
        <stp/>
        <stp>##V3_BDPV12</stp>
        <stp>CVNA 210115C00100000 Equity</stp>
        <stp>OPT_DELTA</stp>
        <stp>[Pricing File.xlsm]TotalReturnPricing!R860C8</stp>
        <tr r="H860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suzanne\LOCALS~1\Temp\Temporary%20Directory%201%20for%20uaua%20swap%20pricing.athena%20(2).zip\TotalReturnPrici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rserver\my%20documents\models\hedgware\PRIC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ReturnPricing"/>
      <sheetName val="uaua swap"/>
      <sheetName val="Sheet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ReturnPricing"/>
    </sheetNames>
    <sheetDataSet>
      <sheetData sheetId="0">
        <row r="1">
          <cell r="A1" t="str">
            <v>m1</v>
          </cell>
          <cell r="B1" t="str">
            <v>TICKER</v>
          </cell>
          <cell r="C1" t="str">
            <v>SYMBOL</v>
          </cell>
        </row>
        <row r="2">
          <cell r="C2" t="str">
            <v>IMTIQ</v>
          </cell>
        </row>
        <row r="3">
          <cell r="C3" t="str">
            <v>PCNIQ</v>
          </cell>
        </row>
        <row r="4">
          <cell r="C4" t="str">
            <v>INLD.RSTD</v>
          </cell>
        </row>
        <row r="5">
          <cell r="C5" t="str">
            <v>AMR.RSTD</v>
          </cell>
        </row>
        <row r="6">
          <cell r="C6" t="str">
            <v>ONEXF</v>
          </cell>
        </row>
        <row r="7">
          <cell r="C7" t="str">
            <v>GCD</v>
          </cell>
        </row>
        <row r="8">
          <cell r="C8" t="str">
            <v>WJA</v>
          </cell>
        </row>
        <row r="9">
          <cell r="C9" t="str">
            <v>CHTR.BND</v>
          </cell>
        </row>
        <row r="10">
          <cell r="C10" t="str">
            <v>WEBI</v>
          </cell>
        </row>
        <row r="12">
          <cell r="A12" t="str">
            <v>STOCK</v>
          </cell>
          <cell r="B12" t="str">
            <v>16117PAE0</v>
          </cell>
          <cell r="C12" t="str">
            <v>16117PAE0</v>
          </cell>
        </row>
        <row r="13">
          <cell r="A13" t="str">
            <v>STOCK</v>
          </cell>
          <cell r="B13" t="str">
            <v>OCX</v>
          </cell>
          <cell r="C13" t="str">
            <v>OCX</v>
          </cell>
        </row>
        <row r="14">
          <cell r="A14" t="str">
            <v>STOCK</v>
          </cell>
          <cell r="B14" t="str">
            <v>WJA</v>
          </cell>
          <cell r="C14" t="str">
            <v>WJA2</v>
          </cell>
        </row>
        <row r="15">
          <cell r="A15" t="str">
            <v>STOCK</v>
          </cell>
          <cell r="B15" t="str">
            <v>GCD</v>
          </cell>
          <cell r="C15" t="str">
            <v>GCD2</v>
          </cell>
        </row>
        <row r="16">
          <cell r="A16" t="str">
            <v>STOCK</v>
          </cell>
          <cell r="B16" t="str">
            <v>CAD</v>
          </cell>
          <cell r="C16" t="str">
            <v>CAD</v>
          </cell>
        </row>
        <row r="17">
          <cell r="A17" t="str">
            <v>LOPTION</v>
          </cell>
          <cell r="B17" t="str">
            <v>QNQ+UF</v>
          </cell>
          <cell r="C17" t="str">
            <v>QNQ.UF</v>
          </cell>
        </row>
        <row r="18">
          <cell r="A18" t="str">
            <v>LOPTION</v>
          </cell>
          <cell r="B18" t="str">
            <v>QNQ+UG</v>
          </cell>
          <cell r="C18" t="str">
            <v>QNQ.UG</v>
          </cell>
        </row>
        <row r="19">
          <cell r="A19" t="str">
            <v>SOPTION</v>
          </cell>
          <cell r="B19" t="str">
            <v>AAI+AU</v>
          </cell>
          <cell r="C19" t="str">
            <v>AAI.AU</v>
          </cell>
        </row>
        <row r="20">
          <cell r="A20" t="str">
            <v>SOPTION</v>
          </cell>
          <cell r="B20" t="str">
            <v>AMR+AB</v>
          </cell>
          <cell r="C20" t="str">
            <v>AMR.AB</v>
          </cell>
        </row>
        <row r="21">
          <cell r="A21" t="str">
            <v>SOPTION</v>
          </cell>
          <cell r="B21" t="str">
            <v>AMR+AV</v>
          </cell>
          <cell r="C21" t="str">
            <v>AMR.AV</v>
          </cell>
        </row>
        <row r="22">
          <cell r="A22" t="str">
            <v>SOPTION</v>
          </cell>
          <cell r="B22" t="str">
            <v>AMR+UB</v>
          </cell>
          <cell r="C22" t="str">
            <v>AMR.UB</v>
          </cell>
        </row>
        <row r="23">
          <cell r="A23" t="str">
            <v>SOPTION</v>
          </cell>
          <cell r="B23" t="str">
            <v>AMR+UL</v>
          </cell>
          <cell r="C23" t="str">
            <v>AMR.UL</v>
          </cell>
        </row>
        <row r="24">
          <cell r="A24" t="str">
            <v>SOPTION</v>
          </cell>
          <cell r="B24" t="str">
            <v>BBI+JV</v>
          </cell>
          <cell r="C24" t="str">
            <v>BBI.JV</v>
          </cell>
        </row>
        <row r="25">
          <cell r="A25" t="str">
            <v>SOPTION</v>
          </cell>
          <cell r="B25" t="str">
            <v>DAL+AA</v>
          </cell>
          <cell r="C25" t="str">
            <v>DAL.AA</v>
          </cell>
        </row>
        <row r="26">
          <cell r="A26" t="str">
            <v>SOPTION</v>
          </cell>
          <cell r="B26" t="str">
            <v>DAL+AZ</v>
          </cell>
          <cell r="C26" t="str">
            <v>DAL.AZ</v>
          </cell>
        </row>
        <row r="27">
          <cell r="A27" t="str">
            <v>SOPTION</v>
          </cell>
          <cell r="B27" t="str">
            <v>DAL+IA</v>
          </cell>
          <cell r="C27" t="str">
            <v>DAL.IA</v>
          </cell>
        </row>
        <row r="28">
          <cell r="A28" t="str">
            <v>SOPTION</v>
          </cell>
          <cell r="B28" t="str">
            <v>DAL+JA</v>
          </cell>
          <cell r="C28" t="str">
            <v>DAL.JA</v>
          </cell>
        </row>
        <row r="29">
          <cell r="A29" t="str">
            <v>SOPTION</v>
          </cell>
          <cell r="B29" t="str">
            <v>DAL+JU</v>
          </cell>
          <cell r="C29" t="str">
            <v>DAL.JU</v>
          </cell>
        </row>
        <row r="30">
          <cell r="A30" t="str">
            <v>SOPTION</v>
          </cell>
          <cell r="B30" t="str">
            <v>DAL+JZ</v>
          </cell>
          <cell r="C30" t="str">
            <v>DAL.JZ</v>
          </cell>
        </row>
        <row r="31">
          <cell r="A31" t="str">
            <v>SOPTION</v>
          </cell>
          <cell r="B31" t="str">
            <v>ERQ+UH</v>
          </cell>
          <cell r="C31" t="str">
            <v>ERQ.UH</v>
          </cell>
        </row>
        <row r="32">
          <cell r="A32" t="str">
            <v>SOPTION</v>
          </cell>
          <cell r="B32" t="str">
            <v>ERU+IJ</v>
          </cell>
          <cell r="C32" t="str">
            <v>ERU.IJ</v>
          </cell>
        </row>
        <row r="33">
          <cell r="A33" t="str">
            <v>SOPTION</v>
          </cell>
          <cell r="B33" t="str">
            <v>IRO+JD</v>
          </cell>
          <cell r="C33" t="str">
            <v>IRO.JD</v>
          </cell>
        </row>
        <row r="34">
          <cell r="A34" t="str">
            <v>SOPTION</v>
          </cell>
          <cell r="B34" t="str">
            <v>IRO+JX</v>
          </cell>
          <cell r="C34" t="str">
            <v>IRO.JX</v>
          </cell>
        </row>
        <row r="35">
          <cell r="A35" t="str">
            <v>SOPTION</v>
          </cell>
          <cell r="B35" t="str">
            <v>IUH+IU</v>
          </cell>
          <cell r="C35" t="str">
            <v>IUH.IU</v>
          </cell>
        </row>
        <row r="36">
          <cell r="A36" t="str">
            <v>SOPTION</v>
          </cell>
          <cell r="B36" t="str">
            <v>PUZ+AE</v>
          </cell>
          <cell r="C36" t="str">
            <v>PUZ.AE</v>
          </cell>
        </row>
        <row r="37">
          <cell r="A37" t="str">
            <v>SOPTION</v>
          </cell>
          <cell r="B37" t="str">
            <v>PUZ+AF</v>
          </cell>
          <cell r="C37" t="str">
            <v>PUZ.AF</v>
          </cell>
        </row>
        <row r="38">
          <cell r="A38" t="str">
            <v>SOPTION</v>
          </cell>
          <cell r="B38" t="str">
            <v>PUZ+IW</v>
          </cell>
          <cell r="C38" t="str">
            <v>PUZ.IW</v>
          </cell>
        </row>
        <row r="39">
          <cell r="A39" t="str">
            <v>SOPTION</v>
          </cell>
          <cell r="B39" t="str">
            <v>PUZ+JD</v>
          </cell>
          <cell r="C39" t="str">
            <v>PUZ.JD</v>
          </cell>
        </row>
        <row r="40">
          <cell r="A40" t="str">
            <v>SOPTION</v>
          </cell>
          <cell r="B40" t="str">
            <v>QNQ+IE</v>
          </cell>
          <cell r="C40" t="str">
            <v>QNQ.IE2</v>
          </cell>
        </row>
        <row r="41">
          <cell r="A41" t="str">
            <v>SOPTION</v>
          </cell>
          <cell r="B41" t="str">
            <v>QNQ+IF</v>
          </cell>
          <cell r="C41" t="str">
            <v>QNQ.IF2</v>
          </cell>
        </row>
        <row r="42">
          <cell r="A42" t="str">
            <v>SOPTION</v>
          </cell>
          <cell r="B42" t="str">
            <v>QNQ+IG</v>
          </cell>
          <cell r="C42" t="str">
            <v>QNQ.IG</v>
          </cell>
        </row>
        <row r="43">
          <cell r="A43" t="str">
            <v>SOPTION</v>
          </cell>
          <cell r="B43" t="str">
            <v>QNQ+IY</v>
          </cell>
          <cell r="C43" t="str">
            <v>QNQ.IY2</v>
          </cell>
        </row>
        <row r="44">
          <cell r="A44" t="str">
            <v>SOPTION</v>
          </cell>
          <cell r="B44" t="str">
            <v>QNQ+UD</v>
          </cell>
          <cell r="C44" t="str">
            <v>QNQ.UD2</v>
          </cell>
        </row>
        <row r="45">
          <cell r="A45" t="str">
            <v>SOPTION</v>
          </cell>
          <cell r="B45" t="str">
            <v>QNQ+UW</v>
          </cell>
          <cell r="C45" t="str">
            <v>QNQ.UW</v>
          </cell>
        </row>
        <row r="46">
          <cell r="A46" t="str">
            <v>SOPTION</v>
          </cell>
          <cell r="B46" t="str">
            <v>QSL+IF</v>
          </cell>
          <cell r="C46" t="str">
            <v>QSL.IF</v>
          </cell>
        </row>
        <row r="47">
          <cell r="A47" t="str">
            <v>SOPTION</v>
          </cell>
          <cell r="B47" t="str">
            <v>QSL+LC</v>
          </cell>
          <cell r="C47" t="str">
            <v>QSL.LC</v>
          </cell>
        </row>
        <row r="48">
          <cell r="A48" t="str">
            <v>STOCK</v>
          </cell>
          <cell r="B48" t="str">
            <v>AAI</v>
          </cell>
          <cell r="C48" t="str">
            <v>AAI</v>
          </cell>
        </row>
        <row r="49">
          <cell r="A49" t="str">
            <v>STOCK</v>
          </cell>
          <cell r="B49" t="str">
            <v>ABC</v>
          </cell>
          <cell r="C49" t="str">
            <v>ABC</v>
          </cell>
        </row>
        <row r="50">
          <cell r="A50" t="str">
            <v>STOCK</v>
          </cell>
          <cell r="B50" t="str">
            <v>ABG</v>
          </cell>
          <cell r="C50" t="str">
            <v>ABG</v>
          </cell>
        </row>
        <row r="51">
          <cell r="A51" t="str">
            <v>STOCK</v>
          </cell>
          <cell r="B51" t="str">
            <v>ACAI</v>
          </cell>
          <cell r="C51" t="str">
            <v>ACAI</v>
          </cell>
        </row>
        <row r="52">
          <cell r="A52" t="str">
            <v>STOCK</v>
          </cell>
          <cell r="B52" t="str">
            <v>ACI</v>
          </cell>
          <cell r="C52" t="str">
            <v>ACI</v>
          </cell>
        </row>
        <row r="53">
          <cell r="A53" t="str">
            <v>STOCK</v>
          </cell>
          <cell r="B53" t="str">
            <v>ACME</v>
          </cell>
          <cell r="C53" t="str">
            <v>ACME</v>
          </cell>
        </row>
        <row r="54">
          <cell r="A54" t="str">
            <v>STOCK</v>
          </cell>
          <cell r="B54" t="str">
            <v>ADAT</v>
          </cell>
          <cell r="C54" t="str">
            <v>ADAT</v>
          </cell>
        </row>
        <row r="55">
          <cell r="A55" t="str">
            <v>STOCK</v>
          </cell>
          <cell r="B55" t="str">
            <v>ADCT</v>
          </cell>
          <cell r="C55" t="str">
            <v>ADCT</v>
          </cell>
        </row>
        <row r="56">
          <cell r="A56" t="str">
            <v>STOCK</v>
          </cell>
          <cell r="B56" t="str">
            <v>ADI</v>
          </cell>
          <cell r="C56" t="str">
            <v>ADI</v>
          </cell>
        </row>
        <row r="57">
          <cell r="A57" t="str">
            <v>STOCK</v>
          </cell>
          <cell r="B57" t="str">
            <v>AEN</v>
          </cell>
          <cell r="C57" t="str">
            <v>AEN</v>
          </cell>
        </row>
        <row r="58">
          <cell r="A58" t="str">
            <v>STOCK</v>
          </cell>
          <cell r="B58" t="str">
            <v>AEOS</v>
          </cell>
          <cell r="C58" t="str">
            <v>AEOS</v>
          </cell>
        </row>
        <row r="59">
          <cell r="A59" t="str">
            <v>STOCK</v>
          </cell>
          <cell r="B59" t="str">
            <v>AFFX</v>
          </cell>
          <cell r="C59" t="str">
            <v>AFFX</v>
          </cell>
        </row>
        <row r="60">
          <cell r="A60" t="str">
            <v>STOCK</v>
          </cell>
          <cell r="B60" t="str">
            <v>AGI</v>
          </cell>
          <cell r="C60" t="str">
            <v>AGI</v>
          </cell>
        </row>
        <row r="61">
          <cell r="A61" t="str">
            <v>STOCK</v>
          </cell>
          <cell r="B61" t="str">
            <v>AGY</v>
          </cell>
          <cell r="C61" t="str">
            <v>AGY</v>
          </cell>
        </row>
        <row r="62">
          <cell r="A62" t="str">
            <v>STOCK</v>
          </cell>
          <cell r="B62" t="str">
            <v>AIV</v>
          </cell>
          <cell r="C62" t="str">
            <v>AIV</v>
          </cell>
        </row>
        <row r="63">
          <cell r="A63" t="str">
            <v>STOCK</v>
          </cell>
          <cell r="B63" t="str">
            <v>AKAM</v>
          </cell>
          <cell r="C63" t="str">
            <v>AKAM</v>
          </cell>
        </row>
        <row r="64">
          <cell r="A64" t="str">
            <v>STOCK</v>
          </cell>
          <cell r="B64" t="str">
            <v>AL</v>
          </cell>
          <cell r="C64" t="str">
            <v>AL</v>
          </cell>
        </row>
        <row r="65">
          <cell r="A65" t="str">
            <v>STOCK</v>
          </cell>
          <cell r="B65" t="str">
            <v>ALGN</v>
          </cell>
          <cell r="C65" t="str">
            <v>ALGN</v>
          </cell>
        </row>
        <row r="66">
          <cell r="A66" t="str">
            <v>STOCK</v>
          </cell>
          <cell r="B66" t="str">
            <v>ALK</v>
          </cell>
          <cell r="C66" t="str">
            <v>ALK</v>
          </cell>
        </row>
        <row r="67">
          <cell r="A67" t="str">
            <v>STOCK</v>
          </cell>
          <cell r="B67" t="str">
            <v>ALXN</v>
          </cell>
          <cell r="C67" t="str">
            <v>ALXN</v>
          </cell>
        </row>
        <row r="68">
          <cell r="A68" t="str">
            <v>STOCK</v>
          </cell>
          <cell r="B68" t="str">
            <v>AMKR</v>
          </cell>
          <cell r="C68" t="str">
            <v>AMKR</v>
          </cell>
        </row>
        <row r="69">
          <cell r="A69" t="str">
            <v>STOCK</v>
          </cell>
          <cell r="B69" t="str">
            <v>AMR</v>
          </cell>
          <cell r="C69" t="str">
            <v>AMR</v>
          </cell>
        </row>
        <row r="70">
          <cell r="A70" t="str">
            <v>STOCK</v>
          </cell>
          <cell r="B70" t="str">
            <v>AMT</v>
          </cell>
          <cell r="C70" t="str">
            <v>AMT</v>
          </cell>
        </row>
        <row r="71">
          <cell r="A71" t="str">
            <v>STOCK</v>
          </cell>
          <cell r="B71" t="str">
            <v>AMTD</v>
          </cell>
          <cell r="C71" t="str">
            <v>AMTD</v>
          </cell>
        </row>
        <row r="72">
          <cell r="A72" t="str">
            <v>STOCK</v>
          </cell>
          <cell r="B72" t="str">
            <v>ANAD</v>
          </cell>
          <cell r="C72" t="str">
            <v>ANAD</v>
          </cell>
        </row>
        <row r="73">
          <cell r="A73" t="str">
            <v>STOCK</v>
          </cell>
          <cell r="B73" t="str">
            <v>ANF</v>
          </cell>
          <cell r="C73" t="str">
            <v>ANF</v>
          </cell>
        </row>
        <row r="74">
          <cell r="A74" t="str">
            <v>STOCK</v>
          </cell>
          <cell r="B74" t="str">
            <v>ANST</v>
          </cell>
          <cell r="C74" t="str">
            <v>ANST</v>
          </cell>
        </row>
        <row r="75">
          <cell r="A75" t="str">
            <v>STOCK</v>
          </cell>
          <cell r="B75" t="str">
            <v>APD</v>
          </cell>
          <cell r="C75" t="str">
            <v>APD</v>
          </cell>
        </row>
        <row r="76">
          <cell r="A76" t="str">
            <v>STOCK</v>
          </cell>
          <cell r="B76" t="str">
            <v>APPB</v>
          </cell>
          <cell r="C76" t="str">
            <v>APPB</v>
          </cell>
        </row>
        <row r="77">
          <cell r="A77" t="str">
            <v>STOCK</v>
          </cell>
          <cell r="B77" t="str">
            <v>ARG</v>
          </cell>
          <cell r="C77" t="str">
            <v>ARG</v>
          </cell>
        </row>
        <row r="78">
          <cell r="A78" t="str">
            <v>STOCK</v>
          </cell>
          <cell r="B78" t="str">
            <v>ARGN</v>
          </cell>
          <cell r="C78" t="str">
            <v>ARGN</v>
          </cell>
        </row>
        <row r="79">
          <cell r="A79" t="str">
            <v>STOCK</v>
          </cell>
          <cell r="B79" t="str">
            <v>ARO</v>
          </cell>
          <cell r="C79" t="str">
            <v>ARO</v>
          </cell>
        </row>
        <row r="80">
          <cell r="A80" t="str">
            <v>STOCK</v>
          </cell>
          <cell r="B80" t="str">
            <v>ARRS</v>
          </cell>
          <cell r="C80" t="str">
            <v>ARRS</v>
          </cell>
        </row>
        <row r="81">
          <cell r="A81" t="str">
            <v>STOCK</v>
          </cell>
          <cell r="B81" t="str">
            <v>ARTC</v>
          </cell>
          <cell r="C81" t="str">
            <v>ARTC</v>
          </cell>
        </row>
        <row r="82">
          <cell r="A82" t="str">
            <v>STOCK</v>
          </cell>
          <cell r="B82" t="str">
            <v>ARTG</v>
          </cell>
          <cell r="C82" t="str">
            <v>ARTG</v>
          </cell>
        </row>
        <row r="83">
          <cell r="A83" t="str">
            <v>STOCK</v>
          </cell>
          <cell r="B83" t="str">
            <v>ASCA</v>
          </cell>
          <cell r="C83" t="str">
            <v>ASCA</v>
          </cell>
        </row>
        <row r="84">
          <cell r="A84" t="str">
            <v>STOCK</v>
          </cell>
          <cell r="B84" t="str">
            <v>ASIA</v>
          </cell>
          <cell r="C84" t="str">
            <v>ASIA</v>
          </cell>
        </row>
        <row r="85">
          <cell r="A85" t="str">
            <v>STOCK</v>
          </cell>
          <cell r="B85" t="str">
            <v>ASYS</v>
          </cell>
          <cell r="C85" t="str">
            <v>ASYS</v>
          </cell>
        </row>
        <row r="86">
          <cell r="A86" t="str">
            <v>STOCK</v>
          </cell>
          <cell r="B86" t="str">
            <v>ATAH</v>
          </cell>
          <cell r="C86" t="str">
            <v>ATAH</v>
          </cell>
        </row>
        <row r="87">
          <cell r="A87" t="str">
            <v>STOCK</v>
          </cell>
          <cell r="B87" t="str">
            <v>ATAR</v>
          </cell>
          <cell r="C87" t="str">
            <v>ATAR</v>
          </cell>
        </row>
        <row r="88">
          <cell r="A88" t="str">
            <v>STOCK</v>
          </cell>
          <cell r="B88" t="str">
            <v>ATSN</v>
          </cell>
          <cell r="C88" t="str">
            <v>ATSN</v>
          </cell>
        </row>
        <row r="89">
          <cell r="A89" t="str">
            <v>STOCK</v>
          </cell>
          <cell r="B89" t="str">
            <v>AWA</v>
          </cell>
          <cell r="C89" t="str">
            <v>AWA</v>
          </cell>
        </row>
        <row r="90">
          <cell r="A90" t="str">
            <v>STOCK</v>
          </cell>
          <cell r="B90" t="str">
            <v>BAC</v>
          </cell>
          <cell r="C90" t="str">
            <v>BAC</v>
          </cell>
        </row>
        <row r="91">
          <cell r="A91" t="str">
            <v>STOCK</v>
          </cell>
          <cell r="B91" t="str">
            <v>BBA</v>
          </cell>
          <cell r="C91" t="str">
            <v>BBA</v>
          </cell>
        </row>
        <row r="92">
          <cell r="A92" t="str">
            <v>STOCK</v>
          </cell>
          <cell r="B92" t="str">
            <v>BBBY</v>
          </cell>
          <cell r="C92" t="str">
            <v>BBBY</v>
          </cell>
        </row>
        <row r="93">
          <cell r="A93" t="str">
            <v>STOCK</v>
          </cell>
          <cell r="B93" t="str">
            <v>BBI</v>
          </cell>
          <cell r="C93" t="str">
            <v>BBI</v>
          </cell>
        </row>
        <row r="94">
          <cell r="A94" t="str">
            <v>STOCK</v>
          </cell>
          <cell r="B94" t="str">
            <v>BBY</v>
          </cell>
          <cell r="C94" t="str">
            <v>BBY</v>
          </cell>
        </row>
        <row r="95">
          <cell r="A95" t="str">
            <v>STOCK</v>
          </cell>
          <cell r="B95" t="str">
            <v>BC</v>
          </cell>
          <cell r="C95" t="str">
            <v>BC</v>
          </cell>
        </row>
        <row r="96">
          <cell r="A96" t="str">
            <v>STOCK</v>
          </cell>
          <cell r="B96" t="str">
            <v>BCC</v>
          </cell>
          <cell r="C96" t="str">
            <v>BCC</v>
          </cell>
        </row>
        <row r="97">
          <cell r="A97" t="str">
            <v>STOCK</v>
          </cell>
          <cell r="B97" t="str">
            <v>BEBE</v>
          </cell>
          <cell r="C97" t="str">
            <v>BEBE</v>
          </cell>
        </row>
        <row r="98">
          <cell r="A98" t="str">
            <v>STOCK</v>
          </cell>
          <cell r="B98" t="str">
            <v>BEV</v>
          </cell>
          <cell r="C98" t="str">
            <v>BEV</v>
          </cell>
        </row>
        <row r="99">
          <cell r="A99" t="str">
            <v>STOCK</v>
          </cell>
          <cell r="B99" t="str">
            <v>BFT</v>
          </cell>
          <cell r="C99" t="str">
            <v>BFT</v>
          </cell>
        </row>
        <row r="100">
          <cell r="A100" t="str">
            <v>STOCK</v>
          </cell>
          <cell r="B100" t="str">
            <v>BFUN</v>
          </cell>
          <cell r="C100" t="str">
            <v>BFUN</v>
          </cell>
        </row>
        <row r="101">
          <cell r="A101" t="str">
            <v>STOCK</v>
          </cell>
          <cell r="B101" t="str">
            <v>BIOW</v>
          </cell>
          <cell r="C101" t="str">
            <v>BIOW</v>
          </cell>
        </row>
        <row r="102">
          <cell r="A102" t="str">
            <v>STOCK</v>
          </cell>
          <cell r="B102" t="str">
            <v>BKS</v>
          </cell>
          <cell r="C102" t="str">
            <v>BKS</v>
          </cell>
        </row>
        <row r="103">
          <cell r="A103" t="str">
            <v>STOCK</v>
          </cell>
          <cell r="B103" t="str">
            <v>BSML</v>
          </cell>
          <cell r="C103" t="str">
            <v>BSML</v>
          </cell>
        </row>
        <row r="104">
          <cell r="A104" t="str">
            <v>STOCK</v>
          </cell>
          <cell r="B104" t="str">
            <v>BSTE</v>
          </cell>
          <cell r="C104" t="str">
            <v>BSTE</v>
          </cell>
        </row>
        <row r="105">
          <cell r="A105" t="str">
            <v>STOCK</v>
          </cell>
          <cell r="B105" t="str">
            <v>BVF</v>
          </cell>
          <cell r="C105" t="str">
            <v>BVF</v>
          </cell>
        </row>
        <row r="106">
          <cell r="A106" t="str">
            <v>STOCK</v>
          </cell>
          <cell r="B106" t="str">
            <v>BYD</v>
          </cell>
          <cell r="C106" t="str">
            <v>BYD</v>
          </cell>
        </row>
        <row r="107">
          <cell r="A107" t="str">
            <v>STOCK</v>
          </cell>
          <cell r="B107" t="str">
            <v>CACH</v>
          </cell>
          <cell r="C107" t="str">
            <v>CACH</v>
          </cell>
        </row>
        <row r="108">
          <cell r="A108" t="str">
            <v>STOCK</v>
          </cell>
          <cell r="B108" t="str">
            <v>CAH</v>
          </cell>
          <cell r="C108" t="str">
            <v>CAH</v>
          </cell>
        </row>
        <row r="109">
          <cell r="A109" t="str">
            <v>STOCK</v>
          </cell>
          <cell r="B109" t="str">
            <v>CAKE</v>
          </cell>
          <cell r="C109" t="str">
            <v>CAKE</v>
          </cell>
        </row>
        <row r="110">
          <cell r="A110" t="str">
            <v>STOCK</v>
          </cell>
          <cell r="B110" t="str">
            <v>CAPX</v>
          </cell>
          <cell r="C110" t="str">
            <v>CAPX</v>
          </cell>
        </row>
        <row r="111">
          <cell r="A111" t="str">
            <v>STOCK</v>
          </cell>
          <cell r="B111" t="str">
            <v>CBH</v>
          </cell>
          <cell r="C111" t="str">
            <v>CBH</v>
          </cell>
        </row>
        <row r="112">
          <cell r="A112" t="str">
            <v>STOCK</v>
          </cell>
          <cell r="B112" t="str">
            <v>CBL</v>
          </cell>
          <cell r="C112" t="str">
            <v>CBL</v>
          </cell>
        </row>
        <row r="113">
          <cell r="A113" t="str">
            <v>STOCK</v>
          </cell>
          <cell r="B113" t="str">
            <v>CBRL</v>
          </cell>
          <cell r="C113" t="str">
            <v>CBRL</v>
          </cell>
        </row>
        <row r="114">
          <cell r="A114" t="str">
            <v>STOCK</v>
          </cell>
          <cell r="B114" t="str">
            <v>CBT</v>
          </cell>
          <cell r="C114" t="str">
            <v>CBT</v>
          </cell>
        </row>
        <row r="115">
          <cell r="A115" t="str">
            <v>STOCK</v>
          </cell>
          <cell r="B115" t="str">
            <v>CC</v>
          </cell>
          <cell r="C115" t="str">
            <v>CC</v>
          </cell>
        </row>
        <row r="116">
          <cell r="A116" t="str">
            <v>STOCK</v>
          </cell>
          <cell r="B116" t="str">
            <v>CCK</v>
          </cell>
          <cell r="C116" t="str">
            <v>CCK</v>
          </cell>
        </row>
        <row r="117">
          <cell r="A117" t="str">
            <v>STOCK</v>
          </cell>
          <cell r="B117" t="str">
            <v>CCLH</v>
          </cell>
          <cell r="C117" t="str">
            <v>CCLH</v>
          </cell>
        </row>
        <row r="118">
          <cell r="A118" t="str">
            <v>STOCK</v>
          </cell>
          <cell r="B118" t="str">
            <v>CCMP</v>
          </cell>
          <cell r="C118" t="str">
            <v>CCMP</v>
          </cell>
        </row>
        <row r="119">
          <cell r="A119" t="str">
            <v>STOCK</v>
          </cell>
          <cell r="B119" t="str">
            <v>CCMP</v>
          </cell>
          <cell r="C119" t="str">
            <v>CCMP.STK</v>
          </cell>
        </row>
        <row r="120">
          <cell r="A120" t="str">
            <v>STOCK</v>
          </cell>
          <cell r="B120" t="str">
            <v>CCU</v>
          </cell>
          <cell r="C120" t="str">
            <v>CCU</v>
          </cell>
        </row>
        <row r="121">
          <cell r="A121" t="str">
            <v>STOCK</v>
          </cell>
          <cell r="B121" t="str">
            <v>CD</v>
          </cell>
          <cell r="C121" t="str">
            <v>CD</v>
          </cell>
        </row>
        <row r="122">
          <cell r="A122" t="str">
            <v>STOCK</v>
          </cell>
          <cell r="B122" t="str">
            <v>CEC</v>
          </cell>
          <cell r="C122" t="str">
            <v>CEC</v>
          </cell>
        </row>
        <row r="123">
          <cell r="A123" t="str">
            <v>STOCK</v>
          </cell>
          <cell r="B123" t="str">
            <v>CELG</v>
          </cell>
          <cell r="C123" t="str">
            <v>CELG</v>
          </cell>
        </row>
        <row r="124">
          <cell r="A124" t="str">
            <v>STOCK</v>
          </cell>
          <cell r="B124" t="str">
            <v>CERN</v>
          </cell>
          <cell r="C124" t="str">
            <v>CERN</v>
          </cell>
        </row>
        <row r="125">
          <cell r="A125" t="str">
            <v>STOCK</v>
          </cell>
          <cell r="B125" t="str">
            <v>CFHI</v>
          </cell>
          <cell r="C125" t="str">
            <v>CFHI</v>
          </cell>
        </row>
        <row r="126">
          <cell r="A126" t="str">
            <v>STOCK</v>
          </cell>
          <cell r="B126" t="str">
            <v>CHDN</v>
          </cell>
          <cell r="C126" t="str">
            <v>CHDN</v>
          </cell>
        </row>
        <row r="127">
          <cell r="A127" t="str">
            <v>STOCK</v>
          </cell>
          <cell r="B127" t="str">
            <v>CHIC</v>
          </cell>
          <cell r="C127" t="str">
            <v>CHIC</v>
          </cell>
        </row>
        <row r="128">
          <cell r="A128" t="str">
            <v>STOCK</v>
          </cell>
          <cell r="B128" t="str">
            <v>CHK</v>
          </cell>
          <cell r="C128" t="str">
            <v>CHK</v>
          </cell>
        </row>
        <row r="129">
          <cell r="A129" t="str">
            <v>STOCK</v>
          </cell>
          <cell r="B129" t="str">
            <v>CHRS</v>
          </cell>
          <cell r="C129" t="str">
            <v>CHRS</v>
          </cell>
        </row>
        <row r="130">
          <cell r="A130" t="str">
            <v>STOCK</v>
          </cell>
          <cell r="B130" t="str">
            <v>CHS</v>
          </cell>
          <cell r="C130" t="str">
            <v>CHS</v>
          </cell>
        </row>
        <row r="131">
          <cell r="A131" t="str">
            <v>STOCK</v>
          </cell>
          <cell r="B131" t="str">
            <v>CHTL</v>
          </cell>
          <cell r="C131" t="str">
            <v>CHTL</v>
          </cell>
        </row>
        <row r="132">
          <cell r="A132" t="str">
            <v>STOCK</v>
          </cell>
          <cell r="B132" t="str">
            <v>CHTR</v>
          </cell>
          <cell r="C132" t="str">
            <v>CHTR</v>
          </cell>
        </row>
        <row r="133">
          <cell r="A133" t="str">
            <v>STOCK</v>
          </cell>
          <cell r="B133" t="str">
            <v>CHUX</v>
          </cell>
          <cell r="C133" t="str">
            <v>CHUX</v>
          </cell>
        </row>
        <row r="134">
          <cell r="A134" t="str">
            <v>STOCK</v>
          </cell>
          <cell r="B134" t="str">
            <v>CKR</v>
          </cell>
          <cell r="C134" t="str">
            <v>CKR</v>
          </cell>
        </row>
        <row r="135">
          <cell r="A135" t="str">
            <v>STOCK</v>
          </cell>
          <cell r="B135" t="str">
            <v>CL3</v>
          </cell>
          <cell r="C135" t="str">
            <v>CL3</v>
          </cell>
        </row>
        <row r="136">
          <cell r="A136" t="str">
            <v>STOCK</v>
          </cell>
          <cell r="B136" t="str">
            <v>CLDN</v>
          </cell>
          <cell r="C136" t="str">
            <v>CLDN</v>
          </cell>
        </row>
        <row r="137">
          <cell r="A137" t="str">
            <v>STOCK</v>
          </cell>
          <cell r="B137" t="str">
            <v>CMCSA</v>
          </cell>
          <cell r="C137" t="str">
            <v>CMCSA</v>
          </cell>
        </row>
        <row r="138">
          <cell r="A138" t="str">
            <v>STOCK</v>
          </cell>
          <cell r="B138" t="str">
            <v>CMCSK</v>
          </cell>
          <cell r="C138" t="str">
            <v>CMCSK</v>
          </cell>
        </row>
        <row r="139">
          <cell r="A139" t="str">
            <v>STOCK</v>
          </cell>
          <cell r="B139" t="str">
            <v>CMGI</v>
          </cell>
          <cell r="C139" t="str">
            <v>CMGI</v>
          </cell>
        </row>
        <row r="140">
          <cell r="A140" t="str">
            <v>STOCK</v>
          </cell>
          <cell r="B140" t="str">
            <v>CMLS</v>
          </cell>
          <cell r="C140" t="str">
            <v>CMLS</v>
          </cell>
        </row>
        <row r="141">
          <cell r="A141" t="str">
            <v>STOCK</v>
          </cell>
          <cell r="B141" t="str">
            <v>CNA</v>
          </cell>
          <cell r="C141" t="str">
            <v>CNA</v>
          </cell>
        </row>
        <row r="142">
          <cell r="A142" t="str">
            <v>STOCK</v>
          </cell>
          <cell r="B142" t="str">
            <v>CNST</v>
          </cell>
          <cell r="C142" t="str">
            <v>CNST</v>
          </cell>
        </row>
        <row r="143">
          <cell r="A143" t="str">
            <v>STOCK</v>
          </cell>
          <cell r="B143" t="str">
            <v>CNST</v>
          </cell>
          <cell r="C143" t="str">
            <v>CNST</v>
          </cell>
        </row>
        <row r="144">
          <cell r="A144" t="str">
            <v>STOCK</v>
          </cell>
          <cell r="B144" t="str">
            <v>CNXT</v>
          </cell>
          <cell r="C144" t="str">
            <v>CNXT</v>
          </cell>
        </row>
        <row r="145">
          <cell r="A145" t="str">
            <v>STOCK</v>
          </cell>
          <cell r="B145" t="str">
            <v>COH</v>
          </cell>
          <cell r="C145" t="str">
            <v>COH</v>
          </cell>
        </row>
        <row r="146">
          <cell r="A146" t="str">
            <v>STOCK</v>
          </cell>
          <cell r="B146" t="str">
            <v>COHU</v>
          </cell>
          <cell r="C146" t="str">
            <v>COHU</v>
          </cell>
        </row>
        <row r="147">
          <cell r="A147" t="str">
            <v>STOCK</v>
          </cell>
          <cell r="B147" t="str">
            <v>COMS</v>
          </cell>
          <cell r="C147" t="str">
            <v>COMS</v>
          </cell>
        </row>
        <row r="148">
          <cell r="A148" t="str">
            <v>STOCK</v>
          </cell>
          <cell r="B148" t="str">
            <v>CONN</v>
          </cell>
          <cell r="C148" t="str">
            <v>CONN</v>
          </cell>
        </row>
        <row r="149">
          <cell r="A149" t="str">
            <v>STOCK</v>
          </cell>
          <cell r="B149" t="str">
            <v>CORV</v>
          </cell>
          <cell r="C149" t="str">
            <v>CORV</v>
          </cell>
        </row>
        <row r="150">
          <cell r="A150" t="str">
            <v>STOCK</v>
          </cell>
          <cell r="B150" t="str">
            <v>COX</v>
          </cell>
          <cell r="C150" t="str">
            <v>COX</v>
          </cell>
        </row>
        <row r="151">
          <cell r="A151" t="str">
            <v>STOCK</v>
          </cell>
          <cell r="B151" t="str">
            <v>CPTS</v>
          </cell>
          <cell r="C151" t="str">
            <v>CPTS</v>
          </cell>
        </row>
        <row r="152">
          <cell r="A152" t="str">
            <v>STOCK</v>
          </cell>
          <cell r="B152" t="str">
            <v>CREE</v>
          </cell>
          <cell r="C152" t="str">
            <v>CREE</v>
          </cell>
        </row>
        <row r="153">
          <cell r="A153" t="str">
            <v>STOCK</v>
          </cell>
          <cell r="B153" t="str">
            <v>CSC</v>
          </cell>
          <cell r="C153" t="str">
            <v>CSC</v>
          </cell>
        </row>
        <row r="154">
          <cell r="A154" t="str">
            <v>STOCK</v>
          </cell>
          <cell r="B154" t="str">
            <v>CSCO</v>
          </cell>
          <cell r="C154" t="str">
            <v>CSCO</v>
          </cell>
        </row>
        <row r="155">
          <cell r="A155" t="str">
            <v>STOCK</v>
          </cell>
          <cell r="B155" t="str">
            <v>CSGS</v>
          </cell>
          <cell r="C155" t="str">
            <v>CSGS</v>
          </cell>
        </row>
        <row r="156">
          <cell r="A156" t="str">
            <v>STOCK</v>
          </cell>
          <cell r="B156" t="str">
            <v>CTAS</v>
          </cell>
          <cell r="C156" t="str">
            <v>CTAS</v>
          </cell>
        </row>
        <row r="157">
          <cell r="A157" t="str">
            <v>STOCK</v>
          </cell>
          <cell r="B157" t="str">
            <v>CTSH</v>
          </cell>
          <cell r="C157" t="str">
            <v>CTSH</v>
          </cell>
        </row>
        <row r="158">
          <cell r="A158" t="str">
            <v>STOCK</v>
          </cell>
          <cell r="B158" t="str">
            <v>CVG</v>
          </cell>
          <cell r="C158" t="str">
            <v>CVG</v>
          </cell>
        </row>
        <row r="159">
          <cell r="A159" t="str">
            <v>STOCK</v>
          </cell>
          <cell r="B159" t="str">
            <v>CVH</v>
          </cell>
          <cell r="C159" t="str">
            <v>CVH</v>
          </cell>
        </row>
        <row r="160">
          <cell r="A160" t="str">
            <v>STOCK</v>
          </cell>
          <cell r="B160" t="str">
            <v>CVII</v>
          </cell>
          <cell r="C160" t="str">
            <v>CVII</v>
          </cell>
        </row>
        <row r="161">
          <cell r="A161" t="str">
            <v>STOCK</v>
          </cell>
          <cell r="B161" t="str">
            <v>CWG</v>
          </cell>
          <cell r="C161" t="str">
            <v>CWG</v>
          </cell>
        </row>
        <row r="162">
          <cell r="A162" t="str">
            <v>STOCK</v>
          </cell>
          <cell r="B162" t="str">
            <v>CWTR</v>
          </cell>
          <cell r="C162" t="str">
            <v>CWTR</v>
          </cell>
        </row>
        <row r="163">
          <cell r="A163" t="str">
            <v>STOCK</v>
          </cell>
          <cell r="B163" t="str">
            <v>CXR</v>
          </cell>
          <cell r="C163" t="str">
            <v>CXR</v>
          </cell>
        </row>
        <row r="164">
          <cell r="A164" t="str">
            <v>STOCK</v>
          </cell>
          <cell r="B164" t="str">
            <v>CYGN</v>
          </cell>
          <cell r="C164" t="str">
            <v>CYGN</v>
          </cell>
        </row>
        <row r="165">
          <cell r="A165" t="str">
            <v>STOCK</v>
          </cell>
          <cell r="B165" t="str">
            <v>CYTC</v>
          </cell>
          <cell r="C165" t="str">
            <v>CYTC</v>
          </cell>
        </row>
        <row r="166">
          <cell r="A166" t="str">
            <v>STOCK</v>
          </cell>
          <cell r="B166" t="str">
            <v>DAL</v>
          </cell>
          <cell r="C166" t="str">
            <v>DAL</v>
          </cell>
        </row>
        <row r="167">
          <cell r="A167" t="str">
            <v>STOCK</v>
          </cell>
          <cell r="B167" t="str">
            <v>DAOU</v>
          </cell>
          <cell r="C167" t="str">
            <v>DAOU</v>
          </cell>
        </row>
        <row r="168">
          <cell r="A168" t="str">
            <v>STOCK</v>
          </cell>
          <cell r="B168" t="str">
            <v>DD</v>
          </cell>
          <cell r="C168" t="str">
            <v>DD</v>
          </cell>
        </row>
        <row r="169">
          <cell r="A169" t="str">
            <v>STOCK</v>
          </cell>
          <cell r="B169" t="str">
            <v>DDE</v>
          </cell>
          <cell r="C169" t="str">
            <v>DDE</v>
          </cell>
        </row>
        <row r="170">
          <cell r="A170" t="str">
            <v>STOCK</v>
          </cell>
          <cell r="B170" t="str">
            <v>DEBS</v>
          </cell>
          <cell r="C170" t="str">
            <v>DEBS</v>
          </cell>
        </row>
        <row r="171">
          <cell r="A171" t="str">
            <v>STOCK</v>
          </cell>
          <cell r="B171" t="str">
            <v>DGICA</v>
          </cell>
          <cell r="C171" t="str">
            <v>DGICA</v>
          </cell>
        </row>
        <row r="172">
          <cell r="A172" t="str">
            <v>STOCK</v>
          </cell>
          <cell r="B172" t="str">
            <v>DIO</v>
          </cell>
          <cell r="C172" t="str">
            <v>DIO</v>
          </cell>
        </row>
        <row r="173">
          <cell r="A173" t="str">
            <v>STOCK</v>
          </cell>
          <cell r="B173" t="str">
            <v>DIS</v>
          </cell>
          <cell r="C173" t="str">
            <v>DIS</v>
          </cell>
        </row>
        <row r="174">
          <cell r="A174" t="str">
            <v>STOCK</v>
          </cell>
          <cell r="B174" t="str">
            <v>DISH</v>
          </cell>
          <cell r="C174" t="str">
            <v>DISH</v>
          </cell>
        </row>
        <row r="175">
          <cell r="A175" t="str">
            <v>STOCK</v>
          </cell>
          <cell r="B175" t="str">
            <v>DKHR</v>
          </cell>
          <cell r="C175" t="str">
            <v>DKHR</v>
          </cell>
        </row>
        <row r="176">
          <cell r="A176" t="str">
            <v>STOCK</v>
          </cell>
          <cell r="B176" t="str">
            <v>DOW</v>
          </cell>
          <cell r="C176" t="str">
            <v>DOW</v>
          </cell>
        </row>
        <row r="177">
          <cell r="A177" t="str">
            <v>STOCK</v>
          </cell>
          <cell r="B177" t="str">
            <v>DOX</v>
          </cell>
          <cell r="C177" t="str">
            <v>DOX</v>
          </cell>
        </row>
        <row r="178">
          <cell r="A178" t="str">
            <v>STOCK</v>
          </cell>
          <cell r="B178" t="str">
            <v>DRI</v>
          </cell>
          <cell r="C178" t="str">
            <v>DRI</v>
          </cell>
        </row>
        <row r="179">
          <cell r="A179" t="str">
            <v>STOCK</v>
          </cell>
          <cell r="B179" t="str">
            <v>DVD</v>
          </cell>
          <cell r="C179" t="str">
            <v>DVD</v>
          </cell>
        </row>
        <row r="180">
          <cell r="A180" t="str">
            <v>STOCK</v>
          </cell>
          <cell r="B180" t="str">
            <v>DVN</v>
          </cell>
          <cell r="C180" t="str">
            <v>DVN</v>
          </cell>
        </row>
        <row r="181">
          <cell r="A181" t="str">
            <v>STOCK</v>
          </cell>
          <cell r="B181" t="str">
            <v>EBKR</v>
          </cell>
          <cell r="C181" t="str">
            <v>EBKR</v>
          </cell>
        </row>
        <row r="182">
          <cell r="A182" t="str">
            <v>STOCK</v>
          </cell>
          <cell r="B182" t="str">
            <v>EC</v>
          </cell>
          <cell r="C182" t="str">
            <v>EC</v>
          </cell>
        </row>
        <row r="183">
          <cell r="A183" t="str">
            <v>STOCK</v>
          </cell>
          <cell r="B183" t="str">
            <v>ECLP</v>
          </cell>
          <cell r="C183" t="str">
            <v>ECLP</v>
          </cell>
        </row>
        <row r="184">
          <cell r="A184" t="str">
            <v>STOCK</v>
          </cell>
          <cell r="B184" t="str">
            <v>EDGR</v>
          </cell>
          <cell r="C184" t="str">
            <v>EDGR</v>
          </cell>
        </row>
        <row r="185">
          <cell r="A185" t="str">
            <v>STOCK</v>
          </cell>
          <cell r="B185" t="str">
            <v>EELN</v>
          </cell>
          <cell r="C185" t="str">
            <v>EELN</v>
          </cell>
        </row>
        <row r="186">
          <cell r="A186" t="str">
            <v>STOCK</v>
          </cell>
          <cell r="B186" t="str">
            <v>EGHT</v>
          </cell>
          <cell r="C186" t="str">
            <v>EGHT</v>
          </cell>
        </row>
        <row r="187">
          <cell r="A187" t="str">
            <v>STOCK</v>
          </cell>
          <cell r="B187" t="str">
            <v>EIDSY</v>
          </cell>
          <cell r="C187" t="str">
            <v>EIDSY</v>
          </cell>
        </row>
        <row r="188">
          <cell r="A188" t="str">
            <v>STOCK</v>
          </cell>
          <cell r="B188" t="str">
            <v>EIX</v>
          </cell>
          <cell r="C188" t="str">
            <v>EIX</v>
          </cell>
        </row>
        <row r="189">
          <cell r="A189" t="str">
            <v>STOCK</v>
          </cell>
          <cell r="B189" t="str">
            <v>ELNK</v>
          </cell>
          <cell r="C189" t="str">
            <v>ELNK</v>
          </cell>
        </row>
        <row r="190">
          <cell r="A190" t="str">
            <v>STOCK</v>
          </cell>
          <cell r="B190" t="str">
            <v>EMAK</v>
          </cell>
          <cell r="C190" t="str">
            <v>EMAK</v>
          </cell>
        </row>
        <row r="191">
          <cell r="A191" t="str">
            <v>STOCK</v>
          </cell>
          <cell r="B191" t="str">
            <v>EMN</v>
          </cell>
          <cell r="C191" t="str">
            <v>EMN</v>
          </cell>
        </row>
        <row r="192">
          <cell r="A192" t="str">
            <v>STOCK</v>
          </cell>
          <cell r="B192" t="str">
            <v>ERES</v>
          </cell>
          <cell r="C192" t="str">
            <v>ERES</v>
          </cell>
        </row>
        <row r="193">
          <cell r="A193" t="str">
            <v>STOCK</v>
          </cell>
          <cell r="B193" t="str">
            <v>ERTS</v>
          </cell>
          <cell r="C193" t="str">
            <v>ERTS</v>
          </cell>
        </row>
        <row r="194">
          <cell r="A194" t="str">
            <v>STOCK</v>
          </cell>
          <cell r="B194" t="str">
            <v>ESOLQ</v>
          </cell>
          <cell r="C194" t="str">
            <v>ESOLQ</v>
          </cell>
        </row>
        <row r="195">
          <cell r="A195" t="str">
            <v>STOCK</v>
          </cell>
          <cell r="B195" t="str">
            <v>ESPD</v>
          </cell>
          <cell r="C195" t="str">
            <v>ESPD</v>
          </cell>
        </row>
        <row r="196">
          <cell r="A196" t="str">
            <v>STOCK</v>
          </cell>
          <cell r="B196" t="str">
            <v>ET</v>
          </cell>
          <cell r="C196" t="str">
            <v>ET</v>
          </cell>
        </row>
        <row r="197">
          <cell r="A197" t="str">
            <v>STOCK</v>
          </cell>
          <cell r="B197" t="str">
            <v>ET</v>
          </cell>
          <cell r="C197" t="str">
            <v>ETRADE</v>
          </cell>
        </row>
        <row r="198">
          <cell r="A198" t="str">
            <v>STOCK</v>
          </cell>
          <cell r="B198" t="str">
            <v>ETYSQ</v>
          </cell>
          <cell r="C198" t="str">
            <v>ETYSQ</v>
          </cell>
        </row>
        <row r="199">
          <cell r="A199" t="str">
            <v>STOCK</v>
          </cell>
          <cell r="B199" t="str">
            <v>EUR</v>
          </cell>
          <cell r="C199" t="str">
            <v>EUR</v>
          </cell>
        </row>
        <row r="200">
          <cell r="A200" t="str">
            <v>STOCK</v>
          </cell>
          <cell r="B200" t="str">
            <v>EVC</v>
          </cell>
          <cell r="C200" t="str">
            <v>EVC</v>
          </cell>
        </row>
        <row r="201">
          <cell r="A201" t="str">
            <v>STOCK</v>
          </cell>
          <cell r="B201" t="str">
            <v>EVRC</v>
          </cell>
          <cell r="C201" t="str">
            <v>EVRC</v>
          </cell>
        </row>
        <row r="202">
          <cell r="A202" t="str">
            <v>STOCK</v>
          </cell>
          <cell r="B202" t="str">
            <v>EXLT</v>
          </cell>
          <cell r="C202" t="str">
            <v>EXLT</v>
          </cell>
        </row>
        <row r="203">
          <cell r="A203" t="str">
            <v>STOCK</v>
          </cell>
          <cell r="B203" t="str">
            <v>FACT</v>
          </cell>
          <cell r="C203" t="str">
            <v>FACT</v>
          </cell>
        </row>
        <row r="204">
          <cell r="A204" t="str">
            <v>STOCK</v>
          </cell>
          <cell r="B204" t="str">
            <v>FBC</v>
          </cell>
          <cell r="C204" t="str">
            <v>FBC</v>
          </cell>
        </row>
        <row r="205">
          <cell r="A205" t="str">
            <v>STOCK</v>
          </cell>
          <cell r="B205" t="str">
            <v>FBR</v>
          </cell>
          <cell r="C205" t="str">
            <v>FBR</v>
          </cell>
        </row>
        <row r="206">
          <cell r="A206" t="str">
            <v>STOCK</v>
          </cell>
          <cell r="B206" t="str">
            <v>FL</v>
          </cell>
          <cell r="C206" t="str">
            <v>FL</v>
          </cell>
        </row>
        <row r="207">
          <cell r="A207" t="str">
            <v>STOCK</v>
          </cell>
          <cell r="B207" t="str">
            <v>FL</v>
          </cell>
          <cell r="C207" t="str">
            <v>FL</v>
          </cell>
        </row>
        <row r="208">
          <cell r="A208" t="str">
            <v>STOCK</v>
          </cell>
          <cell r="B208" t="str">
            <v>FLE</v>
          </cell>
          <cell r="C208" t="str">
            <v>FLE</v>
          </cell>
        </row>
        <row r="209">
          <cell r="A209" t="str">
            <v>STOCK</v>
          </cell>
          <cell r="B209" t="str">
            <v>FLYR</v>
          </cell>
          <cell r="C209" t="str">
            <v>FLYR</v>
          </cell>
        </row>
        <row r="210">
          <cell r="A210" t="str">
            <v>STOCK</v>
          </cell>
          <cell r="B210" t="str">
            <v>FMC</v>
          </cell>
          <cell r="C210" t="str">
            <v>FMC</v>
          </cell>
        </row>
        <row r="211">
          <cell r="A211" t="str">
            <v>STOCK</v>
          </cell>
          <cell r="B211" t="str">
            <v>FNF</v>
          </cell>
          <cell r="C211" t="str">
            <v>FNF</v>
          </cell>
        </row>
        <row r="212">
          <cell r="A212" t="str">
            <v>STOCK</v>
          </cell>
          <cell r="B212" t="str">
            <v>FORG</v>
          </cell>
          <cell r="C212" t="str">
            <v>FORG</v>
          </cell>
        </row>
        <row r="213">
          <cell r="A213" t="str">
            <v>STOCK</v>
          </cell>
          <cell r="B213" t="str">
            <v>FRNT</v>
          </cell>
          <cell r="C213" t="str">
            <v>FRNT</v>
          </cell>
        </row>
        <row r="214">
          <cell r="A214" t="str">
            <v>STOCK</v>
          </cell>
          <cell r="B214" t="str">
            <v>GBTVK</v>
          </cell>
          <cell r="C214" t="str">
            <v>GBTVK</v>
          </cell>
        </row>
        <row r="215">
          <cell r="A215" t="str">
            <v>STOCK</v>
          </cell>
          <cell r="B215" t="str">
            <v>GDYS</v>
          </cell>
          <cell r="C215" t="str">
            <v>GDYS</v>
          </cell>
        </row>
        <row r="216">
          <cell r="A216" t="str">
            <v>STOCK</v>
          </cell>
          <cell r="B216" t="str">
            <v>GEMS</v>
          </cell>
          <cell r="C216" t="str">
            <v>GEMS</v>
          </cell>
        </row>
        <row r="217">
          <cell r="A217" t="str">
            <v>STOCK</v>
          </cell>
          <cell r="B217" t="str">
            <v>GES</v>
          </cell>
          <cell r="C217" t="str">
            <v>GES</v>
          </cell>
        </row>
        <row r="218">
          <cell r="A218" t="str">
            <v>STOCK</v>
          </cell>
          <cell r="B218" t="str">
            <v>GET</v>
          </cell>
          <cell r="C218" t="str">
            <v>GET</v>
          </cell>
        </row>
        <row r="219">
          <cell r="A219" t="str">
            <v>STOCK</v>
          </cell>
          <cell r="B219" t="str">
            <v>GFR</v>
          </cell>
          <cell r="C219" t="str">
            <v>GFR</v>
          </cell>
        </row>
        <row r="220">
          <cell r="A220" t="str">
            <v>STOCK</v>
          </cell>
          <cell r="B220" t="str">
            <v>GGC</v>
          </cell>
          <cell r="C220" t="str">
            <v>GGC</v>
          </cell>
        </row>
        <row r="221">
          <cell r="A221" t="str">
            <v>STOCK</v>
          </cell>
          <cell r="B221" t="str">
            <v>GIGA</v>
          </cell>
          <cell r="C221" t="str">
            <v>GIGA</v>
          </cell>
        </row>
        <row r="222">
          <cell r="A222" t="str">
            <v>STOCK</v>
          </cell>
          <cell r="B222" t="str">
            <v>GKSRA</v>
          </cell>
          <cell r="C222" t="str">
            <v>GKSRA</v>
          </cell>
        </row>
        <row r="223">
          <cell r="A223" t="str">
            <v>STOCK</v>
          </cell>
          <cell r="B223" t="str">
            <v>GLK</v>
          </cell>
          <cell r="C223" t="str">
            <v>GLK</v>
          </cell>
        </row>
        <row r="224">
          <cell r="A224" t="str">
            <v>STOCK</v>
          </cell>
          <cell r="B224" t="str">
            <v>GME</v>
          </cell>
          <cell r="C224" t="str">
            <v>GME</v>
          </cell>
        </row>
        <row r="225">
          <cell r="A225" t="str">
            <v>STOCK</v>
          </cell>
          <cell r="B225" t="str">
            <v>GPS</v>
          </cell>
          <cell r="C225" t="str">
            <v>GPS</v>
          </cell>
        </row>
        <row r="226">
          <cell r="A226" t="str">
            <v>STOCK</v>
          </cell>
          <cell r="B226" t="str">
            <v>GSTRF</v>
          </cell>
          <cell r="C226" t="str">
            <v>GSTRF</v>
          </cell>
        </row>
        <row r="227">
          <cell r="A227" t="str">
            <v>STOCK</v>
          </cell>
          <cell r="B227" t="str">
            <v>GTK</v>
          </cell>
          <cell r="C227" t="str">
            <v>GTK</v>
          </cell>
        </row>
        <row r="228">
          <cell r="A228" t="str">
            <v>STOCK</v>
          </cell>
          <cell r="B228" t="str">
            <v>GTNOQ</v>
          </cell>
          <cell r="C228" t="str">
            <v>GTNOQ</v>
          </cell>
        </row>
        <row r="229">
          <cell r="A229" t="str">
            <v>STOCK</v>
          </cell>
          <cell r="B229" t="str">
            <v>GTW</v>
          </cell>
          <cell r="C229" t="str">
            <v>GTW</v>
          </cell>
        </row>
        <row r="230">
          <cell r="A230" t="str">
            <v>STOCK</v>
          </cell>
          <cell r="B230" t="str">
            <v>GYMB</v>
          </cell>
          <cell r="C230" t="str">
            <v>GYMB</v>
          </cell>
        </row>
        <row r="231">
          <cell r="A231" t="str">
            <v>STOCK</v>
          </cell>
          <cell r="B231" t="str">
            <v>HA</v>
          </cell>
          <cell r="C231" t="str">
            <v>HA</v>
          </cell>
        </row>
        <row r="232">
          <cell r="A232" t="str">
            <v>STOCK</v>
          </cell>
          <cell r="B232" t="str">
            <v>HAL</v>
          </cell>
          <cell r="C232" t="str">
            <v>HAL</v>
          </cell>
        </row>
        <row r="233">
          <cell r="A233" t="str">
            <v>STOCK</v>
          </cell>
          <cell r="B233" t="str">
            <v>HDI</v>
          </cell>
          <cell r="C233" t="str">
            <v>HDI</v>
          </cell>
        </row>
        <row r="234">
          <cell r="A234" t="str">
            <v>STOCK</v>
          </cell>
          <cell r="B234" t="str">
            <v>HET</v>
          </cell>
          <cell r="C234" t="str">
            <v>HET</v>
          </cell>
        </row>
        <row r="235">
          <cell r="A235" t="str">
            <v>STOCK</v>
          </cell>
          <cell r="B235" t="str">
            <v>HHGP</v>
          </cell>
          <cell r="C235" t="str">
            <v>HHGP</v>
          </cell>
        </row>
        <row r="236">
          <cell r="A236" t="str">
            <v>STOCK</v>
          </cell>
          <cell r="B236" t="str">
            <v>HILL</v>
          </cell>
          <cell r="C236" t="str">
            <v>HILL</v>
          </cell>
        </row>
        <row r="237">
          <cell r="A237" t="str">
            <v>STOCK</v>
          </cell>
          <cell r="B237" t="str">
            <v>HLT</v>
          </cell>
          <cell r="C237" t="str">
            <v>HLT</v>
          </cell>
        </row>
        <row r="238">
          <cell r="A238" t="str">
            <v>STOCK</v>
          </cell>
          <cell r="B238" t="str">
            <v>HLTH</v>
          </cell>
          <cell r="C238" t="str">
            <v>HLTH</v>
          </cell>
        </row>
        <row r="239">
          <cell r="A239" t="str">
            <v>STOCK</v>
          </cell>
          <cell r="B239" t="str">
            <v>HLYW</v>
          </cell>
          <cell r="C239" t="str">
            <v>HLYW</v>
          </cell>
        </row>
        <row r="240">
          <cell r="A240" t="str">
            <v>STOCK</v>
          </cell>
          <cell r="B240" t="str">
            <v>HMT</v>
          </cell>
          <cell r="C240" t="str">
            <v>HMT</v>
          </cell>
        </row>
        <row r="241">
          <cell r="A241" t="str">
            <v>STOCK</v>
          </cell>
          <cell r="B241" t="str">
            <v>HOFF</v>
          </cell>
          <cell r="C241" t="str">
            <v>HOFF</v>
          </cell>
        </row>
        <row r="242">
          <cell r="A242" t="str">
            <v>STOCK</v>
          </cell>
          <cell r="B242" t="str">
            <v>HOTT</v>
          </cell>
          <cell r="C242" t="str">
            <v>HOTT</v>
          </cell>
        </row>
        <row r="243">
          <cell r="A243" t="str">
            <v>STOCK</v>
          </cell>
          <cell r="B243" t="str">
            <v>HPOL</v>
          </cell>
          <cell r="C243" t="str">
            <v>HPOL</v>
          </cell>
        </row>
        <row r="244">
          <cell r="A244" t="str">
            <v>STOCK</v>
          </cell>
          <cell r="B244" t="str">
            <v>HTV</v>
          </cell>
          <cell r="C244" t="str">
            <v>HTV</v>
          </cell>
        </row>
        <row r="245">
          <cell r="A245" t="str">
            <v>STOCK</v>
          </cell>
          <cell r="B245" t="str">
            <v>HUBG</v>
          </cell>
          <cell r="C245" t="str">
            <v>HUBG</v>
          </cell>
        </row>
        <row r="246">
          <cell r="A246" t="str">
            <v>STOCK</v>
          </cell>
          <cell r="B246" t="str">
            <v>HUF</v>
          </cell>
          <cell r="C246" t="str">
            <v>HUF</v>
          </cell>
        </row>
        <row r="247">
          <cell r="A247" t="str">
            <v>STOCK</v>
          </cell>
          <cell r="B247" t="str">
            <v>HXL</v>
          </cell>
          <cell r="C247" t="str">
            <v>HXL</v>
          </cell>
        </row>
        <row r="248">
          <cell r="A248" t="str">
            <v>STOCK</v>
          </cell>
          <cell r="B248" t="str">
            <v>HZO</v>
          </cell>
          <cell r="C248" t="str">
            <v>HZO</v>
          </cell>
        </row>
        <row r="249">
          <cell r="A249" t="str">
            <v>STOCK</v>
          </cell>
          <cell r="B249" t="str">
            <v>ICCI</v>
          </cell>
          <cell r="C249" t="str">
            <v>ICCI</v>
          </cell>
        </row>
        <row r="250">
          <cell r="A250" t="str">
            <v>STOCK</v>
          </cell>
          <cell r="B250" t="str">
            <v>ICGE</v>
          </cell>
          <cell r="C250" t="str">
            <v>ICGE</v>
          </cell>
        </row>
        <row r="251">
          <cell r="A251" t="str">
            <v>STOCK</v>
          </cell>
          <cell r="B251" t="str">
            <v>ICI</v>
          </cell>
          <cell r="C251" t="str">
            <v>ICI</v>
          </cell>
        </row>
        <row r="252">
          <cell r="A252" t="str">
            <v>STOCK</v>
          </cell>
          <cell r="B252" t="str">
            <v>ICOS</v>
          </cell>
          <cell r="C252" t="str">
            <v>ICOS</v>
          </cell>
        </row>
        <row r="253">
          <cell r="A253" t="str">
            <v>STOCK</v>
          </cell>
          <cell r="B253" t="str">
            <v>IFF</v>
          </cell>
          <cell r="C253" t="str">
            <v>IFF</v>
          </cell>
        </row>
        <row r="254">
          <cell r="A254" t="str">
            <v>STOCK</v>
          </cell>
          <cell r="B254" t="str">
            <v>IGL</v>
          </cell>
          <cell r="C254" t="str">
            <v>IGL</v>
          </cell>
        </row>
        <row r="255">
          <cell r="A255" t="str">
            <v>STOCK</v>
          </cell>
          <cell r="B255" t="str">
            <v>IGT</v>
          </cell>
          <cell r="C255" t="str">
            <v>IGT</v>
          </cell>
        </row>
        <row r="256">
          <cell r="A256" t="str">
            <v>STOCK</v>
          </cell>
          <cell r="B256" t="str">
            <v>IMAX</v>
          </cell>
          <cell r="C256" t="str">
            <v>IMAX</v>
          </cell>
        </row>
        <row r="257">
          <cell r="A257" t="str">
            <v>STOCK</v>
          </cell>
          <cell r="B257" t="str">
            <v>INLD</v>
          </cell>
          <cell r="C257" t="str">
            <v>INLD</v>
          </cell>
        </row>
        <row r="258">
          <cell r="A258" t="str">
            <v>STOCK</v>
          </cell>
          <cell r="B258" t="str">
            <v>INNO</v>
          </cell>
          <cell r="C258" t="str">
            <v>INNO</v>
          </cell>
        </row>
        <row r="259">
          <cell r="A259" t="str">
            <v>STOCK</v>
          </cell>
          <cell r="B259" t="str">
            <v>ISCA</v>
          </cell>
          <cell r="C259" t="str">
            <v>ISCA</v>
          </cell>
        </row>
        <row r="260">
          <cell r="A260" t="str">
            <v>STOCK</v>
          </cell>
          <cell r="B260" t="str">
            <v>ISSI</v>
          </cell>
          <cell r="C260" t="str">
            <v>ISSI</v>
          </cell>
        </row>
        <row r="261">
          <cell r="A261" t="str">
            <v>STOCK</v>
          </cell>
          <cell r="B261" t="str">
            <v>ITMN</v>
          </cell>
          <cell r="C261" t="str">
            <v>ITMN</v>
          </cell>
        </row>
        <row r="262">
          <cell r="A262" t="str">
            <v>STOCK</v>
          </cell>
          <cell r="B262" t="str">
            <v>ITRA</v>
          </cell>
          <cell r="C262" t="str">
            <v>ITRA</v>
          </cell>
        </row>
        <row r="263">
          <cell r="A263" t="str">
            <v>STOCK</v>
          </cell>
          <cell r="B263" t="str">
            <v>IVGN</v>
          </cell>
          <cell r="C263" t="str">
            <v>IVGN</v>
          </cell>
        </row>
        <row r="264">
          <cell r="A264" t="str">
            <v>STOCK</v>
          </cell>
          <cell r="B264" t="str">
            <v>IWAV</v>
          </cell>
          <cell r="C264" t="str">
            <v>IWAV</v>
          </cell>
        </row>
        <row r="265">
          <cell r="A265" t="str">
            <v>STOCK</v>
          </cell>
          <cell r="B265" t="str">
            <v>JAKK</v>
          </cell>
          <cell r="C265" t="str">
            <v>JAKK</v>
          </cell>
        </row>
        <row r="266">
          <cell r="A266" t="str">
            <v>STOCK</v>
          </cell>
          <cell r="B266" t="str">
            <v>JBLU</v>
          </cell>
          <cell r="C266" t="str">
            <v>JBLU</v>
          </cell>
        </row>
        <row r="267">
          <cell r="A267" t="str">
            <v>STOCK</v>
          </cell>
          <cell r="B267" t="str">
            <v>JBOH</v>
          </cell>
          <cell r="C267" t="str">
            <v>JBOH</v>
          </cell>
        </row>
        <row r="268">
          <cell r="A268" t="str">
            <v>STOCK</v>
          </cell>
          <cell r="B268" t="str">
            <v>JILL</v>
          </cell>
          <cell r="C268" t="str">
            <v>JILL</v>
          </cell>
        </row>
        <row r="269">
          <cell r="A269" t="str">
            <v>STOCK</v>
          </cell>
          <cell r="B269" t="str">
            <v>JPM</v>
          </cell>
          <cell r="C269" t="str">
            <v>JPM</v>
          </cell>
        </row>
        <row r="270">
          <cell r="A270" t="str">
            <v>STOCK</v>
          </cell>
          <cell r="B270" t="str">
            <v>JPY</v>
          </cell>
          <cell r="C270" t="str">
            <v>JPY</v>
          </cell>
        </row>
        <row r="271">
          <cell r="A271" t="str">
            <v>STOCK</v>
          </cell>
          <cell r="B271" t="str">
            <v>JTSC</v>
          </cell>
          <cell r="C271" t="str">
            <v>JTSC</v>
          </cell>
        </row>
        <row r="272">
          <cell r="A272" t="str">
            <v>STOCK</v>
          </cell>
          <cell r="B272" t="str">
            <v>KANA</v>
          </cell>
          <cell r="C272" t="str">
            <v>KANA</v>
          </cell>
        </row>
        <row r="273">
          <cell r="A273" t="str">
            <v>STOCK</v>
          </cell>
          <cell r="B273" t="str">
            <v>KCP</v>
          </cell>
          <cell r="C273" t="str">
            <v>KCP</v>
          </cell>
        </row>
        <row r="274">
          <cell r="A274" t="str">
            <v>STOCK</v>
          </cell>
          <cell r="B274" t="str">
            <v>KDE</v>
          </cell>
          <cell r="C274" t="str">
            <v>KDE</v>
          </cell>
        </row>
        <row r="275">
          <cell r="A275" t="str">
            <v>STOCK</v>
          </cell>
          <cell r="B275" t="str">
            <v>KERA</v>
          </cell>
          <cell r="C275" t="str">
            <v>KERA</v>
          </cell>
        </row>
        <row r="276">
          <cell r="A276" t="str">
            <v>STOCK</v>
          </cell>
          <cell r="B276" t="str">
            <v>KFRC</v>
          </cell>
          <cell r="C276" t="str">
            <v>KFRC</v>
          </cell>
        </row>
        <row r="277">
          <cell r="A277" t="str">
            <v>STOCK</v>
          </cell>
          <cell r="B277" t="str">
            <v>KG</v>
          </cell>
          <cell r="C277" t="str">
            <v>KG</v>
          </cell>
        </row>
        <row r="278">
          <cell r="A278" t="str">
            <v>STOCK</v>
          </cell>
          <cell r="B278" t="str">
            <v>KLAC</v>
          </cell>
          <cell r="C278" t="str">
            <v>KLAC</v>
          </cell>
        </row>
        <row r="279">
          <cell r="A279" t="str">
            <v>STOCK</v>
          </cell>
          <cell r="B279" t="str">
            <v>KMX</v>
          </cell>
          <cell r="C279" t="str">
            <v>KMX</v>
          </cell>
        </row>
        <row r="280">
          <cell r="A280" t="str">
            <v>STOCK</v>
          </cell>
          <cell r="B280" t="str">
            <v>KNBT</v>
          </cell>
          <cell r="C280" t="str">
            <v>KNBT</v>
          </cell>
        </row>
        <row r="281">
          <cell r="A281" t="str">
            <v>STOCK</v>
          </cell>
          <cell r="B281" t="str">
            <v>KNSY</v>
          </cell>
          <cell r="C281" t="str">
            <v>KNSY</v>
          </cell>
        </row>
        <row r="282">
          <cell r="A282" t="str">
            <v>STOCK</v>
          </cell>
          <cell r="B282" t="str">
            <v>L</v>
          </cell>
          <cell r="C282" t="str">
            <v>L</v>
          </cell>
        </row>
        <row r="283">
          <cell r="A283" t="str">
            <v>STOCK</v>
          </cell>
          <cell r="B283" t="str">
            <v>LACO</v>
          </cell>
          <cell r="C283" t="str">
            <v>LACO</v>
          </cell>
        </row>
        <row r="284">
          <cell r="A284" t="str">
            <v>STOCK</v>
          </cell>
          <cell r="B284" t="str">
            <v>LAD</v>
          </cell>
          <cell r="C284" t="str">
            <v>LAD</v>
          </cell>
        </row>
        <row r="285">
          <cell r="A285" t="str">
            <v>STOCK</v>
          </cell>
          <cell r="B285" t="str">
            <v>LBRTQ</v>
          </cell>
          <cell r="C285" t="str">
            <v>LBRTQ</v>
          </cell>
        </row>
        <row r="286">
          <cell r="A286" t="str">
            <v>STOCK</v>
          </cell>
          <cell r="B286" t="str">
            <v>LEN</v>
          </cell>
          <cell r="C286" t="str">
            <v>LEN</v>
          </cell>
        </row>
        <row r="287">
          <cell r="A287" t="str">
            <v>STOCK</v>
          </cell>
          <cell r="B287" t="str">
            <v>LF</v>
          </cell>
          <cell r="C287" t="str">
            <v>LF</v>
          </cell>
        </row>
        <row r="288">
          <cell r="A288" t="str">
            <v>STOCK</v>
          </cell>
          <cell r="B288" t="str">
            <v>LHSPQ</v>
          </cell>
          <cell r="C288" t="str">
            <v>LHSPQ</v>
          </cell>
        </row>
        <row r="289">
          <cell r="A289" t="str">
            <v>STOCK</v>
          </cell>
          <cell r="B289" t="str">
            <v>LIBMB03M</v>
          </cell>
          <cell r="C289" t="str">
            <v>LIBMB03M</v>
          </cell>
        </row>
        <row r="290">
          <cell r="A290" t="str">
            <v>STOCK</v>
          </cell>
          <cell r="B290" t="str">
            <v>LIN</v>
          </cell>
          <cell r="C290" t="str">
            <v>LIN</v>
          </cell>
        </row>
        <row r="291">
          <cell r="A291" t="str">
            <v>STOCK</v>
          </cell>
          <cell r="B291" t="str">
            <v>LNET</v>
          </cell>
          <cell r="C291" t="str">
            <v>LNET</v>
          </cell>
        </row>
        <row r="292">
          <cell r="A292" t="str">
            <v>STOCK</v>
          </cell>
          <cell r="B292" t="str">
            <v>LNY</v>
          </cell>
          <cell r="C292" t="str">
            <v>LNY</v>
          </cell>
        </row>
        <row r="293">
          <cell r="A293" t="str">
            <v>STOCK</v>
          </cell>
          <cell r="B293" t="str">
            <v>LTM</v>
          </cell>
          <cell r="C293" t="str">
            <v>LTM</v>
          </cell>
        </row>
        <row r="294">
          <cell r="A294" t="str">
            <v>STOCK</v>
          </cell>
          <cell r="B294" t="str">
            <v>LTRX</v>
          </cell>
          <cell r="C294" t="str">
            <v>LTRX</v>
          </cell>
        </row>
        <row r="295">
          <cell r="A295" t="str">
            <v>STOCK</v>
          </cell>
          <cell r="B295" t="str">
            <v>LTWC</v>
          </cell>
          <cell r="C295" t="str">
            <v>LTWC</v>
          </cell>
        </row>
        <row r="296">
          <cell r="A296" t="str">
            <v>STOCK</v>
          </cell>
          <cell r="B296" t="str">
            <v>LUV</v>
          </cell>
          <cell r="C296" t="str">
            <v>LUV</v>
          </cell>
        </row>
        <row r="297">
          <cell r="A297" t="str">
            <v>STOCK</v>
          </cell>
          <cell r="B297" t="str">
            <v>LVLT</v>
          </cell>
          <cell r="C297" t="str">
            <v>LVLT</v>
          </cell>
        </row>
        <row r="298">
          <cell r="A298" t="str">
            <v>STOCK</v>
          </cell>
          <cell r="B298" t="str">
            <v>LWSN</v>
          </cell>
          <cell r="C298" t="str">
            <v>LWSN</v>
          </cell>
        </row>
        <row r="299">
          <cell r="A299" t="str">
            <v>STOCK</v>
          </cell>
          <cell r="B299" t="str">
            <v>LYO</v>
          </cell>
          <cell r="C299" t="str">
            <v>LYO</v>
          </cell>
        </row>
        <row r="300">
          <cell r="A300" t="str">
            <v>STOCK</v>
          </cell>
          <cell r="B300" t="str">
            <v>MAG</v>
          </cell>
          <cell r="C300" t="str">
            <v>MAG</v>
          </cell>
        </row>
        <row r="301">
          <cell r="A301" t="str">
            <v>STOCK</v>
          </cell>
          <cell r="B301" t="str">
            <v>MAIR</v>
          </cell>
          <cell r="C301" t="str">
            <v>MAIR</v>
          </cell>
        </row>
        <row r="302">
          <cell r="A302" t="str">
            <v>STOCK</v>
          </cell>
          <cell r="B302" t="str">
            <v>MCCC</v>
          </cell>
          <cell r="C302" t="str">
            <v>MCCC</v>
          </cell>
        </row>
        <row r="303">
          <cell r="A303" t="str">
            <v>STOCK</v>
          </cell>
          <cell r="B303" t="str">
            <v>MCDT</v>
          </cell>
          <cell r="C303" t="str">
            <v>MCDT</v>
          </cell>
        </row>
        <row r="304">
          <cell r="A304" t="str">
            <v>STOCK</v>
          </cell>
          <cell r="B304" t="str">
            <v>MCH</v>
          </cell>
          <cell r="C304" t="str">
            <v>MCH</v>
          </cell>
        </row>
        <row r="305">
          <cell r="A305" t="str">
            <v>STOCK</v>
          </cell>
          <cell r="B305" t="str">
            <v>MCHM</v>
          </cell>
          <cell r="C305" t="str">
            <v>MCHM</v>
          </cell>
        </row>
        <row r="306">
          <cell r="A306" t="str">
            <v>STOCK</v>
          </cell>
          <cell r="B306" t="str">
            <v>MCHM</v>
          </cell>
          <cell r="C306" t="str">
            <v>MCHM.PP</v>
          </cell>
        </row>
        <row r="307">
          <cell r="A307" t="str">
            <v>STOCK</v>
          </cell>
          <cell r="B307" t="str">
            <v>MCLDO</v>
          </cell>
          <cell r="C307" t="str">
            <v>MCLDO</v>
          </cell>
        </row>
        <row r="308">
          <cell r="A308" t="str">
            <v>STOCK</v>
          </cell>
          <cell r="B308" t="str">
            <v>MCLDW</v>
          </cell>
          <cell r="C308" t="str">
            <v>MCLDW</v>
          </cell>
        </row>
        <row r="309">
          <cell r="A309" t="str">
            <v>STOCK</v>
          </cell>
          <cell r="B309" t="str">
            <v>MDLK</v>
          </cell>
          <cell r="C309" t="str">
            <v>MDLK</v>
          </cell>
        </row>
        <row r="310">
          <cell r="A310" t="str">
            <v>STOCK</v>
          </cell>
          <cell r="B310" t="str">
            <v>MECA</v>
          </cell>
          <cell r="C310" t="str">
            <v>MECA</v>
          </cell>
        </row>
        <row r="311">
          <cell r="A311" t="str">
            <v>STOCK</v>
          </cell>
          <cell r="B311" t="str">
            <v>MEDI</v>
          </cell>
          <cell r="C311" t="str">
            <v>MEDI</v>
          </cell>
        </row>
        <row r="312">
          <cell r="A312" t="str">
            <v>STOCK</v>
          </cell>
          <cell r="B312" t="str">
            <v>MEH</v>
          </cell>
          <cell r="C312" t="str">
            <v>MEH</v>
          </cell>
        </row>
        <row r="313">
          <cell r="A313" t="str">
            <v>STOCK</v>
          </cell>
          <cell r="B313" t="str">
            <v>MENT</v>
          </cell>
          <cell r="C313" t="str">
            <v>MENT</v>
          </cell>
        </row>
        <row r="314">
          <cell r="A314" t="str">
            <v>STOCK</v>
          </cell>
          <cell r="B314" t="str">
            <v>MER</v>
          </cell>
          <cell r="C314" t="str">
            <v>MER</v>
          </cell>
        </row>
        <row r="315">
          <cell r="A315" t="str">
            <v>STOCK</v>
          </cell>
          <cell r="B315" t="str">
            <v>MESA</v>
          </cell>
          <cell r="C315" t="str">
            <v>MESA</v>
          </cell>
        </row>
        <row r="316">
          <cell r="A316" t="str">
            <v>STOCK</v>
          </cell>
          <cell r="B316" t="str">
            <v>MGAM</v>
          </cell>
          <cell r="C316" t="str">
            <v>MGAM</v>
          </cell>
        </row>
        <row r="317">
          <cell r="A317" t="str">
            <v>STOCK</v>
          </cell>
          <cell r="B317" t="str">
            <v>MGG</v>
          </cell>
          <cell r="C317" t="str">
            <v>MGG</v>
          </cell>
        </row>
        <row r="318">
          <cell r="A318" t="str">
            <v>STOCK</v>
          </cell>
          <cell r="B318" t="str">
            <v>MGM</v>
          </cell>
          <cell r="C318" t="str">
            <v>MGM</v>
          </cell>
        </row>
        <row r="319">
          <cell r="A319" t="str">
            <v>STOCK</v>
          </cell>
          <cell r="B319" t="str">
            <v>MGRP</v>
          </cell>
          <cell r="C319" t="str">
            <v>MGRP</v>
          </cell>
        </row>
        <row r="320">
          <cell r="A320" t="str">
            <v>STOCK</v>
          </cell>
          <cell r="B320" t="str">
            <v>MIK</v>
          </cell>
          <cell r="C320" t="str">
            <v>MIK</v>
          </cell>
        </row>
        <row r="321">
          <cell r="A321" t="str">
            <v>STOCK</v>
          </cell>
          <cell r="B321" t="str">
            <v>MIPS</v>
          </cell>
          <cell r="C321" t="str">
            <v>MIPS</v>
          </cell>
        </row>
        <row r="322">
          <cell r="A322" t="str">
            <v>STOCK</v>
          </cell>
          <cell r="B322" t="str">
            <v>MMM</v>
          </cell>
          <cell r="C322" t="str">
            <v>MMM</v>
          </cell>
        </row>
        <row r="323">
          <cell r="A323" t="str">
            <v>STOCK</v>
          </cell>
          <cell r="B323" t="str">
            <v>MNST</v>
          </cell>
          <cell r="C323" t="str">
            <v>MNST</v>
          </cell>
        </row>
        <row r="324">
          <cell r="A324" t="str">
            <v>STOCK</v>
          </cell>
          <cell r="B324" t="str">
            <v>MNTG</v>
          </cell>
          <cell r="C324" t="str">
            <v>MNTG</v>
          </cell>
        </row>
        <row r="325">
          <cell r="A325" t="str">
            <v>STOCK</v>
          </cell>
          <cell r="B325" t="str">
            <v>MOND</v>
          </cell>
          <cell r="C325" t="str">
            <v>MOND</v>
          </cell>
        </row>
        <row r="326">
          <cell r="A326" t="str">
            <v>STOCK</v>
          </cell>
          <cell r="B326" t="str">
            <v>MOSY</v>
          </cell>
          <cell r="C326" t="str">
            <v>MOSY</v>
          </cell>
        </row>
        <row r="327">
          <cell r="A327" t="str">
            <v>STOCK</v>
          </cell>
          <cell r="B327" t="str">
            <v>MRBK</v>
          </cell>
          <cell r="C327" t="str">
            <v>MRBK</v>
          </cell>
        </row>
        <row r="328">
          <cell r="A328" t="str">
            <v>STOCK</v>
          </cell>
          <cell r="B328" t="str">
            <v>MRVC</v>
          </cell>
          <cell r="C328" t="str">
            <v>MRVC</v>
          </cell>
        </row>
        <row r="329">
          <cell r="A329" t="str">
            <v>STOCK</v>
          </cell>
          <cell r="B329" t="str">
            <v>MTXX</v>
          </cell>
          <cell r="C329" t="str">
            <v>MTXX</v>
          </cell>
        </row>
        <row r="330">
          <cell r="A330" t="str">
            <v>STOCK</v>
          </cell>
          <cell r="B330" t="str">
            <v>MU</v>
          </cell>
          <cell r="C330" t="str">
            <v>MU</v>
          </cell>
        </row>
        <row r="331">
          <cell r="A331" t="str">
            <v>STOCK</v>
          </cell>
          <cell r="B331" t="str">
            <v>MVL</v>
          </cell>
          <cell r="C331" t="str">
            <v>MVL</v>
          </cell>
        </row>
        <row r="332">
          <cell r="A332" t="str">
            <v>STOCK</v>
          </cell>
          <cell r="B332" t="str">
            <v>MVSN</v>
          </cell>
          <cell r="C332" t="str">
            <v>MVSN</v>
          </cell>
        </row>
        <row r="333">
          <cell r="A333" t="str">
            <v>STOCK</v>
          </cell>
          <cell r="B333" t="str">
            <v>MWD</v>
          </cell>
          <cell r="C333" t="str">
            <v>MWD</v>
          </cell>
        </row>
        <row r="334">
          <cell r="A334" t="str">
            <v>STOCK</v>
          </cell>
          <cell r="B334" t="str">
            <v>MWY</v>
          </cell>
          <cell r="C334" t="str">
            <v>MWY</v>
          </cell>
        </row>
        <row r="335">
          <cell r="A335" t="str">
            <v>STOCK</v>
          </cell>
          <cell r="B335" t="str">
            <v>NABC</v>
          </cell>
          <cell r="C335" t="str">
            <v>NABC</v>
          </cell>
        </row>
        <row r="336">
          <cell r="A336" t="str">
            <v>STOCK</v>
          </cell>
          <cell r="B336" t="str">
            <v>NFLX</v>
          </cell>
          <cell r="C336" t="str">
            <v>NFLX</v>
          </cell>
        </row>
        <row r="337">
          <cell r="A337" t="str">
            <v>STOCK</v>
          </cell>
          <cell r="B337" t="str">
            <v>NITE</v>
          </cell>
          <cell r="C337" t="str">
            <v>NITE</v>
          </cell>
        </row>
        <row r="338">
          <cell r="A338" t="str">
            <v>STOCK</v>
          </cell>
          <cell r="B338" t="str">
            <v>NLS</v>
          </cell>
          <cell r="C338" t="str">
            <v>NLS</v>
          </cell>
        </row>
        <row r="339">
          <cell r="A339" t="str">
            <v>STOCK</v>
          </cell>
          <cell r="B339" t="str">
            <v>NSC</v>
          </cell>
          <cell r="C339" t="str">
            <v>NSC</v>
          </cell>
        </row>
        <row r="340">
          <cell r="A340" t="str">
            <v>STOCK</v>
          </cell>
          <cell r="B340" t="str">
            <v>NTBK</v>
          </cell>
          <cell r="C340" t="str">
            <v>NTBK</v>
          </cell>
        </row>
        <row r="341">
          <cell r="A341" t="str">
            <v>STOCK</v>
          </cell>
          <cell r="B341" t="str">
            <v>NTDOY</v>
          </cell>
          <cell r="C341" t="str">
            <v>NTDOY</v>
          </cell>
        </row>
        <row r="342">
          <cell r="A342" t="str">
            <v>STOCK</v>
          </cell>
          <cell r="B342" t="str">
            <v>NTRT</v>
          </cell>
          <cell r="C342" t="str">
            <v>NTRT</v>
          </cell>
        </row>
        <row r="343">
          <cell r="A343" t="str">
            <v>STOCK</v>
          </cell>
          <cell r="B343" t="str">
            <v>NWAC</v>
          </cell>
          <cell r="C343" t="str">
            <v>NWAC</v>
          </cell>
        </row>
        <row r="344">
          <cell r="A344" t="str">
            <v>STOCK</v>
          </cell>
          <cell r="B344" t="str">
            <v>NWL</v>
          </cell>
          <cell r="C344" t="str">
            <v>NWL</v>
          </cell>
        </row>
        <row r="345">
          <cell r="A345" t="str">
            <v>STOCK</v>
          </cell>
          <cell r="B345" t="str">
            <v>NWS</v>
          </cell>
          <cell r="C345" t="str">
            <v>NWS</v>
          </cell>
        </row>
        <row r="346">
          <cell r="A346" t="str">
            <v>STOCK</v>
          </cell>
          <cell r="B346" t="str">
            <v>NYNY</v>
          </cell>
          <cell r="C346" t="str">
            <v>NYNY</v>
          </cell>
        </row>
        <row r="347">
          <cell r="A347" t="str">
            <v>STOCK</v>
          </cell>
          <cell r="B347" t="str">
            <v>NYNY</v>
          </cell>
          <cell r="C347" t="str">
            <v>NYNY.RSTD</v>
          </cell>
        </row>
        <row r="348">
          <cell r="A348" t="str">
            <v>STOCK</v>
          </cell>
          <cell r="B348" t="str">
            <v>OAR</v>
          </cell>
          <cell r="C348" t="str">
            <v>OAR</v>
          </cell>
        </row>
        <row r="349">
          <cell r="A349" t="str">
            <v>STOCK</v>
          </cell>
          <cell r="B349" t="str">
            <v>OATS</v>
          </cell>
          <cell r="C349" t="str">
            <v>OATS</v>
          </cell>
        </row>
        <row r="350">
          <cell r="A350" t="str">
            <v>STOCK</v>
          </cell>
          <cell r="B350" t="str">
            <v>OCA</v>
          </cell>
          <cell r="C350" t="str">
            <v>OCA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376"/>
  <sheetViews>
    <sheetView tabSelected="1" topLeftCell="A69" zoomScaleNormal="100" workbookViewId="0">
      <selection activeCell="E91" sqref="E91"/>
    </sheetView>
  </sheetViews>
  <sheetFormatPr defaultRowHeight="12.75" x14ac:dyDescent="0.2"/>
  <cols>
    <col min="1" max="1" width="21.42578125" customWidth="1"/>
    <col min="2" max="2" width="30.140625" bestFit="1" customWidth="1"/>
    <col min="3" max="3" width="26.140625" style="16" bestFit="1" customWidth="1"/>
    <col min="4" max="4" width="30.7109375" bestFit="1" customWidth="1"/>
    <col min="5" max="5" width="15.5703125" customWidth="1"/>
    <col min="6" max="6" width="12" bestFit="1" customWidth="1"/>
    <col min="7" max="7" width="12.85546875" bestFit="1" customWidth="1"/>
    <col min="14" max="14" width="14" bestFit="1" customWidth="1"/>
  </cols>
  <sheetData>
    <row r="1" spans="1:12" x14ac:dyDescent="0.2">
      <c r="B1" t="s">
        <v>0</v>
      </c>
      <c r="C1" s="16" t="s">
        <v>1</v>
      </c>
      <c r="D1" t="s">
        <v>2</v>
      </c>
      <c r="E1" t="s">
        <v>3</v>
      </c>
      <c r="F1" t="s">
        <v>4</v>
      </c>
      <c r="G1" t="s">
        <v>5</v>
      </c>
      <c r="L1" s="26" t="s">
        <v>1021</v>
      </c>
    </row>
    <row r="2" spans="1:12" x14ac:dyDescent="0.2">
      <c r="A2" s="9" t="s">
        <v>16</v>
      </c>
      <c r="C2" s="16" t="s">
        <v>1026</v>
      </c>
      <c r="E2" s="1">
        <f>E810/E82/100</f>
        <v>0.80779818031025608</v>
      </c>
      <c r="L2" s="9">
        <f t="shared" ref="L2:L41" si="0">IF(A2="STOCK",E2,IF(A2="SOPTION",G2,IF(A2="LOPTION",F2,"")))</f>
        <v>0.80779818031025608</v>
      </c>
    </row>
    <row r="3" spans="1:12" x14ac:dyDescent="0.2">
      <c r="A3" s="9" t="s">
        <v>16</v>
      </c>
      <c r="C3" s="16" t="s">
        <v>6</v>
      </c>
      <c r="E3" s="1">
        <f>(E56/E84)</f>
        <v>7.1512854435584805E-2</v>
      </c>
      <c r="L3" s="9">
        <f t="shared" si="0"/>
        <v>7.1512854435584805E-2</v>
      </c>
    </row>
    <row r="4" spans="1:12" x14ac:dyDescent="0.2">
      <c r="A4" s="9" t="s">
        <v>16</v>
      </c>
      <c r="C4" s="16" t="s">
        <v>7</v>
      </c>
      <c r="E4" s="1">
        <f>E56/E84</f>
        <v>7.1512854435584805E-2</v>
      </c>
      <c r="L4" s="9">
        <f t="shared" si="0"/>
        <v>7.1512854435584805E-2</v>
      </c>
    </row>
    <row r="5" spans="1:12" x14ac:dyDescent="0.2">
      <c r="A5" s="9"/>
      <c r="C5" s="16" t="s">
        <v>8</v>
      </c>
      <c r="E5" s="1"/>
      <c r="L5" s="9" t="str">
        <f t="shared" si="0"/>
        <v/>
      </c>
    </row>
    <row r="6" spans="1:12" x14ac:dyDescent="0.2">
      <c r="A6" s="9" t="s">
        <v>16</v>
      </c>
      <c r="C6" s="16" t="s">
        <v>9</v>
      </c>
      <c r="E6" s="1" t="e">
        <f>E54/E84</f>
        <v>#VALUE!</v>
      </c>
      <c r="L6" s="9" t="e">
        <f t="shared" si="0"/>
        <v>#VALUE!</v>
      </c>
    </row>
    <row r="7" spans="1:12" s="9" customFormat="1" x14ac:dyDescent="0.2">
      <c r="A7" s="9" t="s">
        <v>16</v>
      </c>
      <c r="C7" s="16" t="s">
        <v>707</v>
      </c>
      <c r="E7" s="1" t="str">
        <f>E54</f>
        <v>#N/A N/A</v>
      </c>
      <c r="L7" s="9" t="str">
        <f t="shared" si="0"/>
        <v>#N/A N/A</v>
      </c>
    </row>
    <row r="8" spans="1:12" x14ac:dyDescent="0.2">
      <c r="A8" s="9"/>
      <c r="C8" s="16" t="s">
        <v>10</v>
      </c>
      <c r="E8" s="1"/>
      <c r="L8" s="9" t="str">
        <f t="shared" si="0"/>
        <v/>
      </c>
    </row>
    <row r="9" spans="1:12" x14ac:dyDescent="0.2">
      <c r="A9" s="9"/>
      <c r="C9" s="16" t="s">
        <v>501</v>
      </c>
      <c r="D9" s="9"/>
      <c r="E9" s="1"/>
      <c r="L9" s="9" t="str">
        <f t="shared" si="0"/>
        <v/>
      </c>
    </row>
    <row r="10" spans="1:12" x14ac:dyDescent="0.2">
      <c r="A10" s="9"/>
      <c r="C10" s="17" t="s">
        <v>562</v>
      </c>
      <c r="E10" s="1"/>
      <c r="L10" s="9" t="str">
        <f t="shared" si="0"/>
        <v/>
      </c>
    </row>
    <row r="11" spans="1:12" x14ac:dyDescent="0.2">
      <c r="A11" s="9" t="s">
        <v>16</v>
      </c>
      <c r="C11" s="16" t="s">
        <v>541</v>
      </c>
      <c r="E11" s="1">
        <f>E110</f>
        <v>7.3599999999999999E-2</v>
      </c>
      <c r="L11" s="9">
        <f t="shared" si="0"/>
        <v>7.3599999999999999E-2</v>
      </c>
    </row>
    <row r="12" spans="1:12" x14ac:dyDescent="0.2">
      <c r="A12" s="9" t="s">
        <v>16</v>
      </c>
      <c r="C12" s="16" t="s">
        <v>1061</v>
      </c>
      <c r="E12" s="1">
        <f>E73/E81</f>
        <v>1.9236462144273465</v>
      </c>
      <c r="L12" s="9">
        <f t="shared" si="0"/>
        <v>1.9236462144273465</v>
      </c>
    </row>
    <row r="13" spans="1:12" x14ac:dyDescent="0.2">
      <c r="A13" s="9" t="s">
        <v>16</v>
      </c>
      <c r="C13" s="16" t="s">
        <v>742</v>
      </c>
      <c r="E13" s="1">
        <f>E100/E82/100</f>
        <v>1.9239415258981762</v>
      </c>
      <c r="L13" s="9">
        <f t="shared" si="0"/>
        <v>1.9239415258981762</v>
      </c>
    </row>
    <row r="14" spans="1:12" x14ac:dyDescent="0.2">
      <c r="A14" s="9" t="s">
        <v>16</v>
      </c>
      <c r="C14" s="16" t="s">
        <v>759</v>
      </c>
      <c r="E14" s="1">
        <f>1/E84</f>
        <v>0.71512854435584794</v>
      </c>
      <c r="L14" s="9">
        <f t="shared" si="0"/>
        <v>0.71512854435584794</v>
      </c>
    </row>
    <row r="15" spans="1:12" s="9" customFormat="1" x14ac:dyDescent="0.2">
      <c r="A15" s="9" t="s">
        <v>16</v>
      </c>
      <c r="C15" s="16" t="s">
        <v>524</v>
      </c>
      <c r="D15"/>
      <c r="E15" s="1">
        <f>1/E86</f>
        <v>9.4379689490821581E-3</v>
      </c>
      <c r="L15" s="9">
        <f t="shared" si="0"/>
        <v>9.4379689490821581E-3</v>
      </c>
    </row>
    <row r="16" spans="1:12" s="9" customFormat="1" x14ac:dyDescent="0.2">
      <c r="A16" s="9" t="s">
        <v>16</v>
      </c>
      <c r="C16" s="16" t="s">
        <v>1176</v>
      </c>
      <c r="E16" s="1">
        <f>E75/E83</f>
        <v>8.0933269775857397</v>
      </c>
      <c r="L16" s="9">
        <f t="shared" si="0"/>
        <v>8.0933269775857397</v>
      </c>
    </row>
    <row r="17" spans="1:12" s="9" customFormat="1" x14ac:dyDescent="0.2">
      <c r="A17" s="9" t="s">
        <v>16</v>
      </c>
      <c r="C17" s="16" t="s">
        <v>602</v>
      </c>
      <c r="E17" s="1">
        <f>1/E86</f>
        <v>9.4379689490821581E-3</v>
      </c>
      <c r="L17" s="9">
        <f t="shared" si="0"/>
        <v>9.4379689490821581E-3</v>
      </c>
    </row>
    <row r="18" spans="1:12" s="9" customFormat="1" x14ac:dyDescent="0.2">
      <c r="A18" s="9" t="s">
        <v>16</v>
      </c>
      <c r="C18" s="17" t="s">
        <v>629</v>
      </c>
      <c r="E18" s="1">
        <f>1/E87</f>
        <v>4.3567574397079228E-2</v>
      </c>
      <c r="L18" s="9">
        <f t="shared" si="0"/>
        <v>4.3567574397079228E-2</v>
      </c>
    </row>
    <row r="19" spans="1:12" s="9" customFormat="1" x14ac:dyDescent="0.2">
      <c r="A19" s="9" t="s">
        <v>16</v>
      </c>
      <c r="C19" s="17" t="s">
        <v>977</v>
      </c>
      <c r="E19" s="1" t="e">
        <f>#REF!/E82/100</f>
        <v>#REF!</v>
      </c>
      <c r="L19" s="9" t="e">
        <f t="shared" si="0"/>
        <v>#REF!</v>
      </c>
    </row>
    <row r="20" spans="1:12" s="9" customFormat="1" x14ac:dyDescent="0.2">
      <c r="A20" s="9" t="s">
        <v>16</v>
      </c>
      <c r="C20" s="16" t="s">
        <v>710</v>
      </c>
      <c r="E20" s="1">
        <f>1/E81</f>
        <v>1.1171000083782501</v>
      </c>
      <c r="L20" s="9">
        <f t="shared" si="0"/>
        <v>1.1171000083782501</v>
      </c>
    </row>
    <row r="21" spans="1:12" x14ac:dyDescent="0.2">
      <c r="A21" s="9" t="s">
        <v>16</v>
      </c>
      <c r="C21" s="16" t="s">
        <v>1051</v>
      </c>
      <c r="D21" s="9"/>
      <c r="E21" s="1">
        <f>E95/E86</f>
        <v>6.6443301401538388</v>
      </c>
      <c r="L21" s="9">
        <f t="shared" si="0"/>
        <v>6.6443301401538388</v>
      </c>
    </row>
    <row r="22" spans="1:12" x14ac:dyDescent="0.2">
      <c r="A22" s="9" t="s">
        <v>16</v>
      </c>
      <c r="C22" s="16" t="s">
        <v>553</v>
      </c>
      <c r="E22" s="1">
        <f>E70</f>
        <v>4.319</v>
      </c>
      <c r="L22" s="9">
        <f t="shared" si="0"/>
        <v>4.319</v>
      </c>
    </row>
    <row r="23" spans="1:12" x14ac:dyDescent="0.2">
      <c r="A23" s="9" t="s">
        <v>16</v>
      </c>
      <c r="C23" s="16" t="s">
        <v>11</v>
      </c>
      <c r="E23" s="1">
        <f>E61/E81</f>
        <v>19.627447147205853</v>
      </c>
      <c r="L23" s="9">
        <f t="shared" si="0"/>
        <v>19.627447147205853</v>
      </c>
    </row>
    <row r="24" spans="1:12" x14ac:dyDescent="0.2">
      <c r="A24" s="9" t="s">
        <v>16</v>
      </c>
      <c r="C24" s="16" t="s">
        <v>565</v>
      </c>
      <c r="E24" s="1">
        <f>E72/E84</f>
        <v>4.0190224192798656</v>
      </c>
      <c r="L24" s="9">
        <f t="shared" si="0"/>
        <v>4.0190224192798656</v>
      </c>
    </row>
    <row r="25" spans="1:12" x14ac:dyDescent="0.2">
      <c r="A25" s="9"/>
      <c r="C25" s="16" t="s">
        <v>12</v>
      </c>
      <c r="E25" s="1"/>
      <c r="L25" s="9" t="str">
        <f t="shared" si="0"/>
        <v/>
      </c>
    </row>
    <row r="26" spans="1:12" x14ac:dyDescent="0.2">
      <c r="A26" s="9" t="s">
        <v>16</v>
      </c>
      <c r="C26" s="16" t="s">
        <v>13</v>
      </c>
      <c r="E26" s="1">
        <f>E55/E84</f>
        <v>16.955697786677156</v>
      </c>
      <c r="L26" s="9">
        <f t="shared" si="0"/>
        <v>16.955697786677156</v>
      </c>
    </row>
    <row r="27" spans="1:12" x14ac:dyDescent="0.2">
      <c r="A27" s="9" t="s">
        <v>16</v>
      </c>
      <c r="C27" s="16" t="s">
        <v>572</v>
      </c>
      <c r="E27" s="1">
        <f>E71/E81</f>
        <v>5.6435892423269189</v>
      </c>
      <c r="L27" s="9">
        <f t="shared" si="0"/>
        <v>5.6435892423269189</v>
      </c>
    </row>
    <row r="28" spans="1:12" x14ac:dyDescent="0.2">
      <c r="A28" s="9" t="s">
        <v>16</v>
      </c>
      <c r="C28" s="16" t="s">
        <v>721</v>
      </c>
      <c r="E28" s="1">
        <f>E652*100*0.95</f>
        <v>10260.949999999999</v>
      </c>
      <c r="L28" s="9">
        <f t="shared" si="0"/>
        <v>10260.949999999999</v>
      </c>
    </row>
    <row r="29" spans="1:12" x14ac:dyDescent="0.2">
      <c r="A29" s="9" t="s">
        <v>16</v>
      </c>
      <c r="C29" s="16" t="s">
        <v>506</v>
      </c>
      <c r="E29" s="1">
        <f>E76/E81</f>
        <v>9.0730862680481472</v>
      </c>
      <c r="L29" s="9">
        <f t="shared" si="0"/>
        <v>9.0730862680481472</v>
      </c>
    </row>
    <row r="30" spans="1:12" s="9" customFormat="1" x14ac:dyDescent="0.2">
      <c r="A30" s="9" t="s">
        <v>16</v>
      </c>
      <c r="C30" s="16" t="s">
        <v>521</v>
      </c>
      <c r="E30" s="1">
        <f>E103/E81</f>
        <v>24.810791186080934</v>
      </c>
      <c r="L30" s="9">
        <f t="shared" si="0"/>
        <v>24.810791186080934</v>
      </c>
    </row>
    <row r="31" spans="1:12" x14ac:dyDescent="0.2">
      <c r="A31" s="9" t="s">
        <v>16</v>
      </c>
      <c r="C31" s="16" t="s">
        <v>914</v>
      </c>
      <c r="E31" s="1">
        <f>E77/E81</f>
        <v>50.939760382048199</v>
      </c>
      <c r="L31" s="9">
        <f t="shared" si="0"/>
        <v>50.939760382048199</v>
      </c>
    </row>
    <row r="32" spans="1:12" s="9" customFormat="1" x14ac:dyDescent="0.2">
      <c r="A32" s="9" t="s">
        <v>16</v>
      </c>
      <c r="C32" s="16" t="s">
        <v>550</v>
      </c>
      <c r="E32" s="1">
        <f>E102/E82/100</f>
        <v>1.0290422679111544</v>
      </c>
      <c r="L32" s="9">
        <f t="shared" si="0"/>
        <v>1.0290422679111544</v>
      </c>
    </row>
    <row r="33" spans="1:12" x14ac:dyDescent="0.2">
      <c r="A33" s="9" t="s">
        <v>16</v>
      </c>
      <c r="C33" s="17" t="s">
        <v>1012</v>
      </c>
      <c r="D33" s="9"/>
      <c r="E33" s="1">
        <f>E567-50</f>
        <v>-12.479999999999997</v>
      </c>
      <c r="L33" s="9">
        <f t="shared" si="0"/>
        <v>-12.479999999999997</v>
      </c>
    </row>
    <row r="34" spans="1:12" x14ac:dyDescent="0.2">
      <c r="A34" s="9" t="s">
        <v>16</v>
      </c>
      <c r="C34" s="16" t="s">
        <v>691</v>
      </c>
      <c r="E34" s="1">
        <f>E93/E80</f>
        <v>1.0971181333539366</v>
      </c>
      <c r="L34" s="9">
        <f t="shared" si="0"/>
        <v>1.0971181333539366</v>
      </c>
    </row>
    <row r="35" spans="1:12" x14ac:dyDescent="0.2">
      <c r="A35" s="9" t="s">
        <v>16</v>
      </c>
      <c r="C35" s="16" t="s">
        <v>993</v>
      </c>
      <c r="E35" s="1">
        <f>E106/E82/100</f>
        <v>4.5326861800848466</v>
      </c>
      <c r="L35" s="9">
        <f t="shared" si="0"/>
        <v>4.5326861800848466</v>
      </c>
    </row>
    <row r="36" spans="1:12" s="9" customFormat="1" x14ac:dyDescent="0.2">
      <c r="A36" s="9" t="s">
        <v>16</v>
      </c>
      <c r="C36" s="16" t="s">
        <v>1094</v>
      </c>
      <c r="D36"/>
      <c r="E36" s="1">
        <f>E60/E89</f>
        <v>2.5338768315522751E-2</v>
      </c>
      <c r="L36" s="9">
        <f t="shared" si="0"/>
        <v>2.5338768315522751E-2</v>
      </c>
    </row>
    <row r="37" spans="1:12" s="9" customFormat="1" x14ac:dyDescent="0.2">
      <c r="A37" s="9" t="s">
        <v>16</v>
      </c>
      <c r="C37" s="16" t="s">
        <v>499</v>
      </c>
      <c r="E37" s="1">
        <f>E91/E85</f>
        <v>0.45046630300897417</v>
      </c>
      <c r="L37" s="9">
        <f t="shared" si="0"/>
        <v>0.45046630300897417</v>
      </c>
    </row>
    <row r="38" spans="1:12" x14ac:dyDescent="0.2">
      <c r="A38" s="9" t="s">
        <v>16</v>
      </c>
      <c r="C38" s="16" t="s">
        <v>534</v>
      </c>
      <c r="D38" s="9"/>
      <c r="E38" s="1">
        <f>E92/E80</f>
        <v>1.5658399649746324</v>
      </c>
      <c r="L38" s="9">
        <f t="shared" si="0"/>
        <v>1.5658399649746324</v>
      </c>
    </row>
    <row r="39" spans="1:12" s="9" customFormat="1" x14ac:dyDescent="0.2">
      <c r="C39" s="16" t="s">
        <v>885</v>
      </c>
      <c r="E39" s="1"/>
      <c r="L39" s="9" t="str">
        <f t="shared" si="0"/>
        <v/>
      </c>
    </row>
    <row r="40" spans="1:12" x14ac:dyDescent="0.2">
      <c r="D40" s="2"/>
      <c r="E40" s="2" t="s">
        <v>1029</v>
      </c>
      <c r="F40" t="s">
        <v>14</v>
      </c>
      <c r="G40" t="s">
        <v>15</v>
      </c>
      <c r="H40" s="9" t="s">
        <v>559</v>
      </c>
      <c r="L40" s="9" t="str">
        <f t="shared" si="0"/>
        <v/>
      </c>
    </row>
    <row r="41" spans="1:12" s="9" customFormat="1" x14ac:dyDescent="0.2">
      <c r="A41" s="9" t="s">
        <v>16</v>
      </c>
      <c r="B41" s="9" t="s">
        <v>1129</v>
      </c>
      <c r="C41" s="18" t="s">
        <v>1129</v>
      </c>
      <c r="D41" s="22" t="s">
        <v>683</v>
      </c>
      <c r="E41" s="9">
        <f>_xll.BDP($D41,E$40)</f>
        <v>2.68</v>
      </c>
      <c r="F41" s="9">
        <f>_xll.BDP($D41,F$40)</f>
        <v>2.67</v>
      </c>
      <c r="G41" s="9">
        <f>_xll.BDP($D41,G$40)</f>
        <v>2.68</v>
      </c>
      <c r="H41" s="9" t="str">
        <f>_xll.BDP($D41,H$40)</f>
        <v>#N/A Field Not Applicable</v>
      </c>
      <c r="L41" s="9">
        <f t="shared" si="0"/>
        <v>2.68</v>
      </c>
    </row>
    <row r="42" spans="1:12" s="9" customFormat="1" x14ac:dyDescent="0.2">
      <c r="A42" s="9" t="s">
        <v>16</v>
      </c>
      <c r="B42" s="9" t="s">
        <v>1041</v>
      </c>
      <c r="C42" s="18" t="s">
        <v>1041</v>
      </c>
      <c r="D42" s="22" t="s">
        <v>1040</v>
      </c>
      <c r="E42" s="9">
        <f>_xll.BDP($D42,E$40)</f>
        <v>44.05</v>
      </c>
      <c r="F42" s="9">
        <f>_xll.BDP($D42,F$40)</f>
        <v>44</v>
      </c>
      <c r="G42" s="9">
        <f>_xll.BDP($D42,G$40)</f>
        <v>44.05</v>
      </c>
      <c r="H42" s="9" t="str">
        <f>_xll.BDP($D42,H$40)</f>
        <v>#N/A Field Not Applicable</v>
      </c>
      <c r="L42" s="9">
        <f t="shared" ref="L42" si="1">IF(A42="STOCK",E42,IF(A42="SOPTION",G42,IF(A42="LOPTION",F42,"")))</f>
        <v>44.05</v>
      </c>
    </row>
    <row r="43" spans="1:12" s="9" customFormat="1" x14ac:dyDescent="0.2">
      <c r="A43" s="9" t="s">
        <v>16</v>
      </c>
      <c r="B43" s="9" t="s">
        <v>1042</v>
      </c>
      <c r="C43" s="18" t="s">
        <v>1042</v>
      </c>
      <c r="D43" s="22" t="s">
        <v>1040</v>
      </c>
      <c r="E43" s="9">
        <f>_xll.BDP($D43,E$40)</f>
        <v>44.05</v>
      </c>
      <c r="F43" s="9">
        <f>_xll.BDP($D43,F$40)</f>
        <v>44</v>
      </c>
      <c r="G43" s="9">
        <f>_xll.BDP($D43,G$40)</f>
        <v>44.05</v>
      </c>
      <c r="H43" s="9" t="str">
        <f>_xll.BDP($D43,H$40)</f>
        <v>#N/A Field Not Applicable</v>
      </c>
      <c r="L43" s="9">
        <f t="shared" ref="L43" si="2">IF(A43="STOCK",E43,IF(A43="SOPTION",G43,IF(A43="LOPTION",F43,"")))</f>
        <v>44.05</v>
      </c>
    </row>
    <row r="44" spans="1:12" s="9" customFormat="1" x14ac:dyDescent="0.2">
      <c r="A44" s="9" t="s">
        <v>16</v>
      </c>
      <c r="B44" s="9" t="s">
        <v>1125</v>
      </c>
      <c r="C44" s="18" t="s">
        <v>1125</v>
      </c>
      <c r="D44" s="22" t="s">
        <v>30</v>
      </c>
      <c r="E44" s="9">
        <f>_xll.BDP($D44,E$40)</f>
        <v>88.02</v>
      </c>
      <c r="F44" s="9">
        <f>_xll.BDP($D44,F$40)</f>
        <v>87.68</v>
      </c>
      <c r="G44" s="9">
        <f>_xll.BDP($D44,G$40)</f>
        <v>87.99</v>
      </c>
      <c r="H44" s="9" t="str">
        <f>_xll.BDP($D44,H$40)</f>
        <v>#N/A Field Not Applicable</v>
      </c>
      <c r="L44" s="9">
        <f t="shared" ref="L44" si="3">IF(A44="STOCK",E44,IF(A44="SOPTION",G44,IF(A44="LOPTION",F44,"")))</f>
        <v>88.02</v>
      </c>
    </row>
    <row r="45" spans="1:12" s="9" customFormat="1" x14ac:dyDescent="0.2">
      <c r="A45" s="9" t="s">
        <v>16</v>
      </c>
      <c r="B45" s="9" t="s">
        <v>1127</v>
      </c>
      <c r="C45" s="18" t="s">
        <v>1127</v>
      </c>
      <c r="D45" s="22" t="s">
        <v>612</v>
      </c>
      <c r="E45" s="9">
        <f>_xll.BDP($D45,E$40)</f>
        <v>0.68</v>
      </c>
      <c r="F45" s="9">
        <f>_xll.BDP($D45,F$40)</f>
        <v>0.68</v>
      </c>
      <c r="G45" s="9">
        <f>_xll.BDP($D45,G$40)</f>
        <v>0.68010000000000004</v>
      </c>
      <c r="H45" s="9" t="str">
        <f>_xll.BDP($D45,H$40)</f>
        <v>#N/A Field Not Applicable</v>
      </c>
      <c r="L45" s="9">
        <f t="shared" ref="L45:L46" si="4">IF(A45="STOCK",E45,IF(A45="SOPTION",G45,IF(A45="LOPTION",F45,"")))</f>
        <v>0.68</v>
      </c>
    </row>
    <row r="46" spans="1:12" s="9" customFormat="1" x14ac:dyDescent="0.2">
      <c r="A46" s="9" t="s">
        <v>16</v>
      </c>
      <c r="B46" s="9" t="s">
        <v>1253</v>
      </c>
      <c r="C46" s="18" t="s">
        <v>1253</v>
      </c>
      <c r="D46" s="22" t="s">
        <v>1250</v>
      </c>
      <c r="E46" s="9">
        <f>_xll.BDP($D46,E$40)</f>
        <v>55.8</v>
      </c>
      <c r="F46" s="9">
        <f>_xll.BDP($D46,F$40)</f>
        <v>55.7</v>
      </c>
      <c r="G46" s="9">
        <f>_xll.BDP($D46,G$40)</f>
        <v>55.77</v>
      </c>
      <c r="H46" s="9" t="str">
        <f>_xll.BDP($D46,H$40)</f>
        <v>#N/A Field Not Applicable</v>
      </c>
      <c r="L46" s="9">
        <f t="shared" si="4"/>
        <v>55.8</v>
      </c>
    </row>
    <row r="47" spans="1:12" s="9" customFormat="1" x14ac:dyDescent="0.2">
      <c r="A47" s="9" t="s">
        <v>16</v>
      </c>
      <c r="B47" s="9" t="s">
        <v>1188</v>
      </c>
      <c r="C47" s="18" t="s">
        <v>1188</v>
      </c>
      <c r="D47" s="22" t="s">
        <v>1189</v>
      </c>
      <c r="E47" s="9">
        <f>_xll.BDP($D47,E$40)</f>
        <v>19.89</v>
      </c>
      <c r="F47" s="9">
        <f>_xll.BDP($D47,F$40)</f>
        <v>19.86</v>
      </c>
      <c r="G47" s="9">
        <f>_xll.BDP($D47,G$40)</f>
        <v>19.87</v>
      </c>
      <c r="H47" s="9" t="str">
        <f>_xll.BDP($D47,H$40)</f>
        <v>#N/A Field Not Applicable</v>
      </c>
      <c r="L47" s="9">
        <f t="shared" ref="L47" si="5">IF(A47="STOCK",E47,IF(A47="SOPTION",G47,IF(A47="LOPTION",F47,"")))</f>
        <v>19.89</v>
      </c>
    </row>
    <row r="48" spans="1:12" s="9" customFormat="1" x14ac:dyDescent="0.2">
      <c r="A48" s="9" t="s">
        <v>16</v>
      </c>
      <c r="B48" s="9" t="s">
        <v>1064</v>
      </c>
      <c r="C48" s="18" t="s">
        <v>1064</v>
      </c>
      <c r="D48" s="9" t="s">
        <v>904</v>
      </c>
      <c r="E48" s="9">
        <f>_xll.BDP($D48,E$40)</f>
        <v>1.5411999999999999</v>
      </c>
      <c r="F48" s="9">
        <f>_xll.BDP($D48,F$40)</f>
        <v>1.54</v>
      </c>
      <c r="G48" s="9">
        <f>_xll.BDP($D48,G$40)</f>
        <v>1.55</v>
      </c>
      <c r="H48" s="9" t="str">
        <f>_xll.BDP($D48,H$40)</f>
        <v>#N/A Field Not Applicable</v>
      </c>
      <c r="L48" s="9">
        <f t="shared" ref="L48:L97" si="6">IF(A48="STOCK",E48,IF(A48="SOPTION",G48,IF(A48="LOPTION",F48,"")))</f>
        <v>1.5411999999999999</v>
      </c>
    </row>
    <row r="49" spans="1:12" s="9" customFormat="1" x14ac:dyDescent="0.2">
      <c r="A49" s="9" t="s">
        <v>16</v>
      </c>
      <c r="B49" s="9" t="s">
        <v>1130</v>
      </c>
      <c r="C49" s="18" t="s">
        <v>1130</v>
      </c>
      <c r="D49" s="9" t="s">
        <v>904</v>
      </c>
      <c r="E49" s="9">
        <f>_xll.BDP($D49,E$40)</f>
        <v>1.5411999999999999</v>
      </c>
      <c r="F49" s="9">
        <f>_xll.BDP($D49,F$40)</f>
        <v>1.54</v>
      </c>
      <c r="G49" s="9">
        <f>_xll.BDP($D49,G$40)</f>
        <v>1.55</v>
      </c>
      <c r="H49" s="9" t="str">
        <f>_xll.BDP($D49,H$40)</f>
        <v>#N/A Field Not Applicable</v>
      </c>
      <c r="L49" s="9">
        <f t="shared" ref="L49" si="7">IF(A49="STOCK",E49,IF(A49="SOPTION",G49,IF(A49="LOPTION",F49,"")))</f>
        <v>1.5411999999999999</v>
      </c>
    </row>
    <row r="50" spans="1:12" s="9" customFormat="1" x14ac:dyDescent="0.2">
      <c r="A50" s="9" t="s">
        <v>16</v>
      </c>
      <c r="B50" s="9" t="s">
        <v>1126</v>
      </c>
      <c r="C50" s="18" t="s">
        <v>1126</v>
      </c>
      <c r="D50" s="9" t="s">
        <v>1072</v>
      </c>
      <c r="E50" s="9">
        <f>_xll.BDP($D50,E$40)</f>
        <v>239.85</v>
      </c>
      <c r="F50" s="9">
        <f>_xll.BDP($D50,F$40)</f>
        <v>239.41</v>
      </c>
      <c r="G50" s="9">
        <f>_xll.BDP($D50,G$40)</f>
        <v>239.44</v>
      </c>
      <c r="H50" s="9" t="str">
        <f>_xll.BDP($D50,H$40)</f>
        <v>#N/A Field Not Applicable</v>
      </c>
      <c r="L50" s="9">
        <f t="shared" ref="L50" si="8">IF(A50="STOCK",E50,IF(A50="SOPTION",G50,IF(A50="LOPTION",F50,"")))</f>
        <v>239.85</v>
      </c>
    </row>
    <row r="51" spans="1:12" s="9" customFormat="1" x14ac:dyDescent="0.2">
      <c r="A51" s="9" t="s">
        <v>16</v>
      </c>
      <c r="B51" s="9" t="s">
        <v>1169</v>
      </c>
      <c r="C51" s="18" t="s">
        <v>1169</v>
      </c>
      <c r="D51" s="9" t="s">
        <v>1082</v>
      </c>
      <c r="E51" s="9">
        <f>_xll.BDP($D51,E$40)</f>
        <v>103.62</v>
      </c>
      <c r="F51" s="9">
        <f>_xll.BDP($D51,F$40)</f>
        <v>103.3</v>
      </c>
      <c r="G51" s="9">
        <f>_xll.BDP($D51,G$40)</f>
        <v>103.3</v>
      </c>
      <c r="H51" s="9" t="str">
        <f>_xll.BDP($D51,H$40)</f>
        <v>#N/A Field Not Applicable</v>
      </c>
      <c r="L51" s="9">
        <f t="shared" ref="L51:L52" si="9">IF(A51="STOCK",E51,IF(A51="SOPTION",G51,IF(A51="LOPTION",F51,"")))</f>
        <v>103.62</v>
      </c>
    </row>
    <row r="52" spans="1:12" s="9" customFormat="1" x14ac:dyDescent="0.2">
      <c r="A52" s="9" t="s">
        <v>16</v>
      </c>
      <c r="B52" s="9" t="s">
        <v>1184</v>
      </c>
      <c r="C52" s="18" t="s">
        <v>1184</v>
      </c>
      <c r="D52" s="9" t="s">
        <v>1185</v>
      </c>
      <c r="E52" s="9">
        <f>_xll.BDP($D52,E$40)</f>
        <v>218.57</v>
      </c>
      <c r="F52" s="9">
        <f>_xll.BDP($D52,F$40)</f>
        <v>218.86</v>
      </c>
      <c r="G52" s="9">
        <f>_xll.BDP($D52,G$40)</f>
        <v>218.87</v>
      </c>
      <c r="H52" s="9" t="str">
        <f>_xll.BDP($D52,H$40)</f>
        <v>#N/A Field Not Applicable</v>
      </c>
      <c r="L52" s="9">
        <f t="shared" si="9"/>
        <v>218.57</v>
      </c>
    </row>
    <row r="53" spans="1:12" s="9" customFormat="1" x14ac:dyDescent="0.2">
      <c r="A53" s="9" t="s">
        <v>16</v>
      </c>
      <c r="B53" s="9" t="s">
        <v>1128</v>
      </c>
      <c r="C53" s="18" t="s">
        <v>1128</v>
      </c>
      <c r="D53" s="9" t="s">
        <v>1084</v>
      </c>
      <c r="E53" s="9">
        <f>_xll.BDP($D53,E$40)</f>
        <v>240.12</v>
      </c>
      <c r="F53" s="9">
        <f>_xll.BDP($D53,F$40)</f>
        <v>240.12</v>
      </c>
      <c r="G53" s="9">
        <f>_xll.BDP($D53,G$40)</f>
        <v>240.13</v>
      </c>
      <c r="H53" s="9" t="str">
        <f>_xll.BDP($D53,H$40)</f>
        <v>#N/A Field Not Applicable</v>
      </c>
      <c r="L53" s="9">
        <f t="shared" ref="L53" si="10">IF(A53="STOCK",E53,IF(A53="SOPTION",G53,IF(A53="LOPTION",F53,"")))</f>
        <v>240.12</v>
      </c>
    </row>
    <row r="54" spans="1:12" x14ac:dyDescent="0.2">
      <c r="A54" t="s">
        <v>16</v>
      </c>
      <c r="B54" t="s">
        <v>9</v>
      </c>
      <c r="C54" s="16" t="s">
        <v>17</v>
      </c>
      <c r="D54" t="s">
        <v>18</v>
      </c>
      <c r="E54" t="str">
        <f>_xll.BDP($D54,E$40)</f>
        <v>#N/A N/A</v>
      </c>
      <c r="F54" t="str">
        <f>_xll.BDP($D54,F$40)</f>
        <v>#N/A N/A</v>
      </c>
      <c r="G54" t="str">
        <f>_xll.BDP($D54,G$40)</f>
        <v>#N/A N/A</v>
      </c>
      <c r="H54" s="9" t="str">
        <f>_xll.BDP($D54,H$40)</f>
        <v>#N/A Field Not Applicable</v>
      </c>
      <c r="L54" s="9" t="str">
        <f t="shared" si="6"/>
        <v>#N/A N/A</v>
      </c>
    </row>
    <row r="55" spans="1:12" x14ac:dyDescent="0.2">
      <c r="A55" t="s">
        <v>16</v>
      </c>
      <c r="B55" t="s">
        <v>19</v>
      </c>
      <c r="C55" s="16" t="s">
        <v>19</v>
      </c>
      <c r="D55" t="s">
        <v>20</v>
      </c>
      <c r="E55">
        <f>_xll.BDP($D55,E$40)</f>
        <v>23.71</v>
      </c>
      <c r="F55">
        <f>_xll.BDP($D55,F$40)</f>
        <v>23.63</v>
      </c>
      <c r="G55">
        <f>_xll.BDP($D55,G$40)</f>
        <v>24.09</v>
      </c>
      <c r="H55" s="9" t="str">
        <f>_xll.BDP($D55,H$40)</f>
        <v>#N/A Field Not Applicable</v>
      </c>
      <c r="L55" s="9">
        <f t="shared" si="6"/>
        <v>23.71</v>
      </c>
    </row>
    <row r="56" spans="1:12" x14ac:dyDescent="0.2">
      <c r="A56" t="s">
        <v>16</v>
      </c>
      <c r="B56" t="s">
        <v>21</v>
      </c>
      <c r="C56" s="16" t="s">
        <v>22</v>
      </c>
      <c r="D56" t="s">
        <v>23</v>
      </c>
      <c r="E56">
        <f>_xll.BDP($D56,E$40)</f>
        <v>0.1</v>
      </c>
      <c r="F56">
        <f>_xll.BDP($D56,F$40)</f>
        <v>0.1</v>
      </c>
      <c r="G56">
        <f>_xll.BDP($D56,G$40)</f>
        <v>0.11</v>
      </c>
      <c r="H56" s="9" t="str">
        <f>_xll.BDP($D56,H$40)</f>
        <v>#N/A Field Not Applicable</v>
      </c>
      <c r="L56" s="9">
        <f t="shared" si="6"/>
        <v>0.1</v>
      </c>
    </row>
    <row r="57" spans="1:12" x14ac:dyDescent="0.2">
      <c r="A57" t="s">
        <v>16</v>
      </c>
      <c r="B57" t="s">
        <v>24</v>
      </c>
      <c r="C57" s="16" t="s">
        <v>24</v>
      </c>
      <c r="D57" t="s">
        <v>25</v>
      </c>
      <c r="E57">
        <f>_xll.BDP($D57,E$40)</f>
        <v>0.61</v>
      </c>
      <c r="F57">
        <f>_xll.BDP($D57,F$40)</f>
        <v>0.69</v>
      </c>
      <c r="G57">
        <f>_xll.BDP($D57,G$40)</f>
        <v>0.61</v>
      </c>
      <c r="H57" s="9" t="str">
        <f>_xll.BDP($D57,H$40)</f>
        <v>#N/A Field Not Applicable</v>
      </c>
      <c r="L57" s="9">
        <f t="shared" si="6"/>
        <v>0.61</v>
      </c>
    </row>
    <row r="58" spans="1:12" s="9" customFormat="1" x14ac:dyDescent="0.2">
      <c r="A58" s="9" t="s">
        <v>16</v>
      </c>
      <c r="B58" s="9" t="s">
        <v>728</v>
      </c>
      <c r="C58" s="16" t="s">
        <v>728</v>
      </c>
      <c r="D58" s="9" t="s">
        <v>704</v>
      </c>
      <c r="E58" s="9">
        <f>_xll.BDP($D58,E$40)</f>
        <v>15.07</v>
      </c>
      <c r="F58" s="9">
        <f>_xll.BDP($D58,F$40)</f>
        <v>15.25</v>
      </c>
      <c r="G58" s="9">
        <f>_xll.BDP($D58,G$40)</f>
        <v>15.33</v>
      </c>
      <c r="H58" s="9" t="str">
        <f>_xll.BDP($D58,H$40)</f>
        <v>#N/A Field Not Applicable</v>
      </c>
      <c r="L58" s="9">
        <f t="shared" si="6"/>
        <v>15.07</v>
      </c>
    </row>
    <row r="59" spans="1:12" s="9" customFormat="1" x14ac:dyDescent="0.2">
      <c r="A59" s="9" t="s">
        <v>16</v>
      </c>
      <c r="B59" s="9" t="s">
        <v>674</v>
      </c>
      <c r="C59" s="16" t="s">
        <v>674</v>
      </c>
      <c r="D59" s="9" t="s">
        <v>675</v>
      </c>
      <c r="E59" s="9">
        <f>_xll.BDP($D59,E$40)</f>
        <v>18.23</v>
      </c>
      <c r="F59" s="9">
        <f>_xll.BDP($D59,F$40)</f>
        <v>20</v>
      </c>
      <c r="G59" s="9">
        <f>_xll.BDP($D59,G$40)</f>
        <v>18.7</v>
      </c>
      <c r="H59" s="9" t="str">
        <f>_xll.BDP($D59,H$40)</f>
        <v>#N/A Field Not Applicable</v>
      </c>
      <c r="L59" s="9">
        <f t="shared" si="6"/>
        <v>18.23</v>
      </c>
    </row>
    <row r="60" spans="1:12" s="9" customFormat="1" x14ac:dyDescent="0.2">
      <c r="A60" s="9" t="s">
        <v>16</v>
      </c>
      <c r="B60" s="9" t="s">
        <v>1094</v>
      </c>
      <c r="C60" s="16" t="s">
        <v>1095</v>
      </c>
      <c r="D60" s="9" t="s">
        <v>1096</v>
      </c>
      <c r="E60" s="9">
        <f>_xll.BDP($D60,E$40)</f>
        <v>3.45</v>
      </c>
      <c r="F60" s="9">
        <f>_xll.BDP($D60,F$40)</f>
        <v>3.47</v>
      </c>
      <c r="G60" s="9">
        <f>_xll.BDP($D60,G$40)</f>
        <v>3.48</v>
      </c>
      <c r="H60" s="9" t="str">
        <f>_xll.BDP($D60,H$40)</f>
        <v>#N/A Field Not Applicable</v>
      </c>
      <c r="L60" s="9">
        <f t="shared" ref="L60" si="11">IF(A60="STOCK",E60,IF(A60="SOPTION",G60,IF(A60="LOPTION",F60,"")))</f>
        <v>3.45</v>
      </c>
    </row>
    <row r="61" spans="1:12" x14ac:dyDescent="0.2">
      <c r="A61" t="s">
        <v>16</v>
      </c>
      <c r="B61" t="s">
        <v>26</v>
      </c>
      <c r="C61" s="16" t="s">
        <v>27</v>
      </c>
      <c r="D61" t="s">
        <v>28</v>
      </c>
      <c r="E61">
        <f>_xll.BDP($D61,E$40)</f>
        <v>17.57</v>
      </c>
      <c r="F61">
        <f>_xll.BDP($D61,F$40)</f>
        <v>17.57</v>
      </c>
      <c r="G61">
        <f>_xll.BDP($D61,G$40)</f>
        <v>17.574999999999999</v>
      </c>
      <c r="H61" s="9" t="str">
        <f>_xll.BDP($D61,H$40)</f>
        <v>#N/A Field Not Applicable</v>
      </c>
      <c r="L61" s="9">
        <f t="shared" si="6"/>
        <v>17.57</v>
      </c>
    </row>
    <row r="62" spans="1:12" x14ac:dyDescent="0.2">
      <c r="A62" s="9" t="s">
        <v>16</v>
      </c>
      <c r="B62" s="5">
        <v>716</v>
      </c>
      <c r="C62" s="16" t="s">
        <v>447</v>
      </c>
      <c r="D62" s="9" t="s">
        <v>446</v>
      </c>
      <c r="E62" s="9">
        <f>_xll.BDP($D62,E$40)</f>
        <v>0.62</v>
      </c>
      <c r="F62" s="9">
        <f>_xll.BDP($D62,F$40)</f>
        <v>0.62</v>
      </c>
      <c r="G62" s="9">
        <f>_xll.BDP($D62,G$40)</f>
        <v>0.63</v>
      </c>
      <c r="H62" s="9" t="str">
        <f>_xll.BDP($D62,H$40)</f>
        <v>#N/A Field Not Applicable</v>
      </c>
      <c r="L62" s="9">
        <f t="shared" si="6"/>
        <v>0.62</v>
      </c>
    </row>
    <row r="63" spans="1:12" x14ac:dyDescent="0.2">
      <c r="A63" t="s">
        <v>16</v>
      </c>
      <c r="B63" t="s">
        <v>29</v>
      </c>
      <c r="C63" s="16" t="s">
        <v>29</v>
      </c>
      <c r="D63" t="s">
        <v>30</v>
      </c>
      <c r="E63">
        <f>_xll.BDP($D63,E$40)</f>
        <v>88.02</v>
      </c>
      <c r="F63">
        <f>_xll.BDP($D63,F$40)</f>
        <v>87.68</v>
      </c>
      <c r="G63">
        <f>_xll.BDP($D63,G$40)</f>
        <v>87.99</v>
      </c>
      <c r="H63" s="9" t="str">
        <f>_xll.BDP($D63,H$40)</f>
        <v>#N/A Field Not Applicable</v>
      </c>
      <c r="L63" s="9">
        <f t="shared" si="6"/>
        <v>88.02</v>
      </c>
    </row>
    <row r="64" spans="1:12" x14ac:dyDescent="0.2">
      <c r="A64" t="s">
        <v>16</v>
      </c>
      <c r="B64" t="str">
        <f>LEFT(D64,FIND(" ",D64)-1)</f>
        <v>INFO</v>
      </c>
      <c r="C64" s="16" t="s">
        <v>31</v>
      </c>
      <c r="D64" t="s">
        <v>32</v>
      </c>
      <c r="E64">
        <f>_xll.BDP($D64,E$40)</f>
        <v>583.15</v>
      </c>
      <c r="F64">
        <f>_xll.BDP($D64,F$40)</f>
        <v>582.85</v>
      </c>
      <c r="G64">
        <f>_xll.BDP($D64,G$40)</f>
        <v>583.15</v>
      </c>
      <c r="H64" s="9" t="str">
        <f>_xll.BDP($D64,H$40)</f>
        <v>#N/A Field Not Applicable</v>
      </c>
      <c r="L64" s="9">
        <f t="shared" si="6"/>
        <v>583.15</v>
      </c>
    </row>
    <row r="65" spans="1:12" x14ac:dyDescent="0.2">
      <c r="A65" t="s">
        <v>16</v>
      </c>
      <c r="B65" s="9" t="s">
        <v>41</v>
      </c>
      <c r="C65" s="16" t="s">
        <v>41</v>
      </c>
      <c r="D65" s="9" t="s">
        <v>42</v>
      </c>
      <c r="E65">
        <f>_xll.BDP($D65,E$40)</f>
        <v>74.272499999999994</v>
      </c>
      <c r="F65">
        <f>_xll.BDP($D65,F$40)</f>
        <v>74.267499999999998</v>
      </c>
      <c r="G65">
        <f>_xll.BDP($D65,G$40)</f>
        <v>74.277500000000003</v>
      </c>
      <c r="H65" s="9" t="str">
        <f>_xll.BDP($D65,H$40)</f>
        <v>#N/A Field Not Applicable</v>
      </c>
      <c r="L65" s="9">
        <f t="shared" si="6"/>
        <v>74.272499999999994</v>
      </c>
    </row>
    <row r="66" spans="1:12" x14ac:dyDescent="0.2">
      <c r="A66" t="s">
        <v>16</v>
      </c>
      <c r="B66" s="9" t="s">
        <v>599</v>
      </c>
      <c r="C66" s="16" t="s">
        <v>35</v>
      </c>
      <c r="D66" t="s">
        <v>36</v>
      </c>
      <c r="E66">
        <f>_xll.BDP($D66,E$40)</f>
        <v>35.81</v>
      </c>
      <c r="F66">
        <f>_xll.BDP($D66,F$40)</f>
        <v>35.799999999999997</v>
      </c>
      <c r="G66">
        <f>_xll.BDP($D66,G$40)</f>
        <v>35.81</v>
      </c>
      <c r="H66" s="9" t="str">
        <f>_xll.BDP($D66,H$40)</f>
        <v>#N/A Field Not Applicable</v>
      </c>
      <c r="L66" s="9">
        <f t="shared" si="6"/>
        <v>35.81</v>
      </c>
    </row>
    <row r="67" spans="1:12" s="9" customFormat="1" x14ac:dyDescent="0.2">
      <c r="A67" s="9" t="s">
        <v>16</v>
      </c>
      <c r="B67" s="9" t="s">
        <v>473</v>
      </c>
      <c r="C67" s="16" t="s">
        <v>474</v>
      </c>
      <c r="D67" s="9" t="s">
        <v>472</v>
      </c>
      <c r="E67" s="9">
        <f>_xll.BDP($D67,E$40)</f>
        <v>103.9</v>
      </c>
      <c r="F67" s="9">
        <f>_xll.BDP($D67,F$40)</f>
        <v>103.84</v>
      </c>
      <c r="G67" s="9">
        <f>_xll.BDP($D67,G$40)</f>
        <v>103.9</v>
      </c>
      <c r="H67" s="9" t="str">
        <f>_xll.BDP($D67,H$40)</f>
        <v>#N/A Field Not Applicable</v>
      </c>
      <c r="L67" s="9">
        <f t="shared" si="6"/>
        <v>103.9</v>
      </c>
    </row>
    <row r="68" spans="1:12" s="9" customFormat="1" x14ac:dyDescent="0.2">
      <c r="A68" s="9" t="s">
        <v>16</v>
      </c>
      <c r="B68" s="9" t="s">
        <v>644</v>
      </c>
      <c r="C68" s="18" t="s">
        <v>645</v>
      </c>
      <c r="D68" s="9" t="s">
        <v>646</v>
      </c>
      <c r="E68" s="9">
        <f>_xll.BDP($D68,E$40)</f>
        <v>103.9</v>
      </c>
      <c r="F68" s="9">
        <f>_xll.BDP($D68,F$40)</f>
        <v>103.84</v>
      </c>
      <c r="G68" s="9">
        <f>_xll.BDP($D68,G$40)</f>
        <v>103.9</v>
      </c>
      <c r="H68" s="9" t="str">
        <f>_xll.BDP($D68,H$40)</f>
        <v>#N/A Field Not Applicable</v>
      </c>
      <c r="L68" s="9">
        <f t="shared" si="6"/>
        <v>103.9</v>
      </c>
    </row>
    <row r="69" spans="1:12" x14ac:dyDescent="0.2">
      <c r="A69" t="s">
        <v>16</v>
      </c>
      <c r="B69" t="s">
        <v>37</v>
      </c>
      <c r="C69" s="16" t="s">
        <v>37</v>
      </c>
      <c r="D69" t="s">
        <v>38</v>
      </c>
      <c r="E69">
        <v>0.98799999999999999</v>
      </c>
      <c r="F69">
        <f>_xll.BDP($D69,F$40)</f>
        <v>0.94710000000000005</v>
      </c>
      <c r="G69">
        <f>_xll.BDP($D69,G$40)</f>
        <v>0.94740000000000002</v>
      </c>
      <c r="H69" s="9" t="str">
        <f>_xll.BDP($D69,H$40)</f>
        <v>#N/A Field Not Applicable</v>
      </c>
      <c r="L69" s="9">
        <f t="shared" si="6"/>
        <v>0.98799999999999999</v>
      </c>
    </row>
    <row r="70" spans="1:12" s="9" customFormat="1" x14ac:dyDescent="0.2">
      <c r="A70" s="9" t="s">
        <v>16</v>
      </c>
      <c r="B70" s="9" t="s">
        <v>553</v>
      </c>
      <c r="C70" s="16" t="s">
        <v>556</v>
      </c>
      <c r="D70" s="9" t="s">
        <v>557</v>
      </c>
      <c r="E70" s="9">
        <f>_xll.BDP($D70,E$40)</f>
        <v>4.319</v>
      </c>
      <c r="F70" s="9">
        <f>_xll.BDP($D70,F$40)</f>
        <v>4.3150000000000004</v>
      </c>
      <c r="G70" s="9">
        <f>_xll.BDP($D70,G$40)</f>
        <v>4.319</v>
      </c>
      <c r="H70" s="9" t="str">
        <f>_xll.BDP($D70,H$40)</f>
        <v>#N/A Field Not Applicable</v>
      </c>
      <c r="L70" s="9">
        <f t="shared" si="6"/>
        <v>4.319</v>
      </c>
    </row>
    <row r="71" spans="1:12" s="9" customFormat="1" x14ac:dyDescent="0.2">
      <c r="A71" s="9" t="s">
        <v>16</v>
      </c>
      <c r="B71" s="9" t="s">
        <v>572</v>
      </c>
      <c r="C71" s="16" t="s">
        <v>573</v>
      </c>
      <c r="D71" s="9" t="s">
        <v>574</v>
      </c>
      <c r="E71" s="9">
        <f>_xll.BDP($D71,E$40)</f>
        <v>5.0519999999999996</v>
      </c>
      <c r="F71" s="9">
        <f>_xll.BDP($D71,F$40)</f>
        <v>5.0519999999999996</v>
      </c>
      <c r="G71" s="9">
        <f>_xll.BDP($D71,G$40)</f>
        <v>5.0979999999999999</v>
      </c>
      <c r="H71" s="9" t="str">
        <f>_xll.BDP($D71,H$40)</f>
        <v>#N/A Field Not Applicable</v>
      </c>
      <c r="L71" s="9">
        <f t="shared" si="6"/>
        <v>5.0519999999999996</v>
      </c>
    </row>
    <row r="72" spans="1:12" s="9" customFormat="1" x14ac:dyDescent="0.2">
      <c r="A72" s="9" t="s">
        <v>16</v>
      </c>
      <c r="B72" s="9" t="s">
        <v>565</v>
      </c>
      <c r="C72" s="16" t="s">
        <v>566</v>
      </c>
      <c r="D72" s="9" t="s">
        <v>567</v>
      </c>
      <c r="E72" s="9">
        <f>_xll.BDP($D72,E$40)</f>
        <v>5.62</v>
      </c>
      <c r="F72" s="9">
        <f>_xll.BDP($D72,F$40)</f>
        <v>5.6</v>
      </c>
      <c r="G72" s="9">
        <f>_xll.BDP($D72,G$40)</f>
        <v>5.65</v>
      </c>
      <c r="H72" s="9" t="str">
        <f>_xll.BDP($D72,H$40)</f>
        <v>#N/A Field Not Applicable</v>
      </c>
      <c r="L72" s="9">
        <f t="shared" si="6"/>
        <v>5.62</v>
      </c>
    </row>
    <row r="73" spans="1:12" s="9" customFormat="1" x14ac:dyDescent="0.2">
      <c r="A73" s="9" t="s">
        <v>16</v>
      </c>
      <c r="B73" s="9" t="s">
        <v>1061</v>
      </c>
      <c r="C73" s="16" t="s">
        <v>1062</v>
      </c>
      <c r="D73" s="9" t="s">
        <v>1063</v>
      </c>
      <c r="E73" s="9">
        <f>_xll.BDP($D73,E$40)</f>
        <v>1.722</v>
      </c>
      <c r="F73" s="9">
        <f>_xll.BDP($D73,F$40)</f>
        <v>1.722</v>
      </c>
      <c r="G73" s="9">
        <f>_xll.BDP($D73,G$40)</f>
        <v>1.732</v>
      </c>
      <c r="H73" s="9" t="str">
        <f>_xll.BDP($D73,H$40)</f>
        <v>#N/A Field Not Applicable</v>
      </c>
      <c r="L73" s="9">
        <f t="shared" ref="L73" si="12">IF(A73="STOCK",E73,IF(A73="SOPTION",G73,IF(A73="LOPTION",F73,"")))</f>
        <v>1.722</v>
      </c>
    </row>
    <row r="74" spans="1:12" s="9" customFormat="1" x14ac:dyDescent="0.2">
      <c r="A74" s="9" t="s">
        <v>16</v>
      </c>
      <c r="B74" s="9" t="s">
        <v>422</v>
      </c>
      <c r="C74" s="16" t="s">
        <v>423</v>
      </c>
      <c r="D74" s="9" t="s">
        <v>421</v>
      </c>
      <c r="E74" s="9">
        <f>_xll.BDP($D74,E$40)</f>
        <v>12.94</v>
      </c>
      <c r="F74" s="9">
        <f>_xll.BDP($D74,F$40)</f>
        <v>12.91</v>
      </c>
      <c r="G74" s="9">
        <f>_xll.BDP($D74,G$40)</f>
        <v>12.94</v>
      </c>
      <c r="H74" s="9" t="str">
        <f>_xll.BDP($D74,H$40)</f>
        <v>#N/A Field Not Applicable</v>
      </c>
      <c r="L74" s="9">
        <f t="shared" si="6"/>
        <v>12.94</v>
      </c>
    </row>
    <row r="75" spans="1:12" s="9" customFormat="1" x14ac:dyDescent="0.2">
      <c r="A75" s="9" t="s">
        <v>16</v>
      </c>
      <c r="B75" s="9" t="s">
        <v>1177</v>
      </c>
      <c r="C75" s="16" t="s">
        <v>1178</v>
      </c>
      <c r="D75" s="9" t="s">
        <v>1179</v>
      </c>
      <c r="E75" s="9">
        <f>_xll.BDP($D75,E$40)</f>
        <v>78.95</v>
      </c>
      <c r="F75" s="9">
        <f>_xll.BDP($D75,F$40)</f>
        <v>77.25</v>
      </c>
      <c r="G75" s="9">
        <f>_xll.BDP($D75,G$40)</f>
        <v>77.650000000000006</v>
      </c>
      <c r="H75" s="9" t="str">
        <f>_xll.BDP($D75,H$40)</f>
        <v>#N/A Field Not Applicable</v>
      </c>
      <c r="L75" s="9">
        <f t="shared" ref="L75" si="13">IF(A75="STOCK",E75,IF(A75="SOPTION",G75,IF(A75="LOPTION",F75,"")))</f>
        <v>78.95</v>
      </c>
    </row>
    <row r="76" spans="1:12" s="9" customFormat="1" x14ac:dyDescent="0.2">
      <c r="A76" s="9" t="s">
        <v>16</v>
      </c>
      <c r="B76" s="9" t="s">
        <v>507</v>
      </c>
      <c r="C76" s="18" t="s">
        <v>507</v>
      </c>
      <c r="D76" s="9" t="s">
        <v>508</v>
      </c>
      <c r="E76" s="9">
        <f>_xll.BDP($D76,E$40)</f>
        <v>8.1219999999999999</v>
      </c>
      <c r="F76" s="9">
        <f>_xll.BDP($D76,F$40)</f>
        <v>8.1280000000000001</v>
      </c>
      <c r="G76" s="9">
        <f>_xll.BDP($D76,G$40)</f>
        <v>8.1560000000000006</v>
      </c>
      <c r="H76" s="9" t="str">
        <f>_xll.BDP($D76,H$40)</f>
        <v>#N/A Field Not Applicable</v>
      </c>
      <c r="L76" s="9">
        <f t="shared" si="6"/>
        <v>8.1219999999999999</v>
      </c>
    </row>
    <row r="77" spans="1:12" s="9" customFormat="1" x14ac:dyDescent="0.2">
      <c r="A77" s="9" t="s">
        <v>16</v>
      </c>
      <c r="B77" s="9" t="s">
        <v>912</v>
      </c>
      <c r="C77" s="18" t="s">
        <v>912</v>
      </c>
      <c r="D77" s="9" t="s">
        <v>913</v>
      </c>
      <c r="E77" s="9">
        <f>_xll.BDP($D77,E$40)</f>
        <v>45.6</v>
      </c>
      <c r="F77" s="9">
        <f>_xll.BDP($D77,F$40)</f>
        <v>45.74</v>
      </c>
      <c r="G77" s="9">
        <f>_xll.BDP($D77,G$40)</f>
        <v>45.83</v>
      </c>
      <c r="H77" s="9" t="str">
        <f>_xll.BDP($D77,H$40)</f>
        <v>#N/A Field Not Applicable</v>
      </c>
      <c r="L77" s="9">
        <f t="shared" si="6"/>
        <v>45.6</v>
      </c>
    </row>
    <row r="78" spans="1:12" s="9" customFormat="1" x14ac:dyDescent="0.2">
      <c r="A78" s="9" t="s">
        <v>16</v>
      </c>
      <c r="B78" s="9" t="s">
        <v>451</v>
      </c>
      <c r="C78" s="18" t="s">
        <v>452</v>
      </c>
      <c r="D78" s="9" t="s">
        <v>453</v>
      </c>
      <c r="E78" s="9">
        <f>_xll.BDP($D78,E$40)</f>
        <v>5972</v>
      </c>
      <c r="F78" s="9">
        <f>_xll.BDP($D78,F$40)</f>
        <v>5940</v>
      </c>
      <c r="G78" s="9">
        <f>_xll.BDP($D78,G$40)</f>
        <v>5950</v>
      </c>
      <c r="H78" s="9" t="str">
        <f>_xll.BDP($D78,H$40)</f>
        <v>#N/A Field Not Applicable</v>
      </c>
      <c r="L78" s="9">
        <f t="shared" si="6"/>
        <v>5972</v>
      </c>
    </row>
    <row r="79" spans="1:12" s="9" customFormat="1" x14ac:dyDescent="0.2">
      <c r="A79" s="9" t="s">
        <v>16</v>
      </c>
      <c r="B79" s="9" t="s">
        <v>449</v>
      </c>
      <c r="C79" s="16" t="s">
        <v>450</v>
      </c>
      <c r="D79" s="15" t="s">
        <v>448</v>
      </c>
      <c r="E79" s="9">
        <v>6.6897000000000002</v>
      </c>
      <c r="F79" s="9">
        <f>_xll.BDP($D79,F$40)</f>
        <v>6.6902999999999997</v>
      </c>
      <c r="G79" s="9">
        <f>_xll.BDP($D79,G$40)</f>
        <v>6.6917999999999997</v>
      </c>
      <c r="H79" s="9" t="str">
        <f>_xll.BDP($D79,H$40)</f>
        <v>#N/A Field Not Applicable</v>
      </c>
      <c r="L79" s="9">
        <f t="shared" si="6"/>
        <v>6.6897000000000002</v>
      </c>
    </row>
    <row r="80" spans="1:12" x14ac:dyDescent="0.2">
      <c r="A80" s="9" t="s">
        <v>16</v>
      </c>
      <c r="B80" s="9" t="s">
        <v>444</v>
      </c>
      <c r="C80" s="16" t="s">
        <v>445</v>
      </c>
      <c r="D80" s="15" t="s">
        <v>443</v>
      </c>
      <c r="E80" s="9">
        <v>7.7657999999999996</v>
      </c>
      <c r="F80" s="9">
        <f>_xll.BDP($D80,F$40)</f>
        <v>7.7659000000000002</v>
      </c>
      <c r="G80" s="9">
        <f>_xll.BDP($D80,G$40)</f>
        <v>7.7670000000000003</v>
      </c>
      <c r="H80" s="9" t="str">
        <f>_xll.BDP($D80,H$40)</f>
        <v>#N/A Field Not Applicable</v>
      </c>
      <c r="L80" s="9">
        <f t="shared" si="6"/>
        <v>7.7657999999999996</v>
      </c>
    </row>
    <row r="81" spans="1:12" x14ac:dyDescent="0.2">
      <c r="A81" t="s">
        <v>16</v>
      </c>
      <c r="B81" t="s">
        <v>39</v>
      </c>
      <c r="C81" s="16" t="s">
        <v>39</v>
      </c>
      <c r="D81" s="15" t="s">
        <v>40</v>
      </c>
      <c r="E81" s="9">
        <v>0.89517500000000005</v>
      </c>
      <c r="F81">
        <f>_xll.BDP($D81,F$40)</f>
        <v>1.1167</v>
      </c>
      <c r="G81">
        <f>_xll.BDP($D81,G$40)</f>
        <v>1.1169</v>
      </c>
      <c r="H81" s="9" t="str">
        <f>_xll.BDP($D81,H$40)</f>
        <v>#N/A Field Not Applicable</v>
      </c>
      <c r="L81" s="9">
        <f t="shared" si="6"/>
        <v>0.89517500000000005</v>
      </c>
    </row>
    <row r="82" spans="1:12" x14ac:dyDescent="0.2">
      <c r="A82" s="11" t="s">
        <v>16</v>
      </c>
      <c r="B82" s="11" t="s">
        <v>33</v>
      </c>
      <c r="C82" s="19" t="s">
        <v>33</v>
      </c>
      <c r="D82" s="15" t="s">
        <v>34</v>
      </c>
      <c r="E82" s="9">
        <v>0.81629300000000005</v>
      </c>
      <c r="F82">
        <f>_xll.BDP($D82,F$40)</f>
        <v>1.2246999999999999</v>
      </c>
      <c r="G82">
        <f>_xll.BDP($D82,G$40)</f>
        <v>1.2253000000000001</v>
      </c>
      <c r="H82" s="9" t="str">
        <f>_xll.BDP($D82,H$40)</f>
        <v>#N/A Field Not Applicable</v>
      </c>
      <c r="L82" s="9">
        <f t="shared" si="6"/>
        <v>0.81629300000000005</v>
      </c>
    </row>
    <row r="83" spans="1:12" s="9" customFormat="1" x14ac:dyDescent="0.2">
      <c r="A83" s="11" t="s">
        <v>16</v>
      </c>
      <c r="B83" s="11" t="s">
        <v>1174</v>
      </c>
      <c r="C83" s="19" t="s">
        <v>1174</v>
      </c>
      <c r="D83" s="15" t="s">
        <v>1175</v>
      </c>
      <c r="E83" s="9">
        <v>9.7549499999999991</v>
      </c>
      <c r="F83" s="9">
        <f>_xll.BDP($D83,F$40)</f>
        <v>9.7765000000000004</v>
      </c>
      <c r="G83" s="9">
        <f>_xll.BDP($D83,G$40)</f>
        <v>9.7974999999999994</v>
      </c>
      <c r="H83" s="9" t="str">
        <f>_xll.BDP($D83,H$40)</f>
        <v>#N/A Field Not Applicable</v>
      </c>
      <c r="L83" s="9">
        <f t="shared" ref="L83" si="14">IF(A83="STOCK",E83,IF(A83="SOPTION",G83,IF(A83="LOPTION",F83,"")))</f>
        <v>9.7549499999999991</v>
      </c>
    </row>
    <row r="84" spans="1:12" s="9" customFormat="1" x14ac:dyDescent="0.2">
      <c r="A84" s="11" t="s">
        <v>16</v>
      </c>
      <c r="B84" s="11" t="str">
        <f>LEFT(D84,FIND(" ",D84)-1)</f>
        <v>CAD</v>
      </c>
      <c r="C84" s="19" t="str">
        <f>IF(A84="STOCK",B84,REPLACE(B84,FIND("+",B84),1,"."))</f>
        <v>CAD</v>
      </c>
      <c r="D84" s="14" t="s">
        <v>43</v>
      </c>
      <c r="E84" s="9">
        <v>1.39835</v>
      </c>
      <c r="F84">
        <f>_xll.BDP($D84,F$40)</f>
        <v>1.4000999999999999</v>
      </c>
      <c r="G84">
        <f>_xll.BDP($D84,G$40)</f>
        <v>1.4007000000000001</v>
      </c>
      <c r="H84" s="9" t="str">
        <f>_xll.BDP($D84,H$40)</f>
        <v>#N/A Field Not Applicable</v>
      </c>
      <c r="L84" s="9">
        <f t="shared" si="6"/>
        <v>1.39835</v>
      </c>
    </row>
    <row r="85" spans="1:12" s="9" customFormat="1" x14ac:dyDescent="0.2">
      <c r="A85" s="11" t="s">
        <v>16</v>
      </c>
      <c r="B85" s="11" t="str">
        <f>LEFT(D85,FIND(" ",D85)-1)</f>
        <v>SGD</v>
      </c>
      <c r="C85" s="19" t="str">
        <f>IF(A85="STOCK",B85,REPLACE(B85,FIND("+",B85),1,"."))</f>
        <v>SGD</v>
      </c>
      <c r="D85" s="14" t="s">
        <v>487</v>
      </c>
      <c r="E85" s="9">
        <v>1.42075</v>
      </c>
      <c r="F85" s="9">
        <f>_xll.BDP($D85,F$40)</f>
        <v>1.4204000000000001</v>
      </c>
      <c r="G85" s="9">
        <f>_xll.BDP($D85,G$40)</f>
        <v>1.4209000000000001</v>
      </c>
      <c r="H85" s="9" t="str">
        <f>_xll.BDP($D85,H$40)</f>
        <v>#N/A Field Not Applicable</v>
      </c>
      <c r="L85" s="9">
        <f t="shared" si="6"/>
        <v>1.42075</v>
      </c>
    </row>
    <row r="86" spans="1:12" s="9" customFormat="1" x14ac:dyDescent="0.2">
      <c r="A86" s="11" t="s">
        <v>16</v>
      </c>
      <c r="B86" s="11" t="s">
        <v>517</v>
      </c>
      <c r="C86" s="19" t="s">
        <v>517</v>
      </c>
      <c r="D86" s="14" t="s">
        <v>233</v>
      </c>
      <c r="E86" s="9">
        <v>105.955</v>
      </c>
      <c r="F86" s="9">
        <f>_xll.BDP($D86,F$40)</f>
        <v>105.97</v>
      </c>
      <c r="G86" s="9">
        <f>_xll.BDP($D86,G$40)</f>
        <v>106</v>
      </c>
      <c r="H86" s="9" t="str">
        <f>_xll.BDP($D86,H$40)</f>
        <v>#N/A Field Not Applicable</v>
      </c>
      <c r="L86" s="9">
        <f t="shared" si="6"/>
        <v>105.955</v>
      </c>
    </row>
    <row r="87" spans="1:12" s="9" customFormat="1" x14ac:dyDescent="0.2">
      <c r="A87" s="11" t="s">
        <v>16</v>
      </c>
      <c r="B87" s="12" t="s">
        <v>630</v>
      </c>
      <c r="C87" s="19" t="s">
        <v>630</v>
      </c>
      <c r="D87" s="14" t="s">
        <v>631</v>
      </c>
      <c r="E87" s="9">
        <v>22.952850000000002</v>
      </c>
      <c r="F87" s="9">
        <f>_xll.BDP($D87,F$40)</f>
        <v>22.8277</v>
      </c>
      <c r="G87" s="9">
        <f>_xll.BDP($D87,G$40)</f>
        <v>22.877600000000001</v>
      </c>
      <c r="H87" s="9" t="str">
        <f>_xll.BDP($D87,H$40)</f>
        <v>#N/A Field Not Applicable</v>
      </c>
      <c r="L87" s="9">
        <f t="shared" si="6"/>
        <v>22.952850000000002</v>
      </c>
    </row>
    <row r="88" spans="1:12" s="9" customFormat="1" x14ac:dyDescent="0.2">
      <c r="A88" s="11" t="s">
        <v>16</v>
      </c>
      <c r="B88" s="12" t="s">
        <v>855</v>
      </c>
      <c r="C88" s="19" t="s">
        <v>855</v>
      </c>
      <c r="D88" s="14" t="s">
        <v>856</v>
      </c>
      <c r="E88" s="9">
        <v>1.6342540000000001</v>
      </c>
      <c r="F88" s="9">
        <f>_xll.BDP($D88,F$40)</f>
        <v>0.61170000000000002</v>
      </c>
      <c r="G88" s="9">
        <f>_xll.BDP($D88,G$40)</f>
        <v>0.61209999999999998</v>
      </c>
      <c r="H88" s="9" t="str">
        <f>_xll.BDP($D88,H$40)</f>
        <v>#N/A Field Not Applicable</v>
      </c>
      <c r="L88" s="9">
        <f t="shared" si="6"/>
        <v>1.6342540000000001</v>
      </c>
    </row>
    <row r="89" spans="1:12" s="9" customFormat="1" x14ac:dyDescent="0.2">
      <c r="A89" s="11" t="s">
        <v>16</v>
      </c>
      <c r="B89" s="12" t="s">
        <v>1092</v>
      </c>
      <c r="C89" s="19" t="s">
        <v>1092</v>
      </c>
      <c r="D89" s="14" t="s">
        <v>1093</v>
      </c>
      <c r="E89" s="9">
        <v>136.155</v>
      </c>
      <c r="F89" s="9">
        <f>_xll.BDP($D89,F$40)</f>
        <v>136.06</v>
      </c>
      <c r="G89" s="9">
        <f>_xll.BDP($D89,G$40)</f>
        <v>136.33000000000001</v>
      </c>
      <c r="H89" s="9" t="str">
        <f>_xll.BDP($D89,H$40)</f>
        <v>#N/A Field Not Applicable</v>
      </c>
      <c r="L89" s="9">
        <f t="shared" ref="L89" si="15">IF(A89="STOCK",E89,IF(A89="SOPTION",G89,IF(A89="LOPTION",F89,"")))</f>
        <v>136.155</v>
      </c>
    </row>
    <row r="90" spans="1:12" s="9" customFormat="1" x14ac:dyDescent="0.2">
      <c r="A90" s="11" t="s">
        <v>16</v>
      </c>
      <c r="B90" s="12" t="s">
        <v>554</v>
      </c>
      <c r="C90" s="19" t="s">
        <v>554</v>
      </c>
      <c r="D90" s="14" t="s">
        <v>555</v>
      </c>
      <c r="E90" s="9">
        <v>10.2842</v>
      </c>
      <c r="F90" s="9">
        <f>_xll.BDP($D90,F$40)</f>
        <v>10.2797</v>
      </c>
      <c r="G90" s="9">
        <f>_xll.BDP($D90,G$40)</f>
        <v>10.2994</v>
      </c>
      <c r="H90" s="9" t="str">
        <f>_xll.BDP($D90,H$40)</f>
        <v>#N/A Field Not Applicable</v>
      </c>
      <c r="L90" s="9">
        <f t="shared" si="6"/>
        <v>10.2842</v>
      </c>
    </row>
    <row r="91" spans="1:12" s="9" customFormat="1" x14ac:dyDescent="0.2">
      <c r="A91" s="11" t="s">
        <v>16</v>
      </c>
      <c r="B91" s="11" t="s">
        <v>505</v>
      </c>
      <c r="C91" s="19" t="s">
        <v>505</v>
      </c>
      <c r="D91" s="12" t="s">
        <v>486</v>
      </c>
      <c r="E91" s="10">
        <f>_xll.BDP($D91,E$40)</f>
        <v>0.64</v>
      </c>
      <c r="F91" s="9">
        <f>_xll.BDP($D91,F$40)</f>
        <v>0.64</v>
      </c>
      <c r="G91" s="9">
        <f>_xll.BDP($D91,G$40)</f>
        <v>0.64500000000000002</v>
      </c>
      <c r="H91" s="9" t="str">
        <f>_xll.BDP($D91,H$40)</f>
        <v>#N/A Field Not Applicable</v>
      </c>
      <c r="L91" s="9">
        <f t="shared" si="6"/>
        <v>0.64</v>
      </c>
    </row>
    <row r="92" spans="1:12" x14ac:dyDescent="0.2">
      <c r="A92" s="11" t="s">
        <v>16</v>
      </c>
      <c r="B92" s="13">
        <v>1128</v>
      </c>
      <c r="C92" s="19" t="s">
        <v>536</v>
      </c>
      <c r="D92" s="12" t="s">
        <v>535</v>
      </c>
      <c r="E92" s="10">
        <f>_xll.BDP($D92,E$40)</f>
        <v>12.16</v>
      </c>
      <c r="F92" s="9">
        <f>_xll.BDP($D92,F$40)</f>
        <v>12.14</v>
      </c>
      <c r="G92" s="9">
        <f>_xll.BDP($D92,G$40)</f>
        <v>12.16</v>
      </c>
      <c r="H92" s="9" t="str">
        <f>_xll.BDP($D92,H$40)</f>
        <v>#N/A Field Not Applicable</v>
      </c>
      <c r="L92" s="9">
        <f t="shared" si="6"/>
        <v>12.16</v>
      </c>
    </row>
    <row r="93" spans="1:12" s="9" customFormat="1" x14ac:dyDescent="0.2">
      <c r="A93" s="11" t="s">
        <v>16</v>
      </c>
      <c r="B93" s="13">
        <v>2282</v>
      </c>
      <c r="C93" s="19" t="s">
        <v>692</v>
      </c>
      <c r="D93" s="12" t="s">
        <v>693</v>
      </c>
      <c r="E93" s="10">
        <f>_xll.BDP($D93,E$40)</f>
        <v>8.52</v>
      </c>
      <c r="F93" s="9">
        <f>_xll.BDP($D93,F$40)</f>
        <v>8.52</v>
      </c>
      <c r="G93" s="9">
        <f>_xll.BDP($D93,G$40)</f>
        <v>8.5299999999999994</v>
      </c>
      <c r="H93" s="9" t="str">
        <f>_xll.BDP($D93,H$40)</f>
        <v>#N/A Field Not Applicable</v>
      </c>
      <c r="L93" s="9">
        <f t="shared" si="6"/>
        <v>8.52</v>
      </c>
    </row>
    <row r="94" spans="1:12" s="9" customFormat="1" x14ac:dyDescent="0.2">
      <c r="A94" s="11" t="s">
        <v>16</v>
      </c>
      <c r="B94" s="11" t="s">
        <v>518</v>
      </c>
      <c r="C94" s="19" t="s">
        <v>518</v>
      </c>
      <c r="D94" s="12" t="s">
        <v>516</v>
      </c>
      <c r="E94" s="10">
        <f>_xll.BDP($D94,E$40)</f>
        <v>1992.5</v>
      </c>
      <c r="F94" s="9">
        <f>_xll.BDP($D94,F$40)</f>
        <v>1990.5</v>
      </c>
      <c r="G94" s="9">
        <f>_xll.BDP($D94,G$40)</f>
        <v>1995.5</v>
      </c>
      <c r="H94" s="9" t="str">
        <f>_xll.BDP($D94,H$40)</f>
        <v>#N/A Field Not Applicable</v>
      </c>
      <c r="L94" s="9">
        <f t="shared" si="6"/>
        <v>1992.5</v>
      </c>
    </row>
    <row r="95" spans="1:12" s="9" customFormat="1" x14ac:dyDescent="0.2">
      <c r="A95" s="11" t="s">
        <v>16</v>
      </c>
      <c r="B95" s="11" t="s">
        <v>1022</v>
      </c>
      <c r="C95" s="19" t="s">
        <v>1022</v>
      </c>
      <c r="D95" s="12" t="s">
        <v>1023</v>
      </c>
      <c r="E95" s="10">
        <f>_xll.BDP($D95,E$40)</f>
        <v>704</v>
      </c>
      <c r="F95" s="9">
        <f>_xll.BDP($D95,F$40)</f>
        <v>700</v>
      </c>
      <c r="G95" s="9">
        <f>_xll.BDP($D95,G$40)</f>
        <v>705</v>
      </c>
      <c r="H95" s="9" t="str">
        <f>_xll.BDP($D95,H$40)</f>
        <v>#N/A Field Not Applicable</v>
      </c>
      <c r="L95" s="9">
        <f t="shared" ref="L95" si="16">IF(A95="STOCK",E95,IF(A95="SOPTION",G95,IF(A95="LOPTION",F95,"")))</f>
        <v>704</v>
      </c>
    </row>
    <row r="96" spans="1:12" s="9" customFormat="1" x14ac:dyDescent="0.2">
      <c r="A96" s="11" t="s">
        <v>16</v>
      </c>
      <c r="B96" s="11" t="s">
        <v>811</v>
      </c>
      <c r="C96" s="19" t="s">
        <v>811</v>
      </c>
      <c r="D96" s="12" t="s">
        <v>812</v>
      </c>
      <c r="E96" s="10">
        <f>_xll.BDP($D96,E$40)</f>
        <v>1302</v>
      </c>
      <c r="F96" s="9">
        <f>_xll.BDP($D96,F$40)</f>
        <v>1302</v>
      </c>
      <c r="G96" s="9">
        <f>_xll.BDP($D96,G$40)</f>
        <v>1306</v>
      </c>
      <c r="H96" s="9" t="str">
        <f>_xll.BDP($D96,H$40)</f>
        <v>#N/A Field Not Applicable</v>
      </c>
      <c r="L96" s="9">
        <f t="shared" si="6"/>
        <v>1302</v>
      </c>
    </row>
    <row r="97" spans="1:12" s="9" customFormat="1" x14ac:dyDescent="0.2">
      <c r="A97" t="s">
        <v>16</v>
      </c>
      <c r="B97" t="str">
        <f t="shared" ref="B97:B116" si="17">LEFT(D97,FIND(" ",D97)-1)</f>
        <v>NTDOY</v>
      </c>
      <c r="C97" s="16" t="s">
        <v>44</v>
      </c>
      <c r="D97" t="s">
        <v>45</v>
      </c>
      <c r="E97">
        <f>_xll.BDP($D97,E$40)</f>
        <v>37.963999999999999</v>
      </c>
      <c r="F97">
        <f>_xll.BDP($D97,F$40)</f>
        <v>37.97</v>
      </c>
      <c r="G97">
        <f>_xll.BDP($D97,G$40)</f>
        <v>38.07</v>
      </c>
      <c r="H97" s="9" t="str">
        <f>_xll.BDP($D97,H$40)</f>
        <v>#N/A Field Not Applicable</v>
      </c>
      <c r="L97" s="9">
        <f t="shared" si="6"/>
        <v>37.963999999999999</v>
      </c>
    </row>
    <row r="98" spans="1:12" s="9" customFormat="1" x14ac:dyDescent="0.2">
      <c r="A98" s="9" t="s">
        <v>16</v>
      </c>
      <c r="B98" s="9" t="str">
        <f t="shared" si="17"/>
        <v>PCYO</v>
      </c>
      <c r="C98" s="18" t="s">
        <v>437</v>
      </c>
      <c r="D98" s="9" t="s">
        <v>291</v>
      </c>
      <c r="E98" s="9">
        <f>_xll.BDP($D98,E$40)</f>
        <v>8.6</v>
      </c>
      <c r="F98" s="9">
        <f>_xll.BDP($D98,F$40)</f>
        <v>8.5500000000000007</v>
      </c>
      <c r="G98" s="9">
        <f>_xll.BDP($D98,G$40)</f>
        <v>8.59</v>
      </c>
      <c r="H98" s="9" t="str">
        <f>_xll.BDP($D98,H$40)</f>
        <v>#N/A Field Not Applicable</v>
      </c>
      <c r="L98" s="9">
        <f t="shared" ref="L98:L145" si="18">IF(A98="STOCK",E98,IF(A98="SOPTION",G98,IF(A98="LOPTION",F98,"")))</f>
        <v>8.6</v>
      </c>
    </row>
    <row r="99" spans="1:12" s="9" customFormat="1" x14ac:dyDescent="0.2">
      <c r="A99" s="9" t="s">
        <v>16</v>
      </c>
      <c r="B99" s="9" t="s">
        <v>711</v>
      </c>
      <c r="C99" s="18" t="s">
        <v>711</v>
      </c>
      <c r="D99" s="9" t="s">
        <v>712</v>
      </c>
      <c r="E99" s="9">
        <f>_xll.BDP($D99,E$40)</f>
        <v>2196</v>
      </c>
      <c r="F99" s="9">
        <f>_xll.BDP($D99,F$40)</f>
        <v>2196</v>
      </c>
      <c r="G99" s="9">
        <f>_xll.BDP($D99,G$40)</f>
        <v>2198</v>
      </c>
      <c r="H99" s="9" t="str">
        <f>_xll.BDP($D99,H$40)</f>
        <v>#N/A Field Not Applicable</v>
      </c>
      <c r="L99" s="9">
        <f t="shared" si="18"/>
        <v>2196</v>
      </c>
    </row>
    <row r="100" spans="1:12" s="9" customFormat="1" x14ac:dyDescent="0.2">
      <c r="A100" s="9" t="s">
        <v>16</v>
      </c>
      <c r="B100" s="9" t="s">
        <v>740</v>
      </c>
      <c r="C100" s="18" t="s">
        <v>740</v>
      </c>
      <c r="D100" s="9" t="s">
        <v>741</v>
      </c>
      <c r="E100" s="9">
        <f>_xll.BDP($D100,E$40)</f>
        <v>157.05000000000001</v>
      </c>
      <c r="F100" s="9">
        <f>_xll.BDP($D100,F$40)</f>
        <v>157.05000000000001</v>
      </c>
      <c r="G100" s="9">
        <f>_xll.BDP($D100,G$40)</f>
        <v>157.19999999999999</v>
      </c>
      <c r="H100" s="9" t="str">
        <f>_xll.BDP($D100,H$40)</f>
        <v>#N/A Field Not Applicable</v>
      </c>
      <c r="L100" s="9">
        <f t="shared" si="18"/>
        <v>157.05000000000001</v>
      </c>
    </row>
    <row r="101" spans="1:12" s="9" customFormat="1" x14ac:dyDescent="0.2">
      <c r="A101" s="9" t="s">
        <v>16</v>
      </c>
      <c r="B101" s="9" t="s">
        <v>718</v>
      </c>
      <c r="C101" s="18" t="s">
        <v>718</v>
      </c>
      <c r="D101" s="9" t="s">
        <v>717</v>
      </c>
      <c r="E101" s="9">
        <f>_xll.BDP($D101,E$40)</f>
        <v>25</v>
      </c>
      <c r="F101" s="9">
        <f>_xll.BDP($D101,F$40)</f>
        <v>23.25</v>
      </c>
      <c r="G101" s="9">
        <f>_xll.BDP($D101,G$40)</f>
        <v>25</v>
      </c>
      <c r="H101" s="9" t="str">
        <f>_xll.BDP($D101,H$40)</f>
        <v>#N/A Field Not Applicable</v>
      </c>
      <c r="L101" s="9">
        <f t="shared" si="18"/>
        <v>25</v>
      </c>
    </row>
    <row r="102" spans="1:12" s="9" customFormat="1" x14ac:dyDescent="0.2">
      <c r="A102" s="9" t="s">
        <v>16</v>
      </c>
      <c r="B102" s="9" t="s">
        <v>549</v>
      </c>
      <c r="C102" s="18" t="s">
        <v>549</v>
      </c>
      <c r="D102" s="9" t="s">
        <v>548</v>
      </c>
      <c r="E102" s="9">
        <f>_xll.BDP($D102,E$40)</f>
        <v>84</v>
      </c>
      <c r="F102" s="9">
        <f>_xll.BDP($D102,F$40)</f>
        <v>83.95</v>
      </c>
      <c r="G102" s="9">
        <f>_xll.BDP($D102,G$40)</f>
        <v>84</v>
      </c>
      <c r="H102" s="9" t="str">
        <f>_xll.BDP($D102,H$40)</f>
        <v>#N/A Field Not Applicable</v>
      </c>
      <c r="L102" s="9">
        <f t="shared" si="18"/>
        <v>84</v>
      </c>
    </row>
    <row r="103" spans="1:12" s="9" customFormat="1" x14ac:dyDescent="0.2">
      <c r="A103" s="9" t="s">
        <v>16</v>
      </c>
      <c r="B103" s="9" t="s">
        <v>520</v>
      </c>
      <c r="C103" s="18" t="s">
        <v>520</v>
      </c>
      <c r="D103" s="9" t="s">
        <v>935</v>
      </c>
      <c r="E103" s="9">
        <f>_xll.BDP($D103,E$40)</f>
        <v>22.21</v>
      </c>
      <c r="F103" s="9">
        <f>_xll.BDP($D103,F$40)</f>
        <v>22.13</v>
      </c>
      <c r="G103" s="9">
        <f>_xll.BDP($D103,G$40)</f>
        <v>22.19</v>
      </c>
      <c r="H103" s="9" t="str">
        <f>_xll.BDP($D103,H$40)</f>
        <v>#N/A Field Not Applicable</v>
      </c>
      <c r="L103" s="9">
        <f t="shared" si="18"/>
        <v>22.21</v>
      </c>
    </row>
    <row r="104" spans="1:12" s="9" customFormat="1" x14ac:dyDescent="0.2">
      <c r="A104" s="9" t="s">
        <v>16</v>
      </c>
      <c r="B104" s="9" t="s">
        <v>529</v>
      </c>
      <c r="C104" s="16" t="s">
        <v>854</v>
      </c>
      <c r="D104" s="9" t="s">
        <v>528</v>
      </c>
      <c r="E104" s="9">
        <f>_xll.BDP($D104,E$40)</f>
        <v>9.65</v>
      </c>
      <c r="F104" s="9">
        <f>_xll.BDP($D104,F$40)</f>
        <v>9.64</v>
      </c>
      <c r="G104" s="9">
        <f>_xll.BDP($D104,G$40)</f>
        <v>9.6999999999999993</v>
      </c>
      <c r="H104" s="9" t="str">
        <f>_xll.BDP($D104,H$40)</f>
        <v>#N/A Field Not Applicable</v>
      </c>
      <c r="L104" s="9">
        <f t="shared" si="18"/>
        <v>9.65</v>
      </c>
    </row>
    <row r="105" spans="1:12" s="9" customFormat="1" x14ac:dyDescent="0.2">
      <c r="A105" s="9" t="s">
        <v>16</v>
      </c>
      <c r="B105" s="9" t="s">
        <v>537</v>
      </c>
      <c r="C105" s="16" t="s">
        <v>537</v>
      </c>
      <c r="D105" s="9" t="s">
        <v>535</v>
      </c>
      <c r="E105" s="9">
        <f>_xll.BDP($D105,E$40)</f>
        <v>12.16</v>
      </c>
      <c r="F105" s="9">
        <f>_xll.BDP($D105,F$40)</f>
        <v>12.14</v>
      </c>
      <c r="G105" s="9">
        <f>_xll.BDP($D105,G$40)</f>
        <v>12.16</v>
      </c>
      <c r="H105" s="9" t="str">
        <f>_xll.BDP($D105,H$40)</f>
        <v>#N/A Field Not Applicable</v>
      </c>
      <c r="L105" s="9">
        <f t="shared" si="18"/>
        <v>12.16</v>
      </c>
    </row>
    <row r="106" spans="1:12" s="9" customFormat="1" x14ac:dyDescent="0.2">
      <c r="A106" s="9" t="s">
        <v>16</v>
      </c>
      <c r="B106" s="9" t="s">
        <v>991</v>
      </c>
      <c r="C106" s="18" t="s">
        <v>991</v>
      </c>
      <c r="D106" s="9" t="s">
        <v>992</v>
      </c>
      <c r="E106" s="9">
        <f>_xll.BDP($D106,E$40)</f>
        <v>370</v>
      </c>
      <c r="F106" s="9">
        <f>_xll.BDP($D106,F$40)</f>
        <v>370</v>
      </c>
      <c r="G106" s="9">
        <f>_xll.BDP($D106,G$40)</f>
        <v>370.1</v>
      </c>
      <c r="H106" s="9" t="str">
        <f>_xll.BDP($D106,H$40)</f>
        <v>#N/A Field Not Applicable</v>
      </c>
      <c r="L106" s="9">
        <f t="shared" si="18"/>
        <v>370</v>
      </c>
    </row>
    <row r="107" spans="1:12" x14ac:dyDescent="0.2">
      <c r="A107" s="3" t="s">
        <v>16</v>
      </c>
      <c r="B107" s="3" t="str">
        <f t="shared" si="17"/>
        <v>SAVE</v>
      </c>
      <c r="C107" s="20" t="s">
        <v>463</v>
      </c>
      <c r="D107" s="3" t="s">
        <v>462</v>
      </c>
      <c r="E107" s="3">
        <f>_xll.BDP($D107,E$40)</f>
        <v>11.66</v>
      </c>
      <c r="F107" s="3">
        <f>_xll.BDP($D107,F$40)</f>
        <v>11.65</v>
      </c>
      <c r="G107" s="3">
        <f>_xll.BDP($D107,G$40)</f>
        <v>11.66</v>
      </c>
      <c r="H107" s="9" t="str">
        <f>_xll.BDP($D107,H$40)</f>
        <v>#N/A Field Not Applicable</v>
      </c>
      <c r="L107" s="9">
        <f t="shared" si="18"/>
        <v>11.66</v>
      </c>
    </row>
    <row r="108" spans="1:12" x14ac:dyDescent="0.2">
      <c r="A108" t="s">
        <v>16</v>
      </c>
      <c r="B108" t="str">
        <f t="shared" si="17"/>
        <v>AAP</v>
      </c>
      <c r="C108" s="16" t="str">
        <f t="shared" ref="C108:C116" si="19">IF(A108="STOCK",B108,REPLACE(B108,FIND("+",B108),1,"."))</f>
        <v>AAP</v>
      </c>
      <c r="D108" t="s">
        <v>46</v>
      </c>
      <c r="E108">
        <f>_xll.BDP($D108,E$40)</f>
        <v>95.25</v>
      </c>
      <c r="F108">
        <f>_xll.BDP($D108,F$40)</f>
        <v>95.25</v>
      </c>
      <c r="G108">
        <f>_xll.BDP($D108,G$40)</f>
        <v>95.26</v>
      </c>
      <c r="H108" s="9" t="str">
        <f>_xll.BDP($D108,H$40)</f>
        <v>#N/A Field Not Applicable</v>
      </c>
      <c r="L108" s="9">
        <f t="shared" si="18"/>
        <v>95.25</v>
      </c>
    </row>
    <row r="109" spans="1:12" x14ac:dyDescent="0.2">
      <c r="A109" t="s">
        <v>16</v>
      </c>
      <c r="B109" t="str">
        <f t="shared" si="17"/>
        <v>AAPL</v>
      </c>
      <c r="C109" s="16" t="str">
        <f t="shared" si="19"/>
        <v>AAPL</v>
      </c>
      <c r="D109" t="s">
        <v>47</v>
      </c>
      <c r="E109">
        <f>_xll.BDP($D109,E$40)</f>
        <v>242.21</v>
      </c>
      <c r="F109">
        <f>_xll.BDP($D109,F$40)</f>
        <v>244.2</v>
      </c>
      <c r="G109">
        <f>_xll.BDP($D109,G$40)</f>
        <v>244.21</v>
      </c>
      <c r="H109" s="9" t="str">
        <f>_xll.BDP($D109,H$40)</f>
        <v>#N/A Field Not Applicable</v>
      </c>
      <c r="L109" s="9">
        <f t="shared" si="18"/>
        <v>242.21</v>
      </c>
    </row>
    <row r="110" spans="1:12" s="9" customFormat="1" x14ac:dyDescent="0.2">
      <c r="A110" s="9" t="s">
        <v>16</v>
      </c>
      <c r="B110" s="9" t="s">
        <v>538</v>
      </c>
      <c r="C110" s="16" t="str">
        <f t="shared" ref="C110" si="20">IF(A110="STOCK",B110,REPLACE(B110,FIND("+",B110),1,"."))</f>
        <v>ENT</v>
      </c>
      <c r="D110" s="9" t="s">
        <v>539</v>
      </c>
      <c r="E110" s="9">
        <f>_xll.BDP($D110,E$40)</f>
        <v>7.3599999999999999E-2</v>
      </c>
      <c r="F110" s="9">
        <f>_xll.BDP($D110,F$40)</f>
        <v>7.3599999999999999E-2</v>
      </c>
      <c r="G110" s="9">
        <f>_xll.BDP($D110,G$40)</f>
        <v>0.1037</v>
      </c>
      <c r="H110" s="9" t="str">
        <f>_xll.BDP($D110,H$40)</f>
        <v>#N/A Field Not Applicable</v>
      </c>
      <c r="L110" s="9">
        <f t="shared" si="18"/>
        <v>7.3599999999999999E-2</v>
      </c>
    </row>
    <row r="111" spans="1:12" x14ac:dyDescent="0.2">
      <c r="A111" t="s">
        <v>16</v>
      </c>
      <c r="B111" t="str">
        <f t="shared" si="17"/>
        <v>AAWW</v>
      </c>
      <c r="C111" s="16" t="str">
        <f t="shared" si="19"/>
        <v>AAWW</v>
      </c>
      <c r="D111" t="s">
        <v>401</v>
      </c>
      <c r="E111">
        <f>_xll.BDP($D111,E$40)</f>
        <v>18.71</v>
      </c>
      <c r="F111">
        <f>_xll.BDP($D111,F$40)</f>
        <v>18.7</v>
      </c>
      <c r="G111">
        <f>_xll.BDP($D111,G$40)</f>
        <v>18.71</v>
      </c>
      <c r="H111" s="9" t="str">
        <f>_xll.BDP($D111,H$40)</f>
        <v>#N/A Field Not Applicable</v>
      </c>
      <c r="L111" s="9">
        <f t="shared" si="18"/>
        <v>18.71</v>
      </c>
    </row>
    <row r="112" spans="1:12" x14ac:dyDescent="0.2">
      <c r="A112" t="s">
        <v>16</v>
      </c>
      <c r="B112" t="str">
        <f t="shared" si="17"/>
        <v>ABB</v>
      </c>
      <c r="C112" s="16" t="str">
        <f t="shared" si="19"/>
        <v>ABB</v>
      </c>
      <c r="D112" t="s">
        <v>48</v>
      </c>
      <c r="E112">
        <f>_xll.BDP($D112,E$40)</f>
        <v>15.47</v>
      </c>
      <c r="F112">
        <f>_xll.BDP($D112,F$40)</f>
        <v>15.47</v>
      </c>
      <c r="G112">
        <f>_xll.BDP($D112,G$40)</f>
        <v>15.48</v>
      </c>
      <c r="H112" s="9" t="str">
        <f>_xll.BDP($D112,H$40)</f>
        <v>#N/A Field Not Applicable</v>
      </c>
      <c r="L112" s="9">
        <f t="shared" si="18"/>
        <v>15.47</v>
      </c>
    </row>
    <row r="113" spans="1:12" x14ac:dyDescent="0.2">
      <c r="A113" t="s">
        <v>16</v>
      </c>
      <c r="B113" t="str">
        <f t="shared" si="17"/>
        <v>ABC</v>
      </c>
      <c r="C113" s="16" t="str">
        <f t="shared" si="19"/>
        <v>ABC</v>
      </c>
      <c r="D113" t="s">
        <v>49</v>
      </c>
      <c r="E113">
        <f>_xll.BDP($D113,E$40)</f>
        <v>80.5</v>
      </c>
      <c r="F113">
        <f>_xll.BDP($D113,F$40)</f>
        <v>80.489999999999995</v>
      </c>
      <c r="G113">
        <f>_xll.BDP($D113,G$40)</f>
        <v>80.5</v>
      </c>
      <c r="H113" s="9" t="str">
        <f>_xll.BDP($D113,H$40)</f>
        <v>#N/A Field Not Applicable</v>
      </c>
      <c r="L113" s="9">
        <f t="shared" si="18"/>
        <v>80.5</v>
      </c>
    </row>
    <row r="114" spans="1:12" x14ac:dyDescent="0.2">
      <c r="A114" t="s">
        <v>16</v>
      </c>
      <c r="B114" t="str">
        <f t="shared" si="17"/>
        <v>ABG</v>
      </c>
      <c r="C114" s="16" t="str">
        <f t="shared" si="19"/>
        <v>ABG</v>
      </c>
      <c r="D114" t="s">
        <v>50</v>
      </c>
      <c r="E114">
        <f>_xll.BDP($D114,E$40)</f>
        <v>46.39</v>
      </c>
      <c r="F114">
        <f>_xll.BDP($D114,F$40)</f>
        <v>46.38</v>
      </c>
      <c r="G114">
        <f>_xll.BDP($D114,G$40)</f>
        <v>46.44</v>
      </c>
      <c r="H114" s="9" t="str">
        <f>_xll.BDP($D114,H$40)</f>
        <v>#N/A Field Not Applicable</v>
      </c>
      <c r="L114" s="9">
        <f t="shared" si="18"/>
        <v>46.39</v>
      </c>
    </row>
    <row r="115" spans="1:12" x14ac:dyDescent="0.2">
      <c r="A115" t="s">
        <v>16</v>
      </c>
      <c r="B115" t="str">
        <f t="shared" si="17"/>
        <v>ABEO</v>
      </c>
      <c r="C115" s="16" t="str">
        <f t="shared" si="19"/>
        <v>ABEO</v>
      </c>
      <c r="D115" t="s">
        <v>743</v>
      </c>
      <c r="E115">
        <f>_xll.BDP($D115,E$40)</f>
        <v>1.45</v>
      </c>
      <c r="F115">
        <f>_xll.BDP($D115,F$40)</f>
        <v>1.43</v>
      </c>
      <c r="G115">
        <f>_xll.BDP($D115,G$40)</f>
        <v>1.44</v>
      </c>
      <c r="H115" s="9" t="str">
        <f>_xll.BDP($D115,H$40)</f>
        <v>#N/A Field Not Applicable</v>
      </c>
      <c r="L115" s="9">
        <f t="shared" si="18"/>
        <v>1.45</v>
      </c>
    </row>
    <row r="116" spans="1:12" x14ac:dyDescent="0.2">
      <c r="A116" t="s">
        <v>16</v>
      </c>
      <c r="B116" t="str">
        <f t="shared" si="17"/>
        <v>ACLS</v>
      </c>
      <c r="C116" s="16" t="str">
        <f t="shared" si="19"/>
        <v>ACLS</v>
      </c>
      <c r="D116" t="s">
        <v>51</v>
      </c>
      <c r="E116">
        <f>_xll.BDP($D116,E$40)</f>
        <v>16.71</v>
      </c>
      <c r="F116">
        <f>_xll.BDP($D116,F$40)</f>
        <v>16.670000000000002</v>
      </c>
      <c r="G116">
        <f>_xll.BDP($D116,G$40)</f>
        <v>16.71</v>
      </c>
      <c r="H116" s="9" t="str">
        <f>_xll.BDP($D116,H$40)</f>
        <v>#N/A Field Not Applicable</v>
      </c>
      <c r="L116" s="9">
        <f t="shared" si="18"/>
        <v>16.71</v>
      </c>
    </row>
    <row r="117" spans="1:12" x14ac:dyDescent="0.2">
      <c r="A117" t="s">
        <v>16</v>
      </c>
      <c r="B117" t="str">
        <f t="shared" ref="B117:B130" si="21">LEFT(D117,FIND(" ",D117)-1)</f>
        <v>BLIAQ</v>
      </c>
      <c r="C117" s="16" t="str">
        <f>IF(A117="STOCK",B117,REPLACE(B117,FIND("+",B117),1,"."))</f>
        <v>BLIAQ</v>
      </c>
      <c r="D117" t="s">
        <v>488</v>
      </c>
      <c r="E117">
        <f>_xll.BDP($D117,E$40)</f>
        <v>2E-3</v>
      </c>
      <c r="F117">
        <f>_xll.BDP($D117,F$40)</f>
        <v>2E-3</v>
      </c>
      <c r="G117">
        <f>_xll.BDP($D117,G$40)</f>
        <v>6.0000000000000001E-3</v>
      </c>
      <c r="H117" s="9" t="str">
        <f>_xll.BDP($D117,H$40)</f>
        <v>#N/A Field Not Applicable</v>
      </c>
      <c r="L117" s="9">
        <f t="shared" si="18"/>
        <v>2E-3</v>
      </c>
    </row>
    <row r="118" spans="1:12" x14ac:dyDescent="0.2">
      <c r="A118" t="s">
        <v>16</v>
      </c>
      <c r="B118" t="str">
        <f t="shared" si="21"/>
        <v>LSCG</v>
      </c>
      <c r="C118" s="16" t="str">
        <f>IF(A118="STOCK",B118,REPLACE(B118,FIND("+",B118),1,"."))</f>
        <v>LSCG</v>
      </c>
      <c r="D118" t="s">
        <v>245</v>
      </c>
      <c r="E118">
        <f>_xll.BDP($D118,E$40)</f>
        <v>3.875E-3</v>
      </c>
      <c r="F118">
        <f>_xll.BDP($D118,F$40)</f>
        <v>3.5000000000000001E-3</v>
      </c>
      <c r="G118">
        <f>_xll.BDP($D118,G$40)</f>
        <v>5.0000000000000001E-3</v>
      </c>
      <c r="H118" s="9" t="str">
        <f>_xll.BDP($D118,H$40)</f>
        <v>#N/A Field Not Applicable</v>
      </c>
      <c r="L118" s="9">
        <f t="shared" si="18"/>
        <v>3.875E-3</v>
      </c>
    </row>
    <row r="119" spans="1:12" x14ac:dyDescent="0.2">
      <c r="A119" t="s">
        <v>16</v>
      </c>
      <c r="B119" t="str">
        <f t="shared" si="21"/>
        <v>PFTI</v>
      </c>
      <c r="C119" s="16" t="str">
        <f>IF(A119="STOCK",B119,REPLACE(B119,FIND("+",B119),1,"."))</f>
        <v>PFTI</v>
      </c>
      <c r="D119" t="s">
        <v>294</v>
      </c>
      <c r="E119">
        <f>_xll.BDP($D119,E$40)</f>
        <v>1.355E-2</v>
      </c>
      <c r="F119">
        <f>_xll.BDP($D119,F$40)</f>
        <v>1.11E-2</v>
      </c>
      <c r="G119">
        <f>_xll.BDP($D119,G$40)</f>
        <v>1.6E-2</v>
      </c>
      <c r="H119" s="9" t="str">
        <f>_xll.BDP($D119,H$40)</f>
        <v>#N/A Field Not Applicable</v>
      </c>
      <c r="L119" s="9">
        <f t="shared" si="18"/>
        <v>1.355E-2</v>
      </c>
    </row>
    <row r="120" spans="1:12" x14ac:dyDescent="0.2">
      <c r="A120" t="s">
        <v>16</v>
      </c>
      <c r="B120" t="str">
        <f t="shared" si="21"/>
        <v>PFTI</v>
      </c>
      <c r="C120" s="16" t="s">
        <v>295</v>
      </c>
      <c r="D120" t="s">
        <v>294</v>
      </c>
      <c r="E120">
        <f>_xll.BDP($D120,E$40)</f>
        <v>1.355E-2</v>
      </c>
      <c r="F120">
        <f>_xll.BDP($D120,F$40)</f>
        <v>1.11E-2</v>
      </c>
      <c r="G120">
        <f>_xll.BDP($D120,G$40)</f>
        <v>1.6E-2</v>
      </c>
      <c r="H120" s="9" t="str">
        <f>_xll.BDP($D120,H$40)</f>
        <v>#N/A Field Not Applicable</v>
      </c>
      <c r="L120" s="9">
        <f t="shared" si="18"/>
        <v>1.355E-2</v>
      </c>
    </row>
    <row r="121" spans="1:12" x14ac:dyDescent="0.2">
      <c r="A121" t="s">
        <v>16</v>
      </c>
      <c r="B121" t="str">
        <f t="shared" si="21"/>
        <v>TKOI</v>
      </c>
      <c r="C121" s="16" t="s">
        <v>575</v>
      </c>
      <c r="D121" t="s">
        <v>526</v>
      </c>
      <c r="E121">
        <f>_xll.BDP($D121,E$40)</f>
        <v>0.05</v>
      </c>
      <c r="F121">
        <f>_xll.BDP($D121,F$40)</f>
        <v>3.4000000000000002E-2</v>
      </c>
      <c r="G121">
        <f>_xll.BDP($D121,G$40)</f>
        <v>0.05</v>
      </c>
      <c r="H121" s="9" t="str">
        <f>_xll.BDP($D121,H$40)</f>
        <v>#N/A Field Not Applicable</v>
      </c>
      <c r="L121" s="9">
        <f t="shared" si="18"/>
        <v>0.05</v>
      </c>
    </row>
    <row r="122" spans="1:12" s="9" customFormat="1" x14ac:dyDescent="0.2">
      <c r="A122" s="9" t="s">
        <v>16</v>
      </c>
      <c r="B122" s="9" t="str">
        <f t="shared" ref="B122" si="22">LEFT(D122,FIND(" ",D122)-1)</f>
        <v>RMBL</v>
      </c>
      <c r="C122" s="16" t="s">
        <v>1067</v>
      </c>
      <c r="D122" s="9" t="s">
        <v>1068</v>
      </c>
      <c r="E122" s="9">
        <f>_xll.BDP($D122,E$40)</f>
        <v>0.191</v>
      </c>
      <c r="F122" s="9">
        <f>_xll.BDP($D122,F$40)</f>
        <v>0.1888</v>
      </c>
      <c r="G122" s="9">
        <f>_xll.BDP($D122,G$40)</f>
        <v>0.19</v>
      </c>
      <c r="H122" s="9" t="str">
        <f>_xll.BDP($D122,H$40)</f>
        <v>#N/A Field Not Applicable</v>
      </c>
      <c r="L122" s="9">
        <f t="shared" ref="L122" si="23">IF(A122="STOCK",E122,IF(A122="SOPTION",G122,IF(A122="LOPTION",F122,"")))</f>
        <v>0.191</v>
      </c>
    </row>
    <row r="123" spans="1:12" s="9" customFormat="1" x14ac:dyDescent="0.2">
      <c r="A123" s="9" t="s">
        <v>16</v>
      </c>
      <c r="B123" s="9" t="str">
        <f t="shared" ref="B123" si="24">LEFT(D123,FIND(" ",D123)-1)</f>
        <v>UMI</v>
      </c>
      <c r="C123" s="16" t="s">
        <v>1077</v>
      </c>
      <c r="D123" s="9" t="s">
        <v>1078</v>
      </c>
      <c r="E123" s="9">
        <f>_xll.BDP($D123,E$40)</f>
        <v>29.76</v>
      </c>
      <c r="F123" s="9">
        <f>_xll.BDP($D123,F$40)</f>
        <v>29.75</v>
      </c>
      <c r="G123" s="9">
        <f>_xll.BDP($D123,G$40)</f>
        <v>29.76</v>
      </c>
      <c r="H123" s="9" t="str">
        <f>_xll.BDP($D123,H$40)</f>
        <v>#N/A Field Not Applicable</v>
      </c>
      <c r="L123" s="9">
        <f t="shared" ref="L123" si="25">IF(A123="STOCK",E123,IF(A123="SOPTION",G123,IF(A123="LOPTION",F123,"")))</f>
        <v>29.76</v>
      </c>
    </row>
    <row r="124" spans="1:12" x14ac:dyDescent="0.2">
      <c r="A124" t="s">
        <v>16</v>
      </c>
      <c r="B124" t="str">
        <f t="shared" si="21"/>
        <v>CMLS</v>
      </c>
      <c r="C124" s="16" t="str">
        <f t="shared" ref="C124:C130" si="26">IF(A124="STOCK",B124,REPLACE(B124,FIND("+",B124),1,"."))</f>
        <v>CMLS</v>
      </c>
      <c r="D124" s="9" t="s">
        <v>129</v>
      </c>
      <c r="E124">
        <f>_xll.BDP($D124,E$40)</f>
        <v>5.95</v>
      </c>
      <c r="F124">
        <f>_xll.BDP($D124,F$40)</f>
        <v>5.87</v>
      </c>
      <c r="G124">
        <f>_xll.BDP($D124,G$40)</f>
        <v>5.93</v>
      </c>
      <c r="H124" s="9" t="str">
        <f>_xll.BDP($D124,H$40)</f>
        <v>#N/A Field Not Applicable</v>
      </c>
      <c r="L124" s="9">
        <f t="shared" si="18"/>
        <v>5.95</v>
      </c>
    </row>
    <row r="125" spans="1:12" x14ac:dyDescent="0.2">
      <c r="A125" t="s">
        <v>16</v>
      </c>
      <c r="B125" t="str">
        <f t="shared" si="21"/>
        <v>HUSA</v>
      </c>
      <c r="C125" s="16" t="str">
        <f t="shared" si="26"/>
        <v>HUSA</v>
      </c>
      <c r="D125" t="s">
        <v>410</v>
      </c>
      <c r="E125">
        <f>_xll.BDP($D125,E$40)</f>
        <v>0.10920000000000001</v>
      </c>
      <c r="F125">
        <f>_xll.BDP($D125,F$40)</f>
        <v>0.1079</v>
      </c>
      <c r="G125">
        <f>_xll.BDP($D125,G$40)</f>
        <v>0.10829999999999999</v>
      </c>
      <c r="H125" s="9" t="str">
        <f>_xll.BDP($D125,H$40)</f>
        <v>#N/A Field Not Applicable</v>
      </c>
      <c r="L125" s="9">
        <f t="shared" si="18"/>
        <v>0.10920000000000001</v>
      </c>
    </row>
    <row r="126" spans="1:12" x14ac:dyDescent="0.2">
      <c r="A126" t="s">
        <v>16</v>
      </c>
      <c r="B126" t="str">
        <f t="shared" si="21"/>
        <v>SCIL</v>
      </c>
      <c r="C126" s="16" t="str">
        <f t="shared" si="26"/>
        <v>SCIL</v>
      </c>
      <c r="D126" t="s">
        <v>325</v>
      </c>
      <c r="E126">
        <f>_xll.BDP($D126,E$40)</f>
        <v>0.1255</v>
      </c>
      <c r="F126">
        <f>_xll.BDP($D126,F$40)</f>
        <v>0.122</v>
      </c>
      <c r="G126">
        <f>_xll.BDP($D126,G$40)</f>
        <v>0.2</v>
      </c>
      <c r="H126" s="9" t="str">
        <f>_xll.BDP($D126,H$40)</f>
        <v>#N/A Field Not Applicable</v>
      </c>
      <c r="L126" s="9">
        <f t="shared" si="18"/>
        <v>0.1255</v>
      </c>
    </row>
    <row r="127" spans="1:12" x14ac:dyDescent="0.2">
      <c r="A127" t="s">
        <v>16</v>
      </c>
      <c r="B127" t="str">
        <f t="shared" si="21"/>
        <v>GIGA</v>
      </c>
      <c r="C127" s="16" t="str">
        <f t="shared" si="26"/>
        <v>GIGA</v>
      </c>
      <c r="D127" t="s">
        <v>197</v>
      </c>
      <c r="E127">
        <f>_xll.BDP($D127,E$40)</f>
        <v>2.65</v>
      </c>
      <c r="F127">
        <f>_xll.BDP($D127,F$40)</f>
        <v>2.6</v>
      </c>
      <c r="G127">
        <f>_xll.BDP($D127,G$40)</f>
        <v>3.25</v>
      </c>
      <c r="H127" s="9" t="str">
        <f>_xll.BDP($D127,H$40)</f>
        <v>#N/A Field Not Applicable</v>
      </c>
      <c r="L127" s="9">
        <f t="shared" si="18"/>
        <v>2.65</v>
      </c>
    </row>
    <row r="128" spans="1:12" x14ac:dyDescent="0.2">
      <c r="A128" t="s">
        <v>16</v>
      </c>
      <c r="B128" t="str">
        <f t="shared" si="21"/>
        <v>EGY</v>
      </c>
      <c r="C128" s="16" t="str">
        <f t="shared" si="26"/>
        <v>EGY</v>
      </c>
      <c r="D128" t="s">
        <v>167</v>
      </c>
      <c r="E128">
        <f>_xll.BDP($D128,E$40)</f>
        <v>1.04</v>
      </c>
      <c r="F128">
        <f>_xll.BDP($D128,F$40)</f>
        <v>1.03</v>
      </c>
      <c r="G128">
        <f>_xll.BDP($D128,G$40)</f>
        <v>1.04</v>
      </c>
      <c r="H128" s="9" t="str">
        <f>_xll.BDP($D128,H$40)</f>
        <v>#N/A Field Not Applicable</v>
      </c>
      <c r="L128" s="9">
        <f t="shared" si="18"/>
        <v>1.04</v>
      </c>
    </row>
    <row r="129" spans="1:12" x14ac:dyDescent="0.2">
      <c r="A129" t="s">
        <v>16</v>
      </c>
      <c r="B129" t="str">
        <f t="shared" si="21"/>
        <v>USB3MTA</v>
      </c>
      <c r="C129" s="16" t="str">
        <f t="shared" si="26"/>
        <v>USB3MTA</v>
      </c>
      <c r="D129" t="s">
        <v>366</v>
      </c>
      <c r="E129">
        <f>_xll.BDP($D129,E$40)</f>
        <v>0.28999999999999998</v>
      </c>
      <c r="F129">
        <f>_xll.BDP($D129,F$40)</f>
        <v>0.28999999999999998</v>
      </c>
      <c r="G129">
        <f>_xll.BDP($D129,G$40)</f>
        <v>0.28999999999999998</v>
      </c>
      <c r="H129" s="9" t="str">
        <f>_xll.BDP($D129,H$40)</f>
        <v>#N/A Field Not Applicable</v>
      </c>
      <c r="L129" s="9">
        <f t="shared" si="18"/>
        <v>0.28999999999999998</v>
      </c>
    </row>
    <row r="130" spans="1:12" x14ac:dyDescent="0.2">
      <c r="A130" t="s">
        <v>16</v>
      </c>
      <c r="B130" t="str">
        <f t="shared" si="21"/>
        <v>DRYS</v>
      </c>
      <c r="C130" s="16" t="str">
        <f t="shared" si="26"/>
        <v>DRYS</v>
      </c>
      <c r="D130" t="s">
        <v>400</v>
      </c>
      <c r="E130" t="str">
        <f>_xll.BDP($D130,E$40)</f>
        <v>#N/A N/A</v>
      </c>
      <c r="F130" t="str">
        <f>_xll.BDP($D130,F$40)</f>
        <v>#N/A N/A</v>
      </c>
      <c r="G130" t="str">
        <f>_xll.BDP($D130,G$40)</f>
        <v>#N/A N/A</v>
      </c>
      <c r="H130" s="9" t="str">
        <f>_xll.BDP($D130,H$40)</f>
        <v>#N/A Field Not Applicable</v>
      </c>
      <c r="L130" s="9" t="str">
        <f t="shared" si="18"/>
        <v>#N/A N/A</v>
      </c>
    </row>
    <row r="131" spans="1:12" x14ac:dyDescent="0.2">
      <c r="A131" t="s">
        <v>16</v>
      </c>
      <c r="B131" t="s">
        <v>260</v>
      </c>
      <c r="C131" s="16" t="s">
        <v>260</v>
      </c>
      <c r="D131" t="s">
        <v>261</v>
      </c>
      <c r="E131">
        <f>_xll.BDP($D131,E$40)</f>
        <v>1.28</v>
      </c>
      <c r="F131">
        <f>_xll.BDP($D131,F$40)</f>
        <v>1.2</v>
      </c>
      <c r="G131">
        <f>_xll.BDP($D131,G$40)</f>
        <v>1.26</v>
      </c>
      <c r="H131" s="9" t="str">
        <f>_xll.BDP($D131,H$40)</f>
        <v>#N/A Field Not Applicable</v>
      </c>
      <c r="L131" s="9">
        <f t="shared" si="18"/>
        <v>1.28</v>
      </c>
    </row>
    <row r="132" spans="1:12" x14ac:dyDescent="0.2">
      <c r="A132" t="s">
        <v>16</v>
      </c>
      <c r="B132" t="str">
        <f t="shared" ref="B132:B136" si="27">LEFT(D132,FIND(" ",D132)-1)</f>
        <v>NOG</v>
      </c>
      <c r="C132" s="16" t="str">
        <f t="shared" ref="C132:C136" si="28">IF(A132="STOCK",B132,REPLACE(B132,FIND("+",B132),1,"."))</f>
        <v>NOG</v>
      </c>
      <c r="D132" t="s">
        <v>389</v>
      </c>
      <c r="E132">
        <f>_xll.BDP($D132,E$40)</f>
        <v>0.79430000000000001</v>
      </c>
      <c r="F132">
        <f>_xll.BDP($D132,F$40)</f>
        <v>0.78420000000000001</v>
      </c>
      <c r="G132">
        <f>_xll.BDP($D132,G$40)</f>
        <v>0.79</v>
      </c>
      <c r="H132" s="9" t="str">
        <f>_xll.BDP($D132,H$40)</f>
        <v>#N/A Field Not Applicable</v>
      </c>
      <c r="L132" s="9">
        <f t="shared" si="18"/>
        <v>0.79430000000000001</v>
      </c>
    </row>
    <row r="133" spans="1:12" x14ac:dyDescent="0.2">
      <c r="A133" t="s">
        <v>16</v>
      </c>
      <c r="B133" t="str">
        <f t="shared" si="27"/>
        <v>DNR</v>
      </c>
      <c r="C133" s="16" t="str">
        <f t="shared" si="28"/>
        <v>DNR</v>
      </c>
      <c r="D133" t="s">
        <v>413</v>
      </c>
      <c r="E133">
        <f>_xll.BDP($D133,E$40)</f>
        <v>0.2949</v>
      </c>
      <c r="F133">
        <f>_xll.BDP($D133,F$40)</f>
        <v>0.29499999999999998</v>
      </c>
      <c r="G133">
        <f>_xll.BDP($D133,G$40)</f>
        <v>0.29509999999999997</v>
      </c>
      <c r="H133" s="9" t="str">
        <f>_xll.BDP($D133,H$40)</f>
        <v>#N/A Field Not Applicable</v>
      </c>
      <c r="L133" s="9">
        <f t="shared" si="18"/>
        <v>0.2949</v>
      </c>
    </row>
    <row r="134" spans="1:12" x14ac:dyDescent="0.2">
      <c r="A134" t="s">
        <v>16</v>
      </c>
      <c r="B134" t="str">
        <f t="shared" si="27"/>
        <v>EVRC</v>
      </c>
      <c r="C134" s="16" t="str">
        <f t="shared" si="28"/>
        <v>EVRC</v>
      </c>
      <c r="D134" t="s">
        <v>175</v>
      </c>
      <c r="E134">
        <f>_xll.BDP($D134,E$40)</f>
        <v>2.0499999999999998</v>
      </c>
      <c r="F134">
        <f>_xll.BDP($D134,F$40)</f>
        <v>2.0299999999999998</v>
      </c>
      <c r="G134">
        <f>_xll.BDP($D134,G$40)</f>
        <v>2.0499999999999998</v>
      </c>
      <c r="H134" s="9" t="str">
        <f>_xll.BDP($D134,H$40)</f>
        <v>#N/A Field Not Applicable</v>
      </c>
      <c r="L134" s="9">
        <f t="shared" si="18"/>
        <v>2.0499999999999998</v>
      </c>
    </row>
    <row r="135" spans="1:12" s="9" customFormat="1" x14ac:dyDescent="0.2">
      <c r="A135" s="9" t="s">
        <v>16</v>
      </c>
      <c r="B135" s="9" t="str">
        <f t="shared" ref="B135" si="29">LEFT(D135,FIND(" ",D135)-1)</f>
        <v>RLGY</v>
      </c>
      <c r="C135" s="16" t="str">
        <f t="shared" ref="C135" si="30">IF(A135="STOCK",B135,REPLACE(B135,FIND("+",B135),1,"."))</f>
        <v>RLGY</v>
      </c>
      <c r="D135" s="9" t="s">
        <v>1097</v>
      </c>
      <c r="E135" s="9">
        <f>_xll.BDP($D135,E$40)</f>
        <v>3.96</v>
      </c>
      <c r="F135" s="9">
        <f>_xll.BDP($D135,F$40)</f>
        <v>3.95</v>
      </c>
      <c r="G135" s="9">
        <f>_xll.BDP($D135,G$40)</f>
        <v>3.96</v>
      </c>
      <c r="H135" s="9" t="str">
        <f>_xll.BDP($D135,H$40)</f>
        <v>#N/A Field Not Applicable</v>
      </c>
      <c r="L135" s="9">
        <f t="shared" ref="L135" si="31">IF(A135="STOCK",E135,IF(A135="SOPTION",G135,IF(A135="LOPTION",F135,"")))</f>
        <v>3.96</v>
      </c>
    </row>
    <row r="136" spans="1:12" x14ac:dyDescent="0.2">
      <c r="A136" t="s">
        <v>16</v>
      </c>
      <c r="B136" t="str">
        <f t="shared" si="27"/>
        <v>AXAS</v>
      </c>
      <c r="C136" s="16" t="str">
        <f t="shared" si="28"/>
        <v>AXAS</v>
      </c>
      <c r="D136" t="s">
        <v>439</v>
      </c>
      <c r="E136">
        <f>_xll.BDP($D136,E$40)</f>
        <v>0.12089999999999999</v>
      </c>
      <c r="F136">
        <f>_xll.BDP($D136,F$40)</f>
        <v>0.115</v>
      </c>
      <c r="G136">
        <f>_xll.BDP($D136,G$40)</f>
        <v>0.11509999999999999</v>
      </c>
      <c r="H136" s="9" t="str">
        <f>_xll.BDP($D136,H$40)</f>
        <v>#N/A Field Not Applicable</v>
      </c>
      <c r="L136" s="9">
        <f t="shared" si="18"/>
        <v>0.12089999999999999</v>
      </c>
    </row>
    <row r="137" spans="1:12" x14ac:dyDescent="0.2">
      <c r="A137" t="s">
        <v>16</v>
      </c>
      <c r="B137" s="23" t="s">
        <v>724</v>
      </c>
      <c r="C137" s="17" t="s">
        <v>724</v>
      </c>
      <c r="D137" s="22" t="s">
        <v>725</v>
      </c>
      <c r="E137" s="21" t="str">
        <f>_xll.BDP($D137,E$40)</f>
        <v>#N/A N/A</v>
      </c>
      <c r="F137" t="str">
        <f>_xll.BDP($D137,F$40)</f>
        <v>#N/A N/A</v>
      </c>
      <c r="G137" t="str">
        <f>_xll.BDP($D137,G$40)</f>
        <v>#N/A N/A</v>
      </c>
      <c r="H137" s="9" t="str">
        <f>_xll.BDP($D137,H$40)</f>
        <v>#N/A Field Not Applicable</v>
      </c>
      <c r="L137" s="9" t="str">
        <f t="shared" si="18"/>
        <v>#N/A N/A</v>
      </c>
    </row>
    <row r="138" spans="1:12" x14ac:dyDescent="0.2">
      <c r="A138" t="s">
        <v>16</v>
      </c>
      <c r="B138" t="str">
        <f>LEFT(D138,FIND(" ",D138)-1)</f>
        <v>TWMC</v>
      </c>
      <c r="C138" s="16" t="str">
        <f>IF(A138="STOCK",B138,REPLACE(B138,FIND("+",B138),1,"."))</f>
        <v>TWMC</v>
      </c>
      <c r="D138" t="s">
        <v>357</v>
      </c>
      <c r="E138">
        <f>_xll.BDP($D138,E$40)</f>
        <v>2.5499999999999998</v>
      </c>
      <c r="F138">
        <f>_xll.BDP($D138,F$40)</f>
        <v>2.5499999999999998</v>
      </c>
      <c r="G138">
        <f>_xll.BDP($D138,G$40)</f>
        <v>2.73</v>
      </c>
      <c r="H138" s="9" t="str">
        <f>_xll.BDP($D138,H$40)</f>
        <v>#N/A Field Not Applicable</v>
      </c>
      <c r="L138" s="9">
        <f t="shared" si="18"/>
        <v>2.5499999999999998</v>
      </c>
    </row>
    <row r="139" spans="1:12" x14ac:dyDescent="0.2">
      <c r="A139" t="s">
        <v>16</v>
      </c>
      <c r="B139" s="23" t="s">
        <v>813</v>
      </c>
      <c r="C139" s="17" t="s">
        <v>813</v>
      </c>
      <c r="D139" s="22" t="s">
        <v>814</v>
      </c>
      <c r="E139" s="21">
        <f>_xll.BDP($D139,E$40)</f>
        <v>1.1599999999999999</v>
      </c>
      <c r="F139">
        <f>_xll.BDP($D139,F$40)</f>
        <v>1.1499999999999999</v>
      </c>
      <c r="G139">
        <f>_xll.BDP($D139,G$40)</f>
        <v>1.18</v>
      </c>
      <c r="H139" s="9" t="str">
        <f>_xll.BDP($D139,H$40)</f>
        <v>#N/A Field Not Applicable</v>
      </c>
      <c r="L139" s="9">
        <f t="shared" si="18"/>
        <v>1.1599999999999999</v>
      </c>
    </row>
    <row r="140" spans="1:12" x14ac:dyDescent="0.2">
      <c r="A140" t="s">
        <v>16</v>
      </c>
      <c r="B140" t="str">
        <f t="shared" ref="B140:B143" si="32">LEFT(D140,FIND(" ",D140)-1)</f>
        <v>DVD</v>
      </c>
      <c r="C140" s="16" t="str">
        <f t="shared" ref="C140:C143" si="33">IF(A140="STOCK",B140,REPLACE(B140,FIND("+",B140),1,"."))</f>
        <v>DVD</v>
      </c>
      <c r="D140" s="4" t="s">
        <v>162</v>
      </c>
      <c r="E140">
        <f>_xll.BDP($D140,E$40)</f>
        <v>1.35</v>
      </c>
      <c r="F140">
        <f>_xll.BDP($D140,F$40)</f>
        <v>1.32</v>
      </c>
      <c r="G140">
        <f>_xll.BDP($D140,G$40)</f>
        <v>1.37</v>
      </c>
      <c r="H140" s="9" t="str">
        <f>_xll.BDP($D140,H$40)</f>
        <v>#N/A Field Not Applicable</v>
      </c>
      <c r="L140" s="9">
        <f t="shared" si="18"/>
        <v>1.35</v>
      </c>
    </row>
    <row r="141" spans="1:12" x14ac:dyDescent="0.2">
      <c r="A141" t="s">
        <v>16</v>
      </c>
      <c r="B141" t="str">
        <f t="shared" si="32"/>
        <v>DVD</v>
      </c>
      <c r="C141" s="16" t="str">
        <f t="shared" si="33"/>
        <v>DVD</v>
      </c>
      <c r="D141" t="s">
        <v>162</v>
      </c>
      <c r="E141">
        <f>_xll.BDP($D141,E$40)</f>
        <v>1.35</v>
      </c>
      <c r="F141">
        <f>_xll.BDP($D141,F$40)</f>
        <v>1.32</v>
      </c>
      <c r="G141">
        <f>_xll.BDP($D141,G$40)</f>
        <v>1.37</v>
      </c>
      <c r="H141" s="9" t="str">
        <f>_xll.BDP($D141,H$40)</f>
        <v>#N/A Field Not Applicable</v>
      </c>
      <c r="L141" s="9">
        <f t="shared" si="18"/>
        <v>1.35</v>
      </c>
    </row>
    <row r="142" spans="1:12" x14ac:dyDescent="0.2">
      <c r="A142" t="s">
        <v>16</v>
      </c>
      <c r="B142" t="str">
        <f t="shared" si="32"/>
        <v>LTRX</v>
      </c>
      <c r="C142" s="16" t="str">
        <f t="shared" si="33"/>
        <v>LTRX</v>
      </c>
      <c r="D142" t="s">
        <v>246</v>
      </c>
      <c r="E142">
        <f>_xll.BDP($D142,E$40)</f>
        <v>1.77</v>
      </c>
      <c r="F142">
        <f>_xll.BDP($D142,F$40)</f>
        <v>1.76</v>
      </c>
      <c r="G142">
        <f>_xll.BDP($D142,G$40)</f>
        <v>1.77</v>
      </c>
      <c r="H142" s="9" t="str">
        <f>_xll.BDP($D142,H$40)</f>
        <v>#N/A Field Not Applicable</v>
      </c>
      <c r="L142" s="9">
        <f t="shared" si="18"/>
        <v>1.77</v>
      </c>
    </row>
    <row r="143" spans="1:12" s="9" customFormat="1" x14ac:dyDescent="0.2">
      <c r="A143" s="9" t="s">
        <v>16</v>
      </c>
      <c r="B143" s="9" t="str">
        <f t="shared" si="32"/>
        <v>UMC</v>
      </c>
      <c r="C143" s="16" t="str">
        <f t="shared" si="33"/>
        <v>UMC</v>
      </c>
      <c r="D143" s="9" t="s">
        <v>360</v>
      </c>
      <c r="E143" s="9">
        <f>_xll.BDP($D143,E$40)</f>
        <v>2.2400000000000002</v>
      </c>
      <c r="F143" s="9">
        <f>_xll.BDP($D143,F$40)</f>
        <v>2.2400000000000002</v>
      </c>
      <c r="G143" s="9">
        <f>_xll.BDP($D143,G$40)</f>
        <v>2.25</v>
      </c>
      <c r="H143" s="9" t="str">
        <f>_xll.BDP($D143,H$40)</f>
        <v>#N/A Field Not Applicable</v>
      </c>
      <c r="L143" s="9">
        <f t="shared" si="18"/>
        <v>2.2400000000000002</v>
      </c>
    </row>
    <row r="144" spans="1:12" s="9" customFormat="1" x14ac:dyDescent="0.2">
      <c r="A144" s="9" t="s">
        <v>16</v>
      </c>
      <c r="B144" s="9" t="s">
        <v>651</v>
      </c>
      <c r="C144" s="16" t="s">
        <v>651</v>
      </c>
      <c r="D144" s="9" t="s">
        <v>652</v>
      </c>
      <c r="E144" s="9">
        <f>_xll.BDP($D144,E$40)</f>
        <v>13.12</v>
      </c>
      <c r="F144" s="9">
        <f>_xll.BDP($D144,F$40)</f>
        <v>13.11</v>
      </c>
      <c r="G144" s="9">
        <f>_xll.BDP($D144,G$40)</f>
        <v>13.12</v>
      </c>
      <c r="H144" s="9" t="str">
        <f>_xll.BDP($D144,H$40)</f>
        <v>#N/A Field Not Applicable</v>
      </c>
      <c r="L144" s="9">
        <f t="shared" si="18"/>
        <v>13.12</v>
      </c>
    </row>
    <row r="145" spans="1:12" x14ac:dyDescent="0.2">
      <c r="A145" s="5" t="s">
        <v>16</v>
      </c>
      <c r="B145" t="str">
        <f>LEFT(D145,FIND(" ",D145)-1)</f>
        <v>USGG10YR</v>
      </c>
      <c r="C145" s="16" t="str">
        <f>IF(A145="STOCK",B145,REPLACE(B145,FIND("+",B145),1,"."))</f>
        <v>USGG10YR</v>
      </c>
      <c r="D145" t="s">
        <v>367</v>
      </c>
      <c r="E145">
        <f>_xll.BDP($D145,E$40)</f>
        <v>0.72919999999999996</v>
      </c>
      <c r="F145">
        <f>_xll.BDP($D145,F$40)</f>
        <v>0.73550000000000004</v>
      </c>
      <c r="G145">
        <f>_xll.BDP($D145,G$40)</f>
        <v>0.72919999999999996</v>
      </c>
      <c r="H145" s="9" t="str">
        <f>_xll.BDP($D145,H$40)</f>
        <v>#N/A Field Not Applicable</v>
      </c>
      <c r="L145" s="9">
        <f t="shared" si="18"/>
        <v>0.72919999999999996</v>
      </c>
    </row>
    <row r="146" spans="1:12" x14ac:dyDescent="0.2">
      <c r="A146" t="s">
        <v>16</v>
      </c>
      <c r="B146" t="s">
        <v>756</v>
      </c>
      <c r="C146" s="16" t="str">
        <f>IF(A146="STOCK",B146,REPLACE(B146,FIND("+",B146),1,"."))</f>
        <v>CSBR</v>
      </c>
      <c r="D146" t="s">
        <v>757</v>
      </c>
      <c r="E146">
        <f>_xll.BDP($D146,E$40)</f>
        <v>4.9000000000000004</v>
      </c>
      <c r="F146">
        <f>_xll.BDP($D146,F$40)</f>
        <v>4.9000000000000004</v>
      </c>
      <c r="G146">
        <f>_xll.BDP($D146,G$40)</f>
        <v>4.91</v>
      </c>
      <c r="H146" s="9" t="str">
        <f>_xll.BDP($D146,H$40)</f>
        <v>#N/A Field Not Applicable</v>
      </c>
      <c r="L146" s="9">
        <f t="shared" ref="L146:L204" si="34">IF(A146="STOCK",E146,IF(A146="SOPTION",G146,IF(A146="LOPTION",F146,"")))</f>
        <v>4.9000000000000004</v>
      </c>
    </row>
    <row r="147" spans="1:12" x14ac:dyDescent="0.2">
      <c r="A147" t="s">
        <v>16</v>
      </c>
      <c r="B147" t="str">
        <f>LEFT(D147,FIND(" ",D147)-1)</f>
        <v>FLL</v>
      </c>
      <c r="C147" s="16" t="str">
        <f>IF(A147="STOCK",B147,REPLACE(B147,FIND("+",B147),1,"."))</f>
        <v>FLL</v>
      </c>
      <c r="D147" t="s">
        <v>186</v>
      </c>
      <c r="E147">
        <f>_xll.BDP($D147,E$40)</f>
        <v>0.8</v>
      </c>
      <c r="F147">
        <f>_xll.BDP($D147,F$40)</f>
        <v>0.75990000000000002</v>
      </c>
      <c r="G147">
        <f>_xll.BDP($D147,G$40)</f>
        <v>0.79010000000000002</v>
      </c>
      <c r="H147" s="9" t="str">
        <f>_xll.BDP($D147,H$40)</f>
        <v>#N/A Field Not Applicable</v>
      </c>
      <c r="L147" s="9">
        <f t="shared" si="34"/>
        <v>0.8</v>
      </c>
    </row>
    <row r="148" spans="1:12" x14ac:dyDescent="0.2">
      <c r="A148" t="s">
        <v>16</v>
      </c>
      <c r="B148" t="str">
        <f>LEFT(D148,FIND(" ",D148)-1)</f>
        <v>TOO</v>
      </c>
      <c r="C148" s="16" t="str">
        <f>IF(A148="STOCK",B148,REPLACE(B148,FIND("+",B148),1,"."))</f>
        <v>TOO</v>
      </c>
      <c r="D148" t="s">
        <v>350</v>
      </c>
      <c r="E148" t="str">
        <f>_xll.BDP($D148,E$40)</f>
        <v>#N/A N/A</v>
      </c>
      <c r="F148" t="str">
        <f>_xll.BDP($D148,F$40)</f>
        <v>#N/A N/A</v>
      </c>
      <c r="G148" t="str">
        <f>_xll.BDP($D148,G$40)</f>
        <v>#N/A N/A</v>
      </c>
      <c r="H148" s="9" t="str">
        <f>_xll.BDP($D148,H$40)</f>
        <v>#N/A Field Not Applicable</v>
      </c>
      <c r="L148" s="9" t="str">
        <f t="shared" si="34"/>
        <v>#N/A N/A</v>
      </c>
    </row>
    <row r="149" spans="1:12" x14ac:dyDescent="0.2">
      <c r="A149" t="s">
        <v>16</v>
      </c>
      <c r="B149" t="s">
        <v>560</v>
      </c>
      <c r="C149" s="16" t="s">
        <v>560</v>
      </c>
      <c r="D149" t="s">
        <v>561</v>
      </c>
      <c r="E149" t="str">
        <f>_xll.BDP($D149,E$40)</f>
        <v>#N/A N/A</v>
      </c>
      <c r="F149" t="str">
        <f>_xll.BDP($D149,F$40)</f>
        <v>#N/A N/A</v>
      </c>
      <c r="G149" t="str">
        <f>_xll.BDP($D149,G$40)</f>
        <v>#N/A N/A</v>
      </c>
      <c r="H149" s="9" t="str">
        <f>_xll.BDP($D149,H$40)</f>
        <v>#N/A Field Not Applicable</v>
      </c>
      <c r="L149" s="9" t="str">
        <f t="shared" si="34"/>
        <v>#N/A N/A</v>
      </c>
    </row>
    <row r="150" spans="1:12" x14ac:dyDescent="0.2">
      <c r="A150" t="s">
        <v>16</v>
      </c>
      <c r="B150" t="str">
        <f>LEFT(D150,FIND(" ",D150)-1)</f>
        <v>MCHX</v>
      </c>
      <c r="C150" s="16" t="str">
        <f>IF(A150="STOCK",B150,REPLACE(B150,FIND("+",B150),1,"."))</f>
        <v>MCHX</v>
      </c>
      <c r="D150" t="s">
        <v>251</v>
      </c>
      <c r="E150">
        <f>_xll.BDP($D150,E$40)</f>
        <v>1.66</v>
      </c>
      <c r="F150">
        <f>_xll.BDP($D150,F$40)</f>
        <v>1.65</v>
      </c>
      <c r="G150">
        <f>_xll.BDP($D150,G$40)</f>
        <v>1.66</v>
      </c>
      <c r="H150" s="9" t="str">
        <f>_xll.BDP($D150,H$40)</f>
        <v>#N/A Field Not Applicable</v>
      </c>
      <c r="L150" s="9">
        <f t="shared" si="34"/>
        <v>1.66</v>
      </c>
    </row>
    <row r="151" spans="1:12" x14ac:dyDescent="0.2">
      <c r="A151" t="s">
        <v>16</v>
      </c>
      <c r="B151" t="str">
        <f t="shared" ref="B151:B157" si="35">LEFT(D151,FIND(" ",D151)-1)</f>
        <v>USGG30YR</v>
      </c>
      <c r="C151" s="16" t="str">
        <f t="shared" ref="C151:C157" si="36">IF(A151="STOCK",B151,REPLACE(B151,FIND("+",B151),1,"."))</f>
        <v>USGG30YR</v>
      </c>
      <c r="D151" s="7" t="s">
        <v>368</v>
      </c>
      <c r="E151">
        <f>_xll.BDP($D151,E$40)</f>
        <v>1.3239000000000001</v>
      </c>
      <c r="F151">
        <f>_xll.BDP($D151,F$40)</f>
        <v>1.3331</v>
      </c>
      <c r="G151">
        <f>_xll.BDP($D151,G$40)</f>
        <v>1.3239000000000001</v>
      </c>
      <c r="H151" s="9" t="str">
        <f>_xll.BDP($D151,H$40)</f>
        <v>#N/A Field Not Applicable</v>
      </c>
      <c r="L151" s="9">
        <f t="shared" si="34"/>
        <v>1.3239000000000001</v>
      </c>
    </row>
    <row r="152" spans="1:12" x14ac:dyDescent="0.2">
      <c r="A152" t="s">
        <v>16</v>
      </c>
      <c r="B152" t="str">
        <f t="shared" si="35"/>
        <v>ent</v>
      </c>
      <c r="C152" s="16" t="str">
        <f t="shared" si="36"/>
        <v>ent</v>
      </c>
      <c r="D152" t="s">
        <v>540</v>
      </c>
      <c r="E152">
        <f>_xll.BDP($D152,E$40)</f>
        <v>7.3599999999999999E-2</v>
      </c>
      <c r="F152">
        <f>_xll.BDP($D152,F$40)</f>
        <v>7.3599999999999999E-2</v>
      </c>
      <c r="G152">
        <f>_xll.BDP($D152,G$40)</f>
        <v>0.1037</v>
      </c>
      <c r="H152" s="9" t="str">
        <f>_xll.BDP($D152,H$40)</f>
        <v>#N/A Field Not Applicable</v>
      </c>
      <c r="L152" s="9">
        <f t="shared" si="34"/>
        <v>7.3599999999999999E-2</v>
      </c>
    </row>
    <row r="153" spans="1:12" x14ac:dyDescent="0.2">
      <c r="A153" t="s">
        <v>16</v>
      </c>
      <c r="B153" t="str">
        <f t="shared" si="35"/>
        <v>GASS</v>
      </c>
      <c r="C153" s="16" t="str">
        <f t="shared" si="36"/>
        <v>GASS</v>
      </c>
      <c r="D153" t="s">
        <v>193</v>
      </c>
      <c r="E153">
        <f>_xll.BDP($D153,E$40)</f>
        <v>2.02</v>
      </c>
      <c r="F153">
        <f>_xll.BDP($D153,F$40)</f>
        <v>2</v>
      </c>
      <c r="G153">
        <f>_xll.BDP($D153,G$40)</f>
        <v>2.02</v>
      </c>
      <c r="H153" s="9" t="str">
        <f>_xll.BDP($D153,H$40)</f>
        <v>#N/A Field Not Applicable</v>
      </c>
      <c r="L153" s="9">
        <f t="shared" si="34"/>
        <v>2.02</v>
      </c>
    </row>
    <row r="154" spans="1:12" x14ac:dyDescent="0.2">
      <c r="A154" t="s">
        <v>16</v>
      </c>
      <c r="B154" t="str">
        <f t="shared" si="35"/>
        <v>PACB</v>
      </c>
      <c r="C154" s="16" t="str">
        <f t="shared" si="36"/>
        <v>PACB</v>
      </c>
      <c r="D154" t="s">
        <v>429</v>
      </c>
      <c r="E154">
        <f>_xll.BDP($D154,E$40)</f>
        <v>2.4500000000000002</v>
      </c>
      <c r="F154">
        <f>_xll.BDP($D154,F$40)</f>
        <v>2.44</v>
      </c>
      <c r="G154">
        <f>_xll.BDP($D154,G$40)</f>
        <v>2.4500000000000002</v>
      </c>
      <c r="H154" s="9" t="str">
        <f>_xll.BDP($D154,H$40)</f>
        <v>#N/A Field Not Applicable</v>
      </c>
      <c r="L154" s="9">
        <f t="shared" si="34"/>
        <v>2.4500000000000002</v>
      </c>
    </row>
    <row r="155" spans="1:12" x14ac:dyDescent="0.2">
      <c r="A155" t="s">
        <v>16</v>
      </c>
      <c r="B155" t="str">
        <f t="shared" si="35"/>
        <v>AMSC</v>
      </c>
      <c r="C155" s="16" t="str">
        <f t="shared" si="36"/>
        <v>AMSC</v>
      </c>
      <c r="D155" t="s">
        <v>414</v>
      </c>
      <c r="E155">
        <f>_xll.BDP($D155,E$40)</f>
        <v>4.96</v>
      </c>
      <c r="F155">
        <f>_xll.BDP($D155,F$40)</f>
        <v>4.9400000000000004</v>
      </c>
      <c r="G155">
        <f>_xll.BDP($D155,G$40)</f>
        <v>4.95</v>
      </c>
      <c r="H155" s="9" t="str">
        <f>_xll.BDP($D155,H$40)</f>
        <v>#N/A Field Not Applicable</v>
      </c>
      <c r="L155" s="9">
        <f t="shared" si="34"/>
        <v>4.96</v>
      </c>
    </row>
    <row r="156" spans="1:12" x14ac:dyDescent="0.2">
      <c r="A156" t="s">
        <v>16</v>
      </c>
      <c r="B156" t="str">
        <f t="shared" si="35"/>
        <v>JAKK</v>
      </c>
      <c r="C156" s="16" t="str">
        <f t="shared" si="36"/>
        <v>JAKK</v>
      </c>
      <c r="D156" t="s">
        <v>228</v>
      </c>
      <c r="E156">
        <f>_xll.BDP($D156,E$40)</f>
        <v>0.32</v>
      </c>
      <c r="F156">
        <f>_xll.BDP($D156,F$40)</f>
        <v>0.32</v>
      </c>
      <c r="G156">
        <f>_xll.BDP($D156,G$40)</f>
        <v>0.34</v>
      </c>
      <c r="H156" s="9" t="str">
        <f>_xll.BDP($D156,H$40)</f>
        <v>#N/A Field Not Applicable</v>
      </c>
      <c r="L156" s="9">
        <f t="shared" si="34"/>
        <v>0.32</v>
      </c>
    </row>
    <row r="157" spans="1:12" x14ac:dyDescent="0.2">
      <c r="A157" t="s">
        <v>16</v>
      </c>
      <c r="B157" t="str">
        <f t="shared" si="35"/>
        <v>ZNGA</v>
      </c>
      <c r="C157" s="16" t="str">
        <f t="shared" si="36"/>
        <v>ZNGA</v>
      </c>
      <c r="D157" t="s">
        <v>519</v>
      </c>
      <c r="E157">
        <f>_xll.BDP($D157,E$40)</f>
        <v>5.87</v>
      </c>
      <c r="F157">
        <f>_xll.BDP($D157,F$40)</f>
        <v>5.87</v>
      </c>
      <c r="G157">
        <f>_xll.BDP($D157,G$40)</f>
        <v>5.88</v>
      </c>
      <c r="H157" s="9" t="str">
        <f>_xll.BDP($D157,H$40)</f>
        <v>#N/A Field Not Applicable</v>
      </c>
      <c r="L157" s="9">
        <f t="shared" si="34"/>
        <v>5.87</v>
      </c>
    </row>
    <row r="158" spans="1:12" x14ac:dyDescent="0.2">
      <c r="A158" t="s">
        <v>16</v>
      </c>
      <c r="B158" s="23" t="s">
        <v>900</v>
      </c>
      <c r="C158" s="17" t="s">
        <v>900</v>
      </c>
      <c r="D158" s="22" t="s">
        <v>519</v>
      </c>
      <c r="E158" s="21">
        <f>_xll.BDP($D158,E$40)</f>
        <v>5.87</v>
      </c>
      <c r="F158">
        <f>_xll.BDP($D158,F$40)</f>
        <v>5.87</v>
      </c>
      <c r="G158">
        <f>_xll.BDP($D158,G$40)</f>
        <v>5.88</v>
      </c>
      <c r="H158" s="9" t="str">
        <f>_xll.BDP($D158,H$40)</f>
        <v>#N/A Field Not Applicable</v>
      </c>
      <c r="L158" s="9">
        <f t="shared" si="34"/>
        <v>5.87</v>
      </c>
    </row>
    <row r="159" spans="1:12" x14ac:dyDescent="0.2">
      <c r="A159" t="s">
        <v>16</v>
      </c>
      <c r="B159" t="s">
        <v>611</v>
      </c>
      <c r="C159" s="16" t="s">
        <v>611</v>
      </c>
      <c r="D159" t="s">
        <v>612</v>
      </c>
      <c r="E159">
        <f>_xll.BDP($D159,E$40)</f>
        <v>0.68</v>
      </c>
      <c r="F159">
        <f>_xll.BDP($D159,F$40)</f>
        <v>0.68</v>
      </c>
      <c r="G159">
        <f>_xll.BDP($D159,G$40)</f>
        <v>0.68010000000000004</v>
      </c>
      <c r="H159" s="9" t="str">
        <f>_xll.BDP($D159,H$40)</f>
        <v>#N/A Field Not Applicable</v>
      </c>
      <c r="L159" s="9">
        <f t="shared" si="34"/>
        <v>0.68</v>
      </c>
    </row>
    <row r="160" spans="1:12" s="9" customFormat="1" x14ac:dyDescent="0.2">
      <c r="A160" s="9" t="s">
        <v>16</v>
      </c>
      <c r="B160" s="9" t="str">
        <f>LEFT(D160,FIND(" ",D160)-1)</f>
        <v>DSX</v>
      </c>
      <c r="C160" s="16" t="str">
        <f>IF(A160="STOCK",B160,REPLACE(B160,FIND("+",B160),1,"."))</f>
        <v>DSX</v>
      </c>
      <c r="D160" s="9" t="s">
        <v>482</v>
      </c>
      <c r="E160" s="9">
        <f>_xll.BDP($D160,E$40)</f>
        <v>1.59</v>
      </c>
      <c r="F160" s="9">
        <f>_xll.BDP($D160,F$40)</f>
        <v>1.58</v>
      </c>
      <c r="G160" s="9">
        <f>_xll.BDP($D160,G$40)</f>
        <v>1.59</v>
      </c>
      <c r="H160" s="9" t="str">
        <f>_xll.BDP($D160,H$40)</f>
        <v>#N/A Field Not Applicable</v>
      </c>
      <c r="L160" s="9">
        <f t="shared" si="34"/>
        <v>1.59</v>
      </c>
    </row>
    <row r="161" spans="1:12" x14ac:dyDescent="0.2">
      <c r="A161" t="s">
        <v>16</v>
      </c>
      <c r="B161" t="str">
        <f>LEFT(D161,FIND(" ",D161)-1)</f>
        <v>RNWK</v>
      </c>
      <c r="C161" s="16" t="str">
        <f>IF(A161="STOCK",B161,REPLACE(B161,FIND("+",B161),1,"."))</f>
        <v>RNWK</v>
      </c>
      <c r="D161" t="s">
        <v>479</v>
      </c>
      <c r="E161">
        <f>_xll.BDP($D161,E$40)</f>
        <v>0.53</v>
      </c>
      <c r="F161">
        <f>_xll.BDP($D161,F$40)</f>
        <v>0.53480000000000005</v>
      </c>
      <c r="G161">
        <f>_xll.BDP($D161,G$40)</f>
        <v>0.61</v>
      </c>
      <c r="H161" s="9" t="str">
        <f>_xll.BDP($D161,H$40)</f>
        <v>#N/A Field Not Applicable</v>
      </c>
      <c r="L161" s="9">
        <f t="shared" si="34"/>
        <v>0.53</v>
      </c>
    </row>
    <row r="162" spans="1:12" x14ac:dyDescent="0.2">
      <c r="A162" t="s">
        <v>16</v>
      </c>
      <c r="B162" s="23" t="s">
        <v>844</v>
      </c>
      <c r="C162" s="17" t="s">
        <v>844</v>
      </c>
      <c r="D162" s="22" t="s">
        <v>845</v>
      </c>
      <c r="E162" s="21">
        <f>_xll.BDP($D162,E$40)</f>
        <v>4.88</v>
      </c>
      <c r="F162">
        <f>_xll.BDP($D162,F$40)</f>
        <v>4.87</v>
      </c>
      <c r="G162">
        <f>_xll.BDP($D162,G$40)</f>
        <v>4.88</v>
      </c>
      <c r="H162" s="9" t="str">
        <f>_xll.BDP($D162,H$40)</f>
        <v>#N/A Field Not Applicable</v>
      </c>
      <c r="L162" s="9">
        <f t="shared" si="34"/>
        <v>4.88</v>
      </c>
    </row>
    <row r="163" spans="1:12" x14ac:dyDescent="0.2">
      <c r="A163" t="s">
        <v>16</v>
      </c>
      <c r="B163" t="str">
        <f>LEFT(D163,FIND(" ",D163)-1)</f>
        <v>AWRE</v>
      </c>
      <c r="C163" s="16" t="str">
        <f>IF(A163="STOCK",B163,REPLACE(B163,FIND("+",B163),1,"."))</f>
        <v>AWRE</v>
      </c>
      <c r="D163" t="s">
        <v>83</v>
      </c>
      <c r="E163">
        <f>_xll.BDP($D163,E$40)</f>
        <v>2.585</v>
      </c>
      <c r="F163">
        <f>_xll.BDP($D163,F$40)</f>
        <v>2.6</v>
      </c>
      <c r="G163">
        <f>_xll.BDP($D163,G$40)</f>
        <v>2.91</v>
      </c>
      <c r="H163" s="9" t="str">
        <f>_xll.BDP($D163,H$40)</f>
        <v>#N/A Field Not Applicable</v>
      </c>
      <c r="L163" s="9">
        <f t="shared" si="34"/>
        <v>2.585</v>
      </c>
    </row>
    <row r="164" spans="1:12" x14ac:dyDescent="0.2">
      <c r="A164" t="s">
        <v>16</v>
      </c>
      <c r="B164" s="23" t="s">
        <v>929</v>
      </c>
      <c r="C164" s="17" t="s">
        <v>929</v>
      </c>
      <c r="D164" s="22" t="s">
        <v>930</v>
      </c>
      <c r="E164" s="21">
        <f>_xll.BDP($D164,E$40)</f>
        <v>9.41</v>
      </c>
      <c r="F164">
        <f>_xll.BDP($D164,F$40)</f>
        <v>9.4</v>
      </c>
      <c r="G164">
        <f>_xll.BDP($D164,G$40)</f>
        <v>9.41</v>
      </c>
      <c r="H164" s="9" t="str">
        <f>_xll.BDP($D164,H$40)</f>
        <v>#N/A Field Not Applicable</v>
      </c>
      <c r="L164" s="9">
        <f t="shared" si="34"/>
        <v>9.41</v>
      </c>
    </row>
    <row r="165" spans="1:12" x14ac:dyDescent="0.2">
      <c r="A165" t="s">
        <v>16</v>
      </c>
      <c r="B165" t="str">
        <f>LEFT(D165,FIND(" ",D165)-1)</f>
        <v>PIR</v>
      </c>
      <c r="C165" s="16" t="str">
        <f>IF(A165="STOCK",B165,REPLACE(B165,FIND("+",B165),1,"."))</f>
        <v>PIR</v>
      </c>
      <c r="D165" t="s">
        <v>296</v>
      </c>
      <c r="E165" t="str">
        <f>_xll.BDP($D165,E$40)</f>
        <v>#N/A N/A</v>
      </c>
      <c r="F165" t="str">
        <f>_xll.BDP($D165,F$40)</f>
        <v>#N/A N/A</v>
      </c>
      <c r="G165" t="str">
        <f>_xll.BDP($D165,G$40)</f>
        <v>#N/A N/A</v>
      </c>
      <c r="H165" s="9" t="str">
        <f>_xll.BDP($D165,H$40)</f>
        <v>#N/A Field Not Applicable</v>
      </c>
      <c r="L165" s="9" t="str">
        <f t="shared" si="34"/>
        <v>#N/A N/A</v>
      </c>
    </row>
    <row r="166" spans="1:12" x14ac:dyDescent="0.2">
      <c r="A166" t="s">
        <v>16</v>
      </c>
      <c r="B166" s="23" t="s">
        <v>831</v>
      </c>
      <c r="C166" s="17" t="s">
        <v>831</v>
      </c>
      <c r="D166" s="22" t="s">
        <v>296</v>
      </c>
      <c r="E166" s="21" t="str">
        <f>_xll.BDP($D166,E$40)</f>
        <v>#N/A N/A</v>
      </c>
      <c r="F166" t="str">
        <f>_xll.BDP($D166,F$40)</f>
        <v>#N/A N/A</v>
      </c>
      <c r="G166" t="str">
        <f>_xll.BDP($D166,G$40)</f>
        <v>#N/A N/A</v>
      </c>
      <c r="H166" s="9" t="str">
        <f>_xll.BDP($D166,H$40)</f>
        <v>#N/A Field Not Applicable</v>
      </c>
      <c r="L166" s="9" t="str">
        <f t="shared" si="34"/>
        <v>#N/A N/A</v>
      </c>
    </row>
    <row r="167" spans="1:12" x14ac:dyDescent="0.2">
      <c r="A167" t="s">
        <v>16</v>
      </c>
      <c r="B167" t="str">
        <f>LEFT(D167,FIND(" ",D167)-1)</f>
        <v>ALLT</v>
      </c>
      <c r="C167" s="16" t="str">
        <f>IF(A167="STOCK",B167,REPLACE(B167,FIND("+",B167),1,"."))</f>
        <v>ALLT</v>
      </c>
      <c r="D167" t="s">
        <v>61</v>
      </c>
      <c r="E167">
        <f>_xll.BDP($D167,E$40)</f>
        <v>7.72</v>
      </c>
      <c r="F167">
        <f>_xll.BDP($D167,F$40)</f>
        <v>7.7</v>
      </c>
      <c r="G167">
        <f>_xll.BDP($D167,G$40)</f>
        <v>7.72</v>
      </c>
      <c r="H167" s="9" t="str">
        <f>_xll.BDP($D167,H$40)</f>
        <v>#N/A Field Not Applicable</v>
      </c>
      <c r="L167" s="9">
        <f t="shared" si="34"/>
        <v>7.72</v>
      </c>
    </row>
    <row r="168" spans="1:12" x14ac:dyDescent="0.2">
      <c r="A168" t="s">
        <v>16</v>
      </c>
      <c r="B168" t="s">
        <v>465</v>
      </c>
      <c r="C168" s="16" t="s">
        <v>465</v>
      </c>
      <c r="D168" t="s">
        <v>464</v>
      </c>
      <c r="E168">
        <f>_xll.BDP($D168,E$40)</f>
        <v>1.37</v>
      </c>
      <c r="F168">
        <f>_xll.BDP($D168,F$40)</f>
        <v>1.32</v>
      </c>
      <c r="G168">
        <f>_xll.BDP($D168,G$40)</f>
        <v>1.4</v>
      </c>
      <c r="H168" s="9" t="str">
        <f>_xll.BDP($D168,H$40)</f>
        <v>#N/A Field Not Applicable</v>
      </c>
      <c r="L168" s="9">
        <f t="shared" si="34"/>
        <v>1.37</v>
      </c>
    </row>
    <row r="169" spans="1:12" x14ac:dyDescent="0.2">
      <c r="A169" t="s">
        <v>16</v>
      </c>
      <c r="B169" s="23" t="s">
        <v>465</v>
      </c>
      <c r="C169" s="17" t="s">
        <v>465</v>
      </c>
      <c r="D169" s="22" t="s">
        <v>464</v>
      </c>
      <c r="E169" s="21">
        <f>_xll.BDP($D169,E$40)</f>
        <v>1.37</v>
      </c>
      <c r="F169">
        <f>_xll.BDP($D169,F$40)</f>
        <v>1.32</v>
      </c>
      <c r="G169">
        <f>_xll.BDP($D169,G$40)</f>
        <v>1.4</v>
      </c>
      <c r="H169" s="9" t="str">
        <f>_xll.BDP($D169,H$40)</f>
        <v>#N/A Field Not Applicable</v>
      </c>
      <c r="L169" s="9">
        <f t="shared" si="34"/>
        <v>1.37</v>
      </c>
    </row>
    <row r="170" spans="1:12" x14ac:dyDescent="0.2">
      <c r="A170" t="s">
        <v>16</v>
      </c>
      <c r="B170" t="str">
        <f t="shared" ref="B170:B181" si="37">LEFT(D170,FIND(" ",D170)-1)</f>
        <v>CHK</v>
      </c>
      <c r="C170" s="16" t="str">
        <f t="shared" ref="C170:C181" si="38">IF(A170="STOCK",B170,REPLACE(B170,FIND("+",B170),1,"."))</f>
        <v>CHK</v>
      </c>
      <c r="D170" t="s">
        <v>120</v>
      </c>
      <c r="E170">
        <f>_xll.BDP($D170,E$40)</f>
        <v>0.20169999999999999</v>
      </c>
      <c r="F170">
        <f>_xll.BDP($D170,F$40)</f>
        <v>0.2016</v>
      </c>
      <c r="G170">
        <f>_xll.BDP($D170,G$40)</f>
        <v>0.20169999999999999</v>
      </c>
      <c r="H170" s="9" t="str">
        <f>_xll.BDP($D170,H$40)</f>
        <v>#N/A Field Not Applicable</v>
      </c>
      <c r="L170" s="9">
        <f t="shared" si="34"/>
        <v>0.20169999999999999</v>
      </c>
    </row>
    <row r="171" spans="1:12" x14ac:dyDescent="0.2">
      <c r="A171" t="s">
        <v>16</v>
      </c>
      <c r="B171" t="str">
        <f t="shared" si="37"/>
        <v>RCMT</v>
      </c>
      <c r="C171" s="16" t="str">
        <f t="shared" si="38"/>
        <v>RCMT</v>
      </c>
      <c r="D171" t="s">
        <v>311</v>
      </c>
      <c r="E171">
        <f>_xll.BDP($D171,E$40)</f>
        <v>1.2982</v>
      </c>
      <c r="F171">
        <f>_xll.BDP($D171,F$40)</f>
        <v>1.3</v>
      </c>
      <c r="G171">
        <f>_xll.BDP($D171,G$40)</f>
        <v>1.38</v>
      </c>
      <c r="H171" s="9" t="str">
        <f>_xll.BDP($D171,H$40)</f>
        <v>#N/A Field Not Applicable</v>
      </c>
      <c r="L171" s="9">
        <f t="shared" si="34"/>
        <v>1.2982</v>
      </c>
    </row>
    <row r="172" spans="1:12" x14ac:dyDescent="0.2">
      <c r="A172" t="s">
        <v>16</v>
      </c>
      <c r="B172" t="str">
        <f t="shared" si="37"/>
        <v>AVID</v>
      </c>
      <c r="C172" s="16" t="str">
        <f t="shared" si="38"/>
        <v>AVID</v>
      </c>
      <c r="D172" t="s">
        <v>81</v>
      </c>
      <c r="E172">
        <f>_xll.BDP($D172,E$40)</f>
        <v>5.91</v>
      </c>
      <c r="F172">
        <f>_xll.BDP($D172,F$40)</f>
        <v>5.91</v>
      </c>
      <c r="G172">
        <f>_xll.BDP($D172,G$40)</f>
        <v>5.93</v>
      </c>
      <c r="H172" s="9" t="str">
        <f>_xll.BDP($D172,H$40)</f>
        <v>#N/A Field Not Applicable</v>
      </c>
      <c r="L172" s="9">
        <f t="shared" si="34"/>
        <v>5.91</v>
      </c>
    </row>
    <row r="173" spans="1:12" x14ac:dyDescent="0.2">
      <c r="A173" t="s">
        <v>16</v>
      </c>
      <c r="B173" t="str">
        <f t="shared" si="37"/>
        <v>ZIXI</v>
      </c>
      <c r="C173" s="16" t="str">
        <f t="shared" si="38"/>
        <v>ZIXI</v>
      </c>
      <c r="D173" t="s">
        <v>385</v>
      </c>
      <c r="E173">
        <f>_xll.BDP($D173,E$40)</f>
        <v>4.24</v>
      </c>
      <c r="F173">
        <f>_xll.BDP($D173,F$40)</f>
        <v>4.2300000000000004</v>
      </c>
      <c r="G173">
        <f>_xll.BDP($D173,G$40)</f>
        <v>4.24</v>
      </c>
      <c r="H173" s="9" t="str">
        <f>_xll.BDP($D173,H$40)</f>
        <v>#N/A Field Not Applicable</v>
      </c>
      <c r="L173" s="9">
        <f t="shared" si="34"/>
        <v>4.24</v>
      </c>
    </row>
    <row r="174" spans="1:12" x14ac:dyDescent="0.2">
      <c r="A174" t="s">
        <v>16</v>
      </c>
      <c r="B174" t="str">
        <f t="shared" si="37"/>
        <v>JCP</v>
      </c>
      <c r="C174" s="16" t="str">
        <f t="shared" si="38"/>
        <v>JCP</v>
      </c>
      <c r="D174" t="s">
        <v>231</v>
      </c>
      <c r="E174">
        <f>_xll.BDP($D174,E$40)</f>
        <v>0.53580000000000005</v>
      </c>
      <c r="F174">
        <f>_xll.BDP($D174,F$40)</f>
        <v>0.53459999999999996</v>
      </c>
      <c r="G174">
        <f>_xll.BDP($D174,G$40)</f>
        <v>0.53469999999999995</v>
      </c>
      <c r="H174" s="9" t="str">
        <f>_xll.BDP($D174,H$40)</f>
        <v>#N/A Field Not Applicable</v>
      </c>
      <c r="L174" s="9">
        <f t="shared" si="34"/>
        <v>0.53580000000000005</v>
      </c>
    </row>
    <row r="175" spans="1:12" x14ac:dyDescent="0.2">
      <c r="A175" t="s">
        <v>16</v>
      </c>
      <c r="B175" t="str">
        <f t="shared" si="37"/>
        <v>FRO</v>
      </c>
      <c r="C175" s="16" t="str">
        <f t="shared" si="38"/>
        <v>FRO</v>
      </c>
      <c r="D175" t="s">
        <v>191</v>
      </c>
      <c r="E175">
        <f>_xll.BDP($D175,E$40)</f>
        <v>7.77</v>
      </c>
      <c r="F175">
        <f>_xll.BDP($D175,F$40)</f>
        <v>7.76</v>
      </c>
      <c r="G175">
        <f>_xll.BDP($D175,G$40)</f>
        <v>7.77</v>
      </c>
      <c r="H175" s="9" t="str">
        <f>_xll.BDP($D175,H$40)</f>
        <v>#N/A Field Not Applicable</v>
      </c>
      <c r="L175" s="9">
        <f t="shared" si="34"/>
        <v>7.77</v>
      </c>
    </row>
    <row r="176" spans="1:12" x14ac:dyDescent="0.2">
      <c r="A176" t="s">
        <v>16</v>
      </c>
      <c r="B176" t="str">
        <f t="shared" si="37"/>
        <v>MTW</v>
      </c>
      <c r="C176" s="16" t="str">
        <f t="shared" si="38"/>
        <v>MTW</v>
      </c>
      <c r="D176" s="9" t="s">
        <v>489</v>
      </c>
      <c r="E176">
        <f>_xll.BDP($D176,E$40)</f>
        <v>9.7799999999999994</v>
      </c>
      <c r="F176">
        <f>_xll.BDP($D176,F$40)</f>
        <v>9.77</v>
      </c>
      <c r="G176">
        <f>_xll.BDP($D176,G$40)</f>
        <v>9.7799999999999994</v>
      </c>
      <c r="H176" s="9" t="str">
        <f>_xll.BDP($D176,H$40)</f>
        <v>#N/A Field Not Applicable</v>
      </c>
      <c r="L176" s="9">
        <f t="shared" si="34"/>
        <v>9.7799999999999994</v>
      </c>
    </row>
    <row r="177" spans="1:12" x14ac:dyDescent="0.2">
      <c r="A177" t="s">
        <v>16</v>
      </c>
      <c r="B177" t="str">
        <f t="shared" si="37"/>
        <v>BEBE</v>
      </c>
      <c r="C177" s="16" t="str">
        <f t="shared" si="38"/>
        <v>BEBE</v>
      </c>
      <c r="D177" t="s">
        <v>91</v>
      </c>
      <c r="E177">
        <f>_xll.BDP($D177,E$40)</f>
        <v>5</v>
      </c>
      <c r="F177">
        <f>_xll.BDP($D177,F$40)</f>
        <v>4.51</v>
      </c>
      <c r="G177">
        <f>_xll.BDP($D177,G$40)</f>
        <v>5</v>
      </c>
      <c r="H177" s="9" t="str">
        <f>_xll.BDP($D177,H$40)</f>
        <v>#N/A Field Not Applicable</v>
      </c>
      <c r="L177" s="9">
        <f t="shared" si="34"/>
        <v>5</v>
      </c>
    </row>
    <row r="178" spans="1:12" x14ac:dyDescent="0.2">
      <c r="A178" t="s">
        <v>16</v>
      </c>
      <c r="B178" t="str">
        <f t="shared" si="37"/>
        <v>SIRI</v>
      </c>
      <c r="C178" s="16" t="str">
        <f t="shared" si="38"/>
        <v>SIRI</v>
      </c>
      <c r="D178" t="s">
        <v>328</v>
      </c>
      <c r="E178">
        <f>_xll.BDP($D178,E$40)</f>
        <v>5.08</v>
      </c>
      <c r="F178">
        <f>_xll.BDP($D178,F$40)</f>
        <v>5</v>
      </c>
      <c r="G178">
        <f>_xll.BDP($D178,G$40)</f>
        <v>5.01</v>
      </c>
      <c r="H178" s="9" t="str">
        <f>_xll.BDP($D178,H$40)</f>
        <v>#N/A Field Not Applicable</v>
      </c>
      <c r="L178" s="9">
        <f t="shared" si="34"/>
        <v>5.08</v>
      </c>
    </row>
    <row r="179" spans="1:12" x14ac:dyDescent="0.2">
      <c r="A179" t="s">
        <v>16</v>
      </c>
      <c r="B179" t="str">
        <f t="shared" si="37"/>
        <v>NAT</v>
      </c>
      <c r="C179" s="16" t="str">
        <f t="shared" si="38"/>
        <v>NAT</v>
      </c>
      <c r="D179" t="s">
        <v>387</v>
      </c>
      <c r="E179">
        <f>_xll.BDP($D179,E$40)</f>
        <v>2.5</v>
      </c>
      <c r="F179">
        <f>_xll.BDP($D179,F$40)</f>
        <v>2.5</v>
      </c>
      <c r="G179">
        <f>_xll.BDP($D179,G$40)</f>
        <v>2.5099999999999998</v>
      </c>
      <c r="H179" s="9" t="str">
        <f>_xll.BDP($D179,H$40)</f>
        <v>#N/A Field Not Applicable</v>
      </c>
      <c r="L179" s="9">
        <f t="shared" si="34"/>
        <v>2.5</v>
      </c>
    </row>
    <row r="180" spans="1:12" x14ac:dyDescent="0.2">
      <c r="A180" t="s">
        <v>16</v>
      </c>
      <c r="B180" t="str">
        <f t="shared" si="37"/>
        <v>WIT</v>
      </c>
      <c r="C180" s="16" t="str">
        <f t="shared" si="38"/>
        <v>WIT</v>
      </c>
      <c r="D180" t="s">
        <v>378</v>
      </c>
      <c r="E180">
        <f>_xll.BDP($D180,E$40)</f>
        <v>2.76</v>
      </c>
      <c r="F180">
        <f>_xll.BDP($D180,F$40)</f>
        <v>2.75</v>
      </c>
      <c r="G180">
        <f>_xll.BDP($D180,G$40)</f>
        <v>2.76</v>
      </c>
      <c r="H180" s="9" t="str">
        <f>_xll.BDP($D180,H$40)</f>
        <v>#N/A Field Not Applicable</v>
      </c>
      <c r="L180" s="9">
        <f t="shared" si="34"/>
        <v>2.76</v>
      </c>
    </row>
    <row r="181" spans="1:12" x14ac:dyDescent="0.2">
      <c r="A181" t="s">
        <v>16</v>
      </c>
      <c r="B181" t="str">
        <f t="shared" si="37"/>
        <v>PEIX</v>
      </c>
      <c r="C181" s="16" t="str">
        <f t="shared" si="38"/>
        <v>PEIX</v>
      </c>
      <c r="D181" t="s">
        <v>292</v>
      </c>
      <c r="E181">
        <f>_xll.BDP($D181,E$40)</f>
        <v>0.245</v>
      </c>
      <c r="F181">
        <f>_xll.BDP($D181,F$40)</f>
        <v>0.245</v>
      </c>
      <c r="G181">
        <f>_xll.BDP($D181,G$40)</f>
        <v>0.24510000000000001</v>
      </c>
      <c r="H181" s="9" t="str">
        <f>_xll.BDP($D181,H$40)</f>
        <v>#N/A Field Not Applicable</v>
      </c>
      <c r="L181" s="9">
        <f t="shared" si="34"/>
        <v>0.245</v>
      </c>
    </row>
    <row r="182" spans="1:12" x14ac:dyDescent="0.2">
      <c r="A182" t="s">
        <v>16</v>
      </c>
      <c r="B182" s="23" t="s">
        <v>787</v>
      </c>
      <c r="C182" s="17" t="s">
        <v>787</v>
      </c>
      <c r="D182" s="22" t="s">
        <v>788</v>
      </c>
      <c r="E182" s="21">
        <f>_xll.BDP($D182,E$40)</f>
        <v>1.7</v>
      </c>
      <c r="F182">
        <f>_xll.BDP($D182,F$40)</f>
        <v>1.74</v>
      </c>
      <c r="G182">
        <f>_xll.BDP($D182,G$40)</f>
        <v>1.75</v>
      </c>
      <c r="H182" s="9" t="str">
        <f>_xll.BDP($D182,H$40)</f>
        <v>#N/A Field Not Applicable</v>
      </c>
      <c r="L182" s="9">
        <f t="shared" si="34"/>
        <v>1.7</v>
      </c>
    </row>
    <row r="183" spans="1:12" x14ac:dyDescent="0.2">
      <c r="A183" t="s">
        <v>16</v>
      </c>
      <c r="B183" t="str">
        <f>LEFT(D183,FIND(" ",D183)-1)</f>
        <v>HLX</v>
      </c>
      <c r="C183" s="16" t="str">
        <f>IF(A183="STOCK",B183,REPLACE(B183,FIND("+",B183),1,"."))</f>
        <v>HLX</v>
      </c>
      <c r="D183" t="s">
        <v>208</v>
      </c>
      <c r="E183">
        <f>_xll.BDP($D183,E$40)</f>
        <v>1.94</v>
      </c>
      <c r="F183">
        <f>_xll.BDP($D183,F$40)</f>
        <v>1.93</v>
      </c>
      <c r="G183">
        <f>_xll.BDP($D183,G$40)</f>
        <v>1.94</v>
      </c>
      <c r="H183" s="9" t="str">
        <f>_xll.BDP($D183,H$40)</f>
        <v>#N/A Field Not Applicable</v>
      </c>
      <c r="L183" s="9">
        <f t="shared" si="34"/>
        <v>1.94</v>
      </c>
    </row>
    <row r="184" spans="1:12" x14ac:dyDescent="0.2">
      <c r="A184" t="s">
        <v>16</v>
      </c>
      <c r="B184" s="23" t="s">
        <v>754</v>
      </c>
      <c r="C184" s="17" t="s">
        <v>754</v>
      </c>
      <c r="D184" s="22" t="s">
        <v>755</v>
      </c>
      <c r="E184" s="21" t="str">
        <f>_xll.BDP($D184,E$40)</f>
        <v>#N/A N/A</v>
      </c>
      <c r="F184" t="str">
        <f>_xll.BDP($D184,F$40)</f>
        <v>#N/A N/A</v>
      </c>
      <c r="G184" t="str">
        <f>_xll.BDP($D184,G$40)</f>
        <v>#N/A N/A</v>
      </c>
      <c r="H184" s="9" t="str">
        <f>_xll.BDP($D184,H$40)</f>
        <v>#N/A Field Not Applicable</v>
      </c>
      <c r="L184" s="9" t="str">
        <f t="shared" si="34"/>
        <v>#N/A N/A</v>
      </c>
    </row>
    <row r="185" spans="1:12" x14ac:dyDescent="0.2">
      <c r="A185" t="s">
        <v>16</v>
      </c>
      <c r="B185" t="str">
        <f>LEFT(D185,FIND(" ",D185)-1)</f>
        <v>SSW</v>
      </c>
      <c r="C185" s="16" t="str">
        <f>IF(A185="STOCK",B185,REPLACE(B185,FIND("+",B185),1,"."))</f>
        <v>SSW</v>
      </c>
      <c r="D185" t="s">
        <v>502</v>
      </c>
      <c r="E185" t="str">
        <f>_xll.BDP($D185,E$40)</f>
        <v>#N/A N/A</v>
      </c>
      <c r="F185" t="str">
        <f>_xll.BDP($D185,F$40)</f>
        <v>#N/A N/A</v>
      </c>
      <c r="G185" t="str">
        <f>_xll.BDP($D185,G$40)</f>
        <v>#N/A N/A</v>
      </c>
      <c r="H185" s="9" t="str">
        <f>_xll.BDP($D185,H$40)</f>
        <v>#N/A Field Not Applicable</v>
      </c>
      <c r="L185" s="9" t="str">
        <f t="shared" si="34"/>
        <v>#N/A N/A</v>
      </c>
    </row>
    <row r="186" spans="1:12" x14ac:dyDescent="0.2">
      <c r="A186" t="s">
        <v>16</v>
      </c>
      <c r="B186" t="str">
        <f>LEFT(D186,FIND(" ",D186)-1)</f>
        <v>EVC</v>
      </c>
      <c r="C186" s="16" t="str">
        <f>IF(A186="STOCK",B186,REPLACE(B186,FIND("+",B186),1,"."))</f>
        <v>EVC</v>
      </c>
      <c r="D186" t="s">
        <v>174</v>
      </c>
      <c r="E186">
        <f>_xll.BDP($D186,E$40)</f>
        <v>1.94</v>
      </c>
      <c r="F186">
        <f>_xll.BDP($D186,F$40)</f>
        <v>1.94</v>
      </c>
      <c r="G186">
        <f>_xll.BDP($D186,G$40)</f>
        <v>1.95</v>
      </c>
      <c r="H186" s="9" t="str">
        <f>_xll.BDP($D186,H$40)</f>
        <v>#N/A Field Not Applicable</v>
      </c>
      <c r="L186" s="9">
        <f t="shared" si="34"/>
        <v>1.94</v>
      </c>
    </row>
    <row r="187" spans="1:12" x14ac:dyDescent="0.2">
      <c r="A187" t="s">
        <v>16</v>
      </c>
      <c r="B187" t="str">
        <f>LEFT(D187,FIND(" ",D187)-1)</f>
        <v>UNG</v>
      </c>
      <c r="C187" s="16" t="str">
        <f>IF(A187="STOCK",B187,REPLACE(B187,FIND("+",B187),1,"."))</f>
        <v>UNG</v>
      </c>
      <c r="D187" t="s">
        <v>361</v>
      </c>
      <c r="E187">
        <f>_xll.BDP($D187,E$40)</f>
        <v>13.92</v>
      </c>
      <c r="F187">
        <f>_xll.BDP($D187,F$40)</f>
        <v>13.95</v>
      </c>
      <c r="G187">
        <f>_xll.BDP($D187,G$40)</f>
        <v>13.96</v>
      </c>
      <c r="H187" s="9" t="str">
        <f>_xll.BDP($D187,H$40)</f>
        <v>#N/A Field Not Applicable</v>
      </c>
      <c r="L187" s="9">
        <f t="shared" si="34"/>
        <v>13.92</v>
      </c>
    </row>
    <row r="188" spans="1:12" x14ac:dyDescent="0.2">
      <c r="A188" t="s">
        <v>16</v>
      </c>
      <c r="B188" t="s">
        <v>613</v>
      </c>
      <c r="C188" s="16" t="s">
        <v>614</v>
      </c>
      <c r="D188" t="s">
        <v>361</v>
      </c>
      <c r="E188">
        <f>_xll.BDP($D188,E$40)</f>
        <v>13.92</v>
      </c>
      <c r="F188">
        <f>_xll.BDP($D188,F$40)</f>
        <v>13.95</v>
      </c>
      <c r="G188">
        <f>_xll.BDP($D188,G$40)</f>
        <v>13.96</v>
      </c>
      <c r="H188" s="9" t="str">
        <f>_xll.BDP($D188,H$40)</f>
        <v>#N/A Field Not Applicable</v>
      </c>
      <c r="L188" s="9">
        <f t="shared" si="34"/>
        <v>13.92</v>
      </c>
    </row>
    <row r="189" spans="1:12" s="9" customFormat="1" x14ac:dyDescent="0.2">
      <c r="A189" s="9" t="s">
        <v>16</v>
      </c>
      <c r="B189" s="9" t="str">
        <f>LEFT(D189,FIND(" ",D189)-1)</f>
        <v>TRWH</v>
      </c>
      <c r="C189" s="16" t="str">
        <f>IF(A189="STOCK",B189,REPLACE(B189,FIND("+",B189),1,"."))</f>
        <v>TRWH</v>
      </c>
      <c r="D189" s="9" t="s">
        <v>1088</v>
      </c>
      <c r="E189" s="9">
        <f>_xll.BDP($D189,E$40)</f>
        <v>12.47</v>
      </c>
      <c r="F189" s="9">
        <f>_xll.BDP($D189,F$40)</f>
        <v>12.46</v>
      </c>
      <c r="G189" s="9">
        <f>_xll.BDP($D189,G$40)</f>
        <v>12.47</v>
      </c>
      <c r="H189" s="9" t="str">
        <f>_xll.BDP($D189,H$40)</f>
        <v>#N/A Field Not Applicable</v>
      </c>
      <c r="L189" s="9">
        <f t="shared" ref="L189" si="39">IF(A189="STOCK",E189,IF(A189="SOPTION",G189,IF(A189="LOPTION",F189,"")))</f>
        <v>12.47</v>
      </c>
    </row>
    <row r="190" spans="1:12" x14ac:dyDescent="0.2">
      <c r="A190" t="s">
        <v>16</v>
      </c>
      <c r="B190" t="str">
        <f>LEFT(D190,FIND(" ",D190)-1)</f>
        <v>HK</v>
      </c>
      <c r="C190" s="16" t="str">
        <f>IF(A190="STOCK",B190,REPLACE(B190,FIND("+",B190),1,"."))</f>
        <v>HK</v>
      </c>
      <c r="D190" t="s">
        <v>207</v>
      </c>
      <c r="E190" t="str">
        <f>_xll.BDP($D190,E$40)</f>
        <v>#N/A N/A</v>
      </c>
      <c r="F190" t="str">
        <f>_xll.BDP($D190,F$40)</f>
        <v>#N/A N/A</v>
      </c>
      <c r="G190" t="str">
        <f>_xll.BDP($D190,G$40)</f>
        <v>#N/A N/A</v>
      </c>
      <c r="H190" s="9" t="str">
        <f>_xll.BDP($D190,H$40)</f>
        <v>#N/A Field Not Applicable</v>
      </c>
      <c r="L190" s="9" t="str">
        <f t="shared" si="34"/>
        <v>#N/A N/A</v>
      </c>
    </row>
    <row r="191" spans="1:12" x14ac:dyDescent="0.2">
      <c r="A191" t="s">
        <v>16</v>
      </c>
      <c r="B191" t="str">
        <f>LEFT(D191,FIND(" ",D191)-1)</f>
        <v>BTN</v>
      </c>
      <c r="C191" s="16" t="str">
        <f>IF(A191="STOCK",B191,REPLACE(B191,FIND("+",B191),1,"."))</f>
        <v>BTN</v>
      </c>
      <c r="D191" t="s">
        <v>98</v>
      </c>
      <c r="E191">
        <f>_xll.BDP($D191,E$40)</f>
        <v>1.5701000000000001</v>
      </c>
      <c r="F191">
        <f>_xll.BDP($D191,F$40)</f>
        <v>1.52</v>
      </c>
      <c r="G191">
        <f>_xll.BDP($D191,G$40)</f>
        <v>1.7</v>
      </c>
      <c r="H191" s="9" t="str">
        <f>_xll.BDP($D191,H$40)</f>
        <v>#N/A Field Not Applicable</v>
      </c>
      <c r="L191" s="9">
        <f t="shared" si="34"/>
        <v>1.5701000000000001</v>
      </c>
    </row>
    <row r="192" spans="1:12" x14ac:dyDescent="0.2">
      <c r="A192" t="s">
        <v>16</v>
      </c>
      <c r="B192" t="str">
        <f>LEFT(D192,FIND(" ",D192)-1)</f>
        <v>LQDT</v>
      </c>
      <c r="C192" s="16" t="str">
        <f>IF(A192="STOCK",B192,REPLACE(B192,FIND("+",B192),1,"."))</f>
        <v>LQDT</v>
      </c>
      <c r="D192" t="s">
        <v>244</v>
      </c>
      <c r="E192">
        <f>_xll.BDP($D192,E$40)</f>
        <v>3.69</v>
      </c>
      <c r="F192">
        <f>_xll.BDP($D192,F$40)</f>
        <v>3.68</v>
      </c>
      <c r="G192">
        <f>_xll.BDP($D192,G$40)</f>
        <v>3.73</v>
      </c>
      <c r="H192" s="9" t="str">
        <f>_xll.BDP($D192,H$40)</f>
        <v>#N/A Field Not Applicable</v>
      </c>
      <c r="L192" s="9">
        <f t="shared" si="34"/>
        <v>3.69</v>
      </c>
    </row>
    <row r="193" spans="1:12" x14ac:dyDescent="0.2">
      <c r="A193" t="s">
        <v>16</v>
      </c>
      <c r="B193" t="str">
        <f>LEFT(D193,FIND(" ",D193)-1)</f>
        <v>VG</v>
      </c>
      <c r="C193" s="16" t="str">
        <f>IF(A193="STOCK",B193,REPLACE(B193,FIND("+",B193),1,"."))</f>
        <v>VG</v>
      </c>
      <c r="D193" t="s">
        <v>370</v>
      </c>
      <c r="E193">
        <f>_xll.BDP($D193,E$40)</f>
        <v>6.1</v>
      </c>
      <c r="F193">
        <f>_xll.BDP($D193,F$40)</f>
        <v>6.09</v>
      </c>
      <c r="G193">
        <f>_xll.BDP($D193,G$40)</f>
        <v>6.1</v>
      </c>
      <c r="H193" s="9" t="str">
        <f>_xll.BDP($D193,H$40)</f>
        <v>#N/A Field Not Applicable</v>
      </c>
      <c r="L193" s="9">
        <f t="shared" si="34"/>
        <v>6.1</v>
      </c>
    </row>
    <row r="194" spans="1:12" x14ac:dyDescent="0.2">
      <c r="A194" t="s">
        <v>16</v>
      </c>
      <c r="B194" s="23" t="s">
        <v>937</v>
      </c>
      <c r="C194" s="17" t="s">
        <v>937</v>
      </c>
      <c r="D194" s="22" t="s">
        <v>938</v>
      </c>
      <c r="E194" s="21">
        <f>_xll.BDP($D194,E$40)</f>
        <v>1.74</v>
      </c>
      <c r="F194">
        <f>_xll.BDP($D194,F$40)</f>
        <v>1.71</v>
      </c>
      <c r="G194">
        <f>_xll.BDP($D194,G$40)</f>
        <v>1.75</v>
      </c>
      <c r="H194" s="9" t="str">
        <f>_xll.BDP($D194,H$40)</f>
        <v>#N/A Field Not Applicable</v>
      </c>
      <c r="L194" s="9">
        <f t="shared" si="34"/>
        <v>1.74</v>
      </c>
    </row>
    <row r="195" spans="1:12" x14ac:dyDescent="0.2">
      <c r="A195" t="s">
        <v>16</v>
      </c>
      <c r="B195" s="23" t="s">
        <v>852</v>
      </c>
      <c r="C195" s="17" t="s">
        <v>852</v>
      </c>
      <c r="D195" s="22" t="s">
        <v>853</v>
      </c>
      <c r="E195" s="21">
        <f>_xll.BDP($D195,E$40)</f>
        <v>6.51</v>
      </c>
      <c r="F195">
        <f>_xll.BDP($D195,F$40)</f>
        <v>6.5</v>
      </c>
      <c r="G195">
        <f>_xll.BDP($D195,G$40)</f>
        <v>6.51</v>
      </c>
      <c r="H195" s="9" t="str">
        <f>_xll.BDP($D195,H$40)</f>
        <v>#N/A Field Not Applicable</v>
      </c>
      <c r="L195" s="9">
        <f t="shared" si="34"/>
        <v>6.51</v>
      </c>
    </row>
    <row r="196" spans="1:12" x14ac:dyDescent="0.2">
      <c r="A196" t="s">
        <v>16</v>
      </c>
      <c r="B196" t="str">
        <f>LEFT(D196,FIND(" ",D196)-1)</f>
        <v>ORN</v>
      </c>
      <c r="C196" s="16" t="str">
        <f>IF(A196="STOCK",B196,REPLACE(B196,FIND("+",B196),1,"."))</f>
        <v>ORN</v>
      </c>
      <c r="D196" t="s">
        <v>511</v>
      </c>
      <c r="E196">
        <f>_xll.BDP($D196,E$40)</f>
        <v>1.61</v>
      </c>
      <c r="F196">
        <f>_xll.BDP($D196,F$40)</f>
        <v>1.61</v>
      </c>
      <c r="G196">
        <f>_xll.BDP($D196,G$40)</f>
        <v>1.62</v>
      </c>
      <c r="H196" s="9" t="str">
        <f>_xll.BDP($D196,H$40)</f>
        <v>#N/A Field Not Applicable</v>
      </c>
      <c r="L196" s="9">
        <f t="shared" si="34"/>
        <v>1.61</v>
      </c>
    </row>
    <row r="197" spans="1:12" x14ac:dyDescent="0.2">
      <c r="A197" t="s">
        <v>16</v>
      </c>
      <c r="B197" t="str">
        <f>LEFT(D197,FIND(" ",D197)-1)</f>
        <v>ASFI</v>
      </c>
      <c r="C197" s="16" t="str">
        <f>IF(A197="STOCK",B197,REPLACE(B197,FIND("+",B197),1,"."))</f>
        <v>ASFI</v>
      </c>
      <c r="D197" t="s">
        <v>74</v>
      </c>
      <c r="E197">
        <f>_xll.BDP($D197,E$40)</f>
        <v>8.7100000000000009</v>
      </c>
      <c r="F197">
        <f>_xll.BDP($D197,F$40)</f>
        <v>8.7100000000000009</v>
      </c>
      <c r="G197">
        <f>_xll.BDP($D197,G$40)</f>
        <v>8.7200000000000006</v>
      </c>
      <c r="H197" s="9" t="str">
        <f>_xll.BDP($D197,H$40)</f>
        <v>#N/A Field Not Applicable</v>
      </c>
      <c r="L197" s="9">
        <f t="shared" si="34"/>
        <v>8.7100000000000009</v>
      </c>
    </row>
    <row r="198" spans="1:12" x14ac:dyDescent="0.2">
      <c r="A198" t="s">
        <v>16</v>
      </c>
      <c r="B198" t="str">
        <f>LEFT(D198,FIND(" ",D198)-1)</f>
        <v>CYH</v>
      </c>
      <c r="C198" s="16" t="str">
        <f>IF(A198="STOCK",B198,REPLACE(B198,FIND("+",B198),1,"."))</f>
        <v>CYH</v>
      </c>
      <c r="D198" s="9" t="s">
        <v>150</v>
      </c>
      <c r="E198">
        <f>_xll.BDP($D198,E$40)</f>
        <v>2.54</v>
      </c>
      <c r="F198">
        <f>_xll.BDP($D198,F$40)</f>
        <v>2.5299999999999998</v>
      </c>
      <c r="G198">
        <f>_xll.BDP($D198,G$40)</f>
        <v>2.54</v>
      </c>
      <c r="H198" s="9" t="str">
        <f>_xll.BDP($D198,H$40)</f>
        <v>#N/A Field Not Applicable</v>
      </c>
      <c r="L198" s="9">
        <f t="shared" si="34"/>
        <v>2.54</v>
      </c>
    </row>
    <row r="199" spans="1:12" x14ac:dyDescent="0.2">
      <c r="A199" t="s">
        <v>16</v>
      </c>
      <c r="B199" t="str">
        <f>LEFT(D199,FIND(" ",D199)-1)</f>
        <v>CYH</v>
      </c>
      <c r="C199" s="16" t="str">
        <f>IF(A199="STOCK",B199,REPLACE(B199,FIND("+",B199),1,"."))</f>
        <v>CYH</v>
      </c>
      <c r="D199" t="s">
        <v>150</v>
      </c>
      <c r="E199">
        <f>_xll.BDP($D199,E$40)</f>
        <v>2.54</v>
      </c>
      <c r="F199">
        <f>_xll.BDP($D199,F$40)</f>
        <v>2.5299999999999998</v>
      </c>
      <c r="G199">
        <f>_xll.BDP($D199,G$40)</f>
        <v>2.54</v>
      </c>
      <c r="H199" s="9" t="str">
        <f>_xll.BDP($D199,H$40)</f>
        <v>#N/A Field Not Applicable</v>
      </c>
      <c r="L199" s="9">
        <f t="shared" si="34"/>
        <v>2.54</v>
      </c>
    </row>
    <row r="200" spans="1:12" x14ac:dyDescent="0.2">
      <c r="A200" t="s">
        <v>16</v>
      </c>
      <c r="B200" s="5" t="s">
        <v>700</v>
      </c>
      <c r="C200" s="16" t="s">
        <v>701</v>
      </c>
      <c r="D200" t="s">
        <v>150</v>
      </c>
      <c r="E200" s="21">
        <f>_xll.BDP($D200,E$40)</f>
        <v>2.54</v>
      </c>
      <c r="F200">
        <f>_xll.BDP($D200,F$40)</f>
        <v>2.5299999999999998</v>
      </c>
      <c r="G200">
        <f>_xll.BDP($D200,G$40)</f>
        <v>2.54</v>
      </c>
      <c r="H200" s="9" t="str">
        <f>_xll.BDP($D200,H$40)</f>
        <v>#N/A Field Not Applicable</v>
      </c>
      <c r="L200" s="9">
        <f t="shared" si="34"/>
        <v>2.54</v>
      </c>
    </row>
    <row r="201" spans="1:12" x14ac:dyDescent="0.2">
      <c r="A201" t="s">
        <v>16</v>
      </c>
      <c r="B201" t="str">
        <f>LEFT(D201,FIND(" ",D201)-1)</f>
        <v>PCYO</v>
      </c>
      <c r="C201" s="16" t="str">
        <f>IF(A201="STOCK",B201,REPLACE(B201,FIND("+",B201),1,"."))</f>
        <v>PCYO</v>
      </c>
      <c r="D201" t="s">
        <v>291</v>
      </c>
      <c r="E201">
        <f>_xll.BDP($D201,E$40)</f>
        <v>8.6</v>
      </c>
      <c r="F201">
        <f>_xll.BDP($D201,F$40)</f>
        <v>8.5500000000000007</v>
      </c>
      <c r="G201">
        <f>_xll.BDP($D201,G$40)</f>
        <v>8.59</v>
      </c>
      <c r="H201" s="9" t="str">
        <f>_xll.BDP($D201,H$40)</f>
        <v>#N/A Field Not Applicable</v>
      </c>
      <c r="L201" s="9">
        <f t="shared" si="34"/>
        <v>8.6</v>
      </c>
    </row>
    <row r="202" spans="1:12" x14ac:dyDescent="0.2">
      <c r="A202" t="s">
        <v>16</v>
      </c>
      <c r="B202" s="23" t="s">
        <v>901</v>
      </c>
      <c r="C202" s="17" t="s">
        <v>901</v>
      </c>
      <c r="D202" s="22" t="s">
        <v>902</v>
      </c>
      <c r="E202" s="21">
        <f>_xll.BDP($D202,E$40)</f>
        <v>1.98</v>
      </c>
      <c r="F202">
        <f>_xll.BDP($D202,F$40)</f>
        <v>1.97</v>
      </c>
      <c r="G202">
        <f>_xll.BDP($D202,G$40)</f>
        <v>1.98</v>
      </c>
      <c r="H202" s="9" t="str">
        <f>_xll.BDP($D202,H$40)</f>
        <v>#N/A Field Not Applicable</v>
      </c>
      <c r="L202" s="9">
        <f t="shared" si="34"/>
        <v>1.98</v>
      </c>
    </row>
    <row r="203" spans="1:12" x14ac:dyDescent="0.2">
      <c r="A203" t="s">
        <v>16</v>
      </c>
      <c r="B203" s="23" t="s">
        <v>848</v>
      </c>
      <c r="C203" s="17" t="s">
        <v>848</v>
      </c>
      <c r="D203" s="22" t="s">
        <v>849</v>
      </c>
      <c r="E203" s="21">
        <f>_xll.BDP($D203,E$40)</f>
        <v>3.98</v>
      </c>
      <c r="F203">
        <f>_xll.BDP($D203,F$40)</f>
        <v>3.97</v>
      </c>
      <c r="G203">
        <f>_xll.BDP($D203,G$40)</f>
        <v>3.98</v>
      </c>
      <c r="H203" s="9" t="str">
        <f>_xll.BDP($D203,H$40)</f>
        <v>#N/A Field Not Applicable</v>
      </c>
      <c r="L203" s="9">
        <f t="shared" si="34"/>
        <v>3.98</v>
      </c>
    </row>
    <row r="204" spans="1:12" x14ac:dyDescent="0.2">
      <c r="A204" t="s">
        <v>16</v>
      </c>
      <c r="B204" t="str">
        <f>LEFT(D204,FIND(" ",D204)-1)</f>
        <v>TBBK</v>
      </c>
      <c r="C204" s="16" t="str">
        <f>IF(A204="STOCK",B204,REPLACE(B204,FIND("+",B204),1,"."))</f>
        <v>TBBK</v>
      </c>
      <c r="D204" t="s">
        <v>442</v>
      </c>
      <c r="E204">
        <f>_xll.BDP($D204,E$40)</f>
        <v>5.25</v>
      </c>
      <c r="F204">
        <f>_xll.BDP($D204,F$40)</f>
        <v>5.24</v>
      </c>
      <c r="G204">
        <f>_xll.BDP($D204,G$40)</f>
        <v>5.25</v>
      </c>
      <c r="H204" s="9" t="str">
        <f>_xll.BDP($D204,H$40)</f>
        <v>#N/A Field Not Applicable</v>
      </c>
      <c r="L204" s="9">
        <f t="shared" si="34"/>
        <v>5.25</v>
      </c>
    </row>
    <row r="205" spans="1:12" x14ac:dyDescent="0.2">
      <c r="A205" t="s">
        <v>16</v>
      </c>
      <c r="B205" t="str">
        <f>LEFT(D205,FIND(" ",D205)-1)</f>
        <v>LXU</v>
      </c>
      <c r="C205" s="16" t="str">
        <f>IF(A205="STOCK",B205,REPLACE(B205,FIND("+",B205),1,"."))</f>
        <v>LXU</v>
      </c>
      <c r="D205" t="s">
        <v>249</v>
      </c>
      <c r="E205">
        <f>_xll.BDP($D205,E$40)</f>
        <v>1.6</v>
      </c>
      <c r="F205">
        <f>_xll.BDP($D205,F$40)</f>
        <v>1.59</v>
      </c>
      <c r="G205">
        <f>_xll.BDP($D205,G$40)</f>
        <v>1.6</v>
      </c>
      <c r="H205" s="9" t="str">
        <f>_xll.BDP($D205,H$40)</f>
        <v>#N/A Field Not Applicable</v>
      </c>
      <c r="L205" s="9">
        <f t="shared" ref="L205:L260" si="40">IF(A205="STOCK",E205,IF(A205="SOPTION",G205,IF(A205="LOPTION",F205,"")))</f>
        <v>1.6</v>
      </c>
    </row>
    <row r="206" spans="1:12" x14ac:dyDescent="0.2">
      <c r="A206" t="s">
        <v>16</v>
      </c>
      <c r="B206" t="str">
        <f>LEFT(D206,FIND(" ",D206)-1)</f>
        <v>NBR</v>
      </c>
      <c r="C206" s="16" t="str">
        <f>IF(A206="STOCK",B206,REPLACE(B206,FIND("+",B206),1,"."))</f>
        <v>NBR</v>
      </c>
      <c r="D206" t="s">
        <v>271</v>
      </c>
      <c r="E206">
        <f>_xll.BDP($D206,E$40)</f>
        <v>0.36499999999999999</v>
      </c>
      <c r="F206">
        <f>_xll.BDP($D206,F$40)</f>
        <v>0.36499999999999999</v>
      </c>
      <c r="G206">
        <f>_xll.BDP($D206,G$40)</f>
        <v>0.36509999999999998</v>
      </c>
      <c r="H206" s="9" t="str">
        <f>_xll.BDP($D206,H$40)</f>
        <v>#N/A Field Not Applicable</v>
      </c>
      <c r="L206" s="9">
        <f t="shared" si="40"/>
        <v>0.36499999999999999</v>
      </c>
    </row>
    <row r="207" spans="1:12" x14ac:dyDescent="0.2">
      <c r="A207" t="s">
        <v>16</v>
      </c>
      <c r="B207" t="str">
        <f>LEFT(D207,FIND(" ",D207)-1)</f>
        <v>CROX</v>
      </c>
      <c r="C207" s="16" t="str">
        <f>IF(A207="STOCK",B207,REPLACE(B207,FIND("+",B207),1,"."))</f>
        <v>CROX</v>
      </c>
      <c r="D207" t="s">
        <v>139</v>
      </c>
      <c r="E207">
        <f>_xll.BDP($D207,E$40)</f>
        <v>16.579999999999998</v>
      </c>
      <c r="F207">
        <f>_xll.BDP($D207,F$40)</f>
        <v>16.57</v>
      </c>
      <c r="G207">
        <f>_xll.BDP($D207,G$40)</f>
        <v>16.579999999999998</v>
      </c>
      <c r="H207" s="9" t="str">
        <f>_xll.BDP($D207,H$40)</f>
        <v>#N/A Field Not Applicable</v>
      </c>
      <c r="L207" s="9">
        <f t="shared" si="40"/>
        <v>16.579999999999998</v>
      </c>
    </row>
    <row r="208" spans="1:12" x14ac:dyDescent="0.2">
      <c r="A208" t="s">
        <v>16</v>
      </c>
      <c r="B208" t="str">
        <f>LEFT(D208,FIND(" ",D208)-1)</f>
        <v>EZPW</v>
      </c>
      <c r="C208" s="16" t="str">
        <f>IF(A208="STOCK",B208,REPLACE(B208,FIND("+",B208),1,"."))</f>
        <v>EZPW</v>
      </c>
      <c r="D208" t="s">
        <v>179</v>
      </c>
      <c r="E208">
        <f>_xll.BDP($D208,E$40)</f>
        <v>3.7</v>
      </c>
      <c r="F208">
        <f>_xll.BDP($D208,F$40)</f>
        <v>3.69</v>
      </c>
      <c r="G208">
        <f>_xll.BDP($D208,G$40)</f>
        <v>3.7</v>
      </c>
      <c r="H208" s="9" t="str">
        <f>_xll.BDP($D208,H$40)</f>
        <v>#N/A Field Not Applicable</v>
      </c>
      <c r="L208" s="9">
        <f t="shared" si="40"/>
        <v>3.7</v>
      </c>
    </row>
    <row r="209" spans="1:12" x14ac:dyDescent="0.2">
      <c r="A209" t="s">
        <v>16</v>
      </c>
      <c r="B209" s="23" t="s">
        <v>829</v>
      </c>
      <c r="C209" s="17" t="s">
        <v>829</v>
      </c>
      <c r="D209" s="22" t="s">
        <v>830</v>
      </c>
      <c r="E209" s="21">
        <f>_xll.BDP($D209,E$40)</f>
        <v>0.42009999999999997</v>
      </c>
      <c r="F209">
        <f>_xll.BDP($D209,F$40)</f>
        <v>0.42009999999999997</v>
      </c>
      <c r="G209">
        <f>_xll.BDP($D209,G$40)</f>
        <v>0.4209</v>
      </c>
      <c r="H209" s="9" t="str">
        <f>_xll.BDP($D209,H$40)</f>
        <v>#N/A Field Not Applicable</v>
      </c>
      <c r="L209" s="9">
        <f t="shared" si="40"/>
        <v>0.42009999999999997</v>
      </c>
    </row>
    <row r="210" spans="1:12" x14ac:dyDescent="0.2">
      <c r="A210" t="s">
        <v>16</v>
      </c>
      <c r="B210" t="str">
        <f>LEFT(D210,FIND(" ",D210)-1)</f>
        <v>BKS</v>
      </c>
      <c r="C210" s="16" t="str">
        <f>IF(A210="STOCK",B210,REPLACE(B210,FIND("+",B210),1,"."))</f>
        <v>BKS</v>
      </c>
      <c r="D210" t="s">
        <v>97</v>
      </c>
      <c r="E210" t="str">
        <f>_xll.BDP($D210,E$40)</f>
        <v>#N/A N/A</v>
      </c>
      <c r="F210" t="str">
        <f>_xll.BDP($D210,F$40)</f>
        <v>#N/A N/A</v>
      </c>
      <c r="G210" t="str">
        <f>_xll.BDP($D210,G$40)</f>
        <v>#N/A N/A</v>
      </c>
      <c r="H210" s="9" t="str">
        <f>_xll.BDP($D210,H$40)</f>
        <v>#N/A Field Not Applicable</v>
      </c>
      <c r="L210" s="9" t="str">
        <f t="shared" si="40"/>
        <v>#N/A N/A</v>
      </c>
    </row>
    <row r="211" spans="1:12" x14ac:dyDescent="0.2">
      <c r="A211" t="s">
        <v>16</v>
      </c>
      <c r="B211" t="str">
        <f>LEFT(D211,FIND(" ",D211)-1)</f>
        <v>RBCN</v>
      </c>
      <c r="C211" s="16" t="str">
        <f>IF(A211="STOCK",B211,REPLACE(B211,FIND("+",B211),1,"."))</f>
        <v>RBCN</v>
      </c>
      <c r="D211" s="9" t="s">
        <v>309</v>
      </c>
      <c r="E211">
        <f>_xll.BDP($D211,E$40)</f>
        <v>8.1549999999999994</v>
      </c>
      <c r="F211">
        <f>_xll.BDP($D211,F$40)</f>
        <v>8.16</v>
      </c>
      <c r="G211">
        <f>_xll.BDP($D211,G$40)</f>
        <v>8.35</v>
      </c>
      <c r="H211" s="9" t="str">
        <f>_xll.BDP($D211,H$40)</f>
        <v>#N/A Field Not Applicable</v>
      </c>
      <c r="L211" s="9">
        <f t="shared" si="40"/>
        <v>8.1549999999999994</v>
      </c>
    </row>
    <row r="212" spans="1:12" x14ac:dyDescent="0.2">
      <c r="A212" t="s">
        <v>16</v>
      </c>
      <c r="B212" t="str">
        <f>LEFT(D212,FIND(" ",D212)-1)</f>
        <v>S</v>
      </c>
      <c r="C212" s="16" t="str">
        <f>IF(A212="STOCK",B212,REPLACE(B212,FIND("+",B212),1,"."))</f>
        <v>S</v>
      </c>
      <c r="D212" t="s">
        <v>319</v>
      </c>
      <c r="E212">
        <f>_xll.BDP($D212,E$40)</f>
        <v>7.73</v>
      </c>
      <c r="F212">
        <f>_xll.BDP($D212,F$40)</f>
        <v>7.72</v>
      </c>
      <c r="G212">
        <f>_xll.BDP($D212,G$40)</f>
        <v>7.73</v>
      </c>
      <c r="H212" s="9" t="str">
        <f>_xll.BDP($D212,H$40)</f>
        <v>#N/A Field Not Applicable</v>
      </c>
      <c r="L212" s="9">
        <f t="shared" si="40"/>
        <v>7.73</v>
      </c>
    </row>
    <row r="213" spans="1:12" x14ac:dyDescent="0.2">
      <c r="A213" t="s">
        <v>16</v>
      </c>
      <c r="B213" t="s">
        <v>597</v>
      </c>
      <c r="C213" s="16" t="s">
        <v>597</v>
      </c>
      <c r="D213" t="s">
        <v>598</v>
      </c>
      <c r="E213">
        <f>_xll.BDP($D213,E$40)</f>
        <v>18.75</v>
      </c>
      <c r="F213">
        <f>_xll.BDP($D213,F$40)</f>
        <v>18.739999999999998</v>
      </c>
      <c r="G213">
        <f>_xll.BDP($D213,G$40)</f>
        <v>18.75</v>
      </c>
      <c r="H213" s="9" t="str">
        <f>_xll.BDP($D213,H$40)</f>
        <v>#N/A Field Not Applicable</v>
      </c>
      <c r="L213" s="9">
        <f t="shared" si="40"/>
        <v>18.75</v>
      </c>
    </row>
    <row r="214" spans="1:12" x14ac:dyDescent="0.2">
      <c r="A214" t="s">
        <v>16</v>
      </c>
      <c r="B214" t="str">
        <f>LEFT(D214,FIND(" ",D214)-1)</f>
        <v>IMMU</v>
      </c>
      <c r="C214" s="16" t="str">
        <f>IF(A214="STOCK",B214,REPLACE(B214,FIND("+",B214),1,"."))</f>
        <v>IMMU</v>
      </c>
      <c r="D214" t="s">
        <v>408</v>
      </c>
      <c r="E214">
        <f>_xll.BDP($D214,E$40)</f>
        <v>9.48</v>
      </c>
      <c r="F214">
        <f>_xll.BDP($D214,F$40)</f>
        <v>9.48</v>
      </c>
      <c r="G214">
        <f>_xll.BDP($D214,G$40)</f>
        <v>9.6199999999999992</v>
      </c>
      <c r="H214" s="9" t="str">
        <f>_xll.BDP($D214,H$40)</f>
        <v>#N/A Field Not Applicable</v>
      </c>
      <c r="L214" s="9">
        <f t="shared" si="40"/>
        <v>9.48</v>
      </c>
    </row>
    <row r="215" spans="1:12" x14ac:dyDescent="0.2">
      <c r="A215" t="s">
        <v>16</v>
      </c>
      <c r="B215" t="str">
        <f>LEFT(D215,FIND(" ",D215)-1)</f>
        <v>RIG</v>
      </c>
      <c r="C215" s="16" t="str">
        <f>IF(A215="STOCK",B215,REPLACE(B215,FIND("+",B215),1,"."))</f>
        <v>RIG</v>
      </c>
      <c r="D215" t="s">
        <v>314</v>
      </c>
      <c r="E215">
        <f>_xll.BDP($D215,E$40)</f>
        <v>1.3</v>
      </c>
      <c r="F215">
        <f>_xll.BDP($D215,F$40)</f>
        <v>1.29</v>
      </c>
      <c r="G215">
        <f>_xll.BDP($D215,G$40)</f>
        <v>1.3</v>
      </c>
      <c r="H215" s="9" t="str">
        <f>_xll.BDP($D215,H$40)</f>
        <v>#N/A Field Not Applicable</v>
      </c>
      <c r="L215" s="9">
        <f t="shared" si="40"/>
        <v>1.3</v>
      </c>
    </row>
    <row r="216" spans="1:12" x14ac:dyDescent="0.2">
      <c r="A216" t="s">
        <v>16</v>
      </c>
      <c r="B216" t="str">
        <f>LEFT(D216,FIND(" ",D216)-1)</f>
        <v>ASYS</v>
      </c>
      <c r="C216" s="16" t="str">
        <f>IF(A216="STOCK",B216,REPLACE(B216,FIND("+",B216),1,"."))</f>
        <v>ASYS</v>
      </c>
      <c r="D216" t="s">
        <v>77</v>
      </c>
      <c r="E216">
        <f>_xll.BDP($D216,E$40)</f>
        <v>3.6</v>
      </c>
      <c r="F216">
        <f>_xll.BDP($D216,F$40)</f>
        <v>3.56</v>
      </c>
      <c r="G216">
        <f>_xll.BDP($D216,G$40)</f>
        <v>3.6</v>
      </c>
      <c r="H216" s="9" t="str">
        <f>_xll.BDP($D216,H$40)</f>
        <v>#N/A Field Not Applicable</v>
      </c>
      <c r="L216" s="9">
        <f t="shared" si="40"/>
        <v>3.6</v>
      </c>
    </row>
    <row r="217" spans="1:12" x14ac:dyDescent="0.2">
      <c r="A217" t="s">
        <v>16</v>
      </c>
      <c r="B217" t="str">
        <f>LEFT(D217,FIND(" ",D217)-1)</f>
        <v>AXTI</v>
      </c>
      <c r="C217" s="16" t="str">
        <f>IF(A217="STOCK",B217,REPLACE(B217,FIND("+",B217),1,"."))</f>
        <v>AXTI</v>
      </c>
      <c r="D217" t="s">
        <v>441</v>
      </c>
      <c r="E217">
        <f>_xll.BDP($D217,E$40)</f>
        <v>1.9</v>
      </c>
      <c r="F217">
        <f>_xll.BDP($D217,F$40)</f>
        <v>1.89</v>
      </c>
      <c r="G217">
        <f>_xll.BDP($D217,G$40)</f>
        <v>1.9</v>
      </c>
      <c r="H217" s="9" t="str">
        <f>_xll.BDP($D217,H$40)</f>
        <v>#N/A Field Not Applicable</v>
      </c>
      <c r="L217" s="9">
        <f t="shared" si="40"/>
        <v>1.9</v>
      </c>
    </row>
    <row r="218" spans="1:12" x14ac:dyDescent="0.2">
      <c r="A218" t="s">
        <v>16</v>
      </c>
      <c r="B218" t="str">
        <f>LEFT(D218,FIND(" ",D218)-1)</f>
        <v>CHS</v>
      </c>
      <c r="C218" s="16" t="str">
        <f>IF(A218="STOCK",B218,REPLACE(B218,FIND("+",B218),1,"."))</f>
        <v>CHS</v>
      </c>
      <c r="D218" t="s">
        <v>122</v>
      </c>
      <c r="E218">
        <f>_xll.BDP($D218,E$40)</f>
        <v>1.8</v>
      </c>
      <c r="F218">
        <f>_xll.BDP($D218,F$40)</f>
        <v>1.79</v>
      </c>
      <c r="G218">
        <f>_xll.BDP($D218,G$40)</f>
        <v>1.8</v>
      </c>
      <c r="H218" s="9" t="str">
        <f>_xll.BDP($D218,H$40)</f>
        <v>#N/A Field Not Applicable</v>
      </c>
      <c r="L218" s="9">
        <f t="shared" si="40"/>
        <v>1.8</v>
      </c>
    </row>
    <row r="219" spans="1:12" x14ac:dyDescent="0.2">
      <c r="A219" t="s">
        <v>16</v>
      </c>
      <c r="B219" t="s">
        <v>422</v>
      </c>
      <c r="C219" s="16" t="s">
        <v>422</v>
      </c>
      <c r="D219" t="s">
        <v>637</v>
      </c>
      <c r="E219">
        <f>_xll.BDP($D219,E$40)</f>
        <v>20.5</v>
      </c>
      <c r="F219">
        <f>_xll.BDP($D219,F$40)</f>
        <v>20.5</v>
      </c>
      <c r="G219">
        <f>_xll.BDP($D219,G$40)</f>
        <v>20.51</v>
      </c>
      <c r="H219" s="9" t="str">
        <f>_xll.BDP($D219,H$40)</f>
        <v>#N/A Field Not Applicable</v>
      </c>
      <c r="L219" s="9">
        <f t="shared" si="40"/>
        <v>20.5</v>
      </c>
    </row>
    <row r="220" spans="1:12" x14ac:dyDescent="0.2">
      <c r="A220" t="s">
        <v>16</v>
      </c>
      <c r="B220" s="23" t="s">
        <v>846</v>
      </c>
      <c r="C220" s="17" t="s">
        <v>846</v>
      </c>
      <c r="D220" s="22" t="s">
        <v>847</v>
      </c>
      <c r="E220" s="21">
        <f>_xll.BDP($D220,E$40)</f>
        <v>7.9</v>
      </c>
      <c r="F220">
        <f>_xll.BDP($D220,F$40)</f>
        <v>7.89</v>
      </c>
      <c r="G220">
        <f>_xll.BDP($D220,G$40)</f>
        <v>7.9</v>
      </c>
      <c r="H220" s="9" t="str">
        <f>_xll.BDP($D220,H$40)</f>
        <v>#N/A Field Not Applicable</v>
      </c>
      <c r="L220" s="9">
        <f t="shared" si="40"/>
        <v>7.9</v>
      </c>
    </row>
    <row r="221" spans="1:12" x14ac:dyDescent="0.2">
      <c r="A221" t="s">
        <v>16</v>
      </c>
      <c r="B221" t="str">
        <f t="shared" ref="B221:B225" si="41">LEFT(D221,FIND(" ",D221)-1)</f>
        <v>CBL</v>
      </c>
      <c r="C221" s="16" t="str">
        <f t="shared" ref="C221:C225" si="42">IF(A221="STOCK",B221,REPLACE(B221,FIND("+",B221),1,"."))</f>
        <v>CBL</v>
      </c>
      <c r="D221" t="s">
        <v>105</v>
      </c>
      <c r="E221">
        <f>_xll.BDP($D221,E$40)</f>
        <v>0.4405</v>
      </c>
      <c r="F221">
        <f>_xll.BDP($D221,F$40)</f>
        <v>0.44</v>
      </c>
      <c r="G221">
        <f>_xll.BDP($D221,G$40)</f>
        <v>0.44009999999999999</v>
      </c>
      <c r="H221" s="9" t="str">
        <f>_xll.BDP($D221,H$40)</f>
        <v>#N/A Field Not Applicable</v>
      </c>
      <c r="L221" s="9">
        <f t="shared" si="40"/>
        <v>0.4405</v>
      </c>
    </row>
    <row r="222" spans="1:12" x14ac:dyDescent="0.2">
      <c r="A222" t="s">
        <v>16</v>
      </c>
      <c r="B222" t="str">
        <f t="shared" si="41"/>
        <v>BBW</v>
      </c>
      <c r="C222" s="16" t="str">
        <f t="shared" si="42"/>
        <v>BBW</v>
      </c>
      <c r="D222" t="s">
        <v>88</v>
      </c>
      <c r="E222">
        <f>_xll.BDP($D222,E$40)</f>
        <v>2</v>
      </c>
      <c r="F222">
        <f>_xll.BDP($D222,F$40)</f>
        <v>1.92</v>
      </c>
      <c r="G222">
        <f>_xll.BDP($D222,G$40)</f>
        <v>1.96</v>
      </c>
      <c r="H222" s="9" t="str">
        <f>_xll.BDP($D222,H$40)</f>
        <v>#N/A Field Not Applicable</v>
      </c>
      <c r="L222" s="9">
        <f t="shared" si="40"/>
        <v>2</v>
      </c>
    </row>
    <row r="223" spans="1:12" x14ac:dyDescent="0.2">
      <c r="A223" t="s">
        <v>16</v>
      </c>
      <c r="B223" t="str">
        <f t="shared" si="41"/>
        <v>OCLR</v>
      </c>
      <c r="C223" s="16" t="str">
        <f t="shared" si="42"/>
        <v>OCLR</v>
      </c>
      <c r="D223" t="s">
        <v>407</v>
      </c>
      <c r="E223" t="str">
        <f>_xll.BDP($D223,E$40)</f>
        <v>#N/A N/A</v>
      </c>
      <c r="F223" t="str">
        <f>_xll.BDP($D223,F$40)</f>
        <v>#N/A N/A</v>
      </c>
      <c r="G223" t="str">
        <f>_xll.BDP($D223,G$40)</f>
        <v>#N/A N/A</v>
      </c>
      <c r="H223" s="9" t="str">
        <f>_xll.BDP($D223,H$40)</f>
        <v>#N/A Field Not Applicable</v>
      </c>
      <c r="L223" s="9" t="str">
        <f t="shared" si="40"/>
        <v>#N/A N/A</v>
      </c>
    </row>
    <row r="224" spans="1:12" x14ac:dyDescent="0.2">
      <c r="A224" t="s">
        <v>16</v>
      </c>
      <c r="B224" t="str">
        <f t="shared" si="41"/>
        <v>ANF</v>
      </c>
      <c r="C224" s="16" t="str">
        <f t="shared" si="42"/>
        <v>ANF</v>
      </c>
      <c r="D224" t="s">
        <v>70</v>
      </c>
      <c r="E224">
        <f>_xll.BDP($D224,E$40)</f>
        <v>9.8000000000000007</v>
      </c>
      <c r="F224">
        <f>_xll.BDP($D224,F$40)</f>
        <v>9.7899999999999991</v>
      </c>
      <c r="G224">
        <f>_xll.BDP($D224,G$40)</f>
        <v>9.8000000000000007</v>
      </c>
      <c r="H224" s="9" t="str">
        <f>_xll.BDP($D224,H$40)</f>
        <v>#N/A Field Not Applicable</v>
      </c>
      <c r="L224" s="9">
        <f t="shared" si="40"/>
        <v>9.8000000000000007</v>
      </c>
    </row>
    <row r="225" spans="1:12" x14ac:dyDescent="0.2">
      <c r="A225" t="s">
        <v>16</v>
      </c>
      <c r="B225" t="str">
        <f t="shared" si="41"/>
        <v>PLAB</v>
      </c>
      <c r="C225" s="16" t="str">
        <f t="shared" si="42"/>
        <v>PLAB</v>
      </c>
      <c r="D225" t="s">
        <v>298</v>
      </c>
      <c r="E225">
        <f>_xll.BDP($D225,E$40)</f>
        <v>8.99</v>
      </c>
      <c r="F225">
        <f>_xll.BDP($D225,F$40)</f>
        <v>8.98</v>
      </c>
      <c r="G225">
        <f>_xll.BDP($D225,G$40)</f>
        <v>8.99</v>
      </c>
      <c r="H225" s="9" t="str">
        <f>_xll.BDP($D225,H$40)</f>
        <v>#N/A Field Not Applicable</v>
      </c>
      <c r="L225" s="9">
        <f t="shared" si="40"/>
        <v>8.99</v>
      </c>
    </row>
    <row r="226" spans="1:12" x14ac:dyDescent="0.2">
      <c r="A226" t="s">
        <v>16</v>
      </c>
      <c r="B226" t="str">
        <f>LEFT(D226,FIND(" ",D226)-1)</f>
        <v>MBI</v>
      </c>
      <c r="C226" s="16" t="str">
        <f>IF(A226="STOCK",B226,REPLACE(B226,FIND("+",B226),1,"."))</f>
        <v>MBI</v>
      </c>
      <c r="D226" t="s">
        <v>250</v>
      </c>
      <c r="E226">
        <f>_xll.BDP($D226,E$40)</f>
        <v>6.18</v>
      </c>
      <c r="F226">
        <f>_xll.BDP($D226,F$40)</f>
        <v>6.17</v>
      </c>
      <c r="G226">
        <f>_xll.BDP($D226,G$40)</f>
        <v>6.18</v>
      </c>
      <c r="H226" s="9" t="str">
        <f>_xll.BDP($D226,H$40)</f>
        <v>#N/A Field Not Applicable</v>
      </c>
      <c r="L226" s="9">
        <f t="shared" si="40"/>
        <v>6.18</v>
      </c>
    </row>
    <row r="227" spans="1:12" x14ac:dyDescent="0.2">
      <c r="A227" t="s">
        <v>16</v>
      </c>
      <c r="B227" s="23" t="s">
        <v>772</v>
      </c>
      <c r="C227" s="17" t="s">
        <v>772</v>
      </c>
      <c r="D227" s="22" t="s">
        <v>773</v>
      </c>
      <c r="E227" s="21">
        <f>_xll.BDP($D227,E$40)</f>
        <v>2.46</v>
      </c>
      <c r="F227">
        <f>_xll.BDP($D227,F$40)</f>
        <v>2.4500000000000002</v>
      </c>
      <c r="G227">
        <f>_xll.BDP($D227,G$40)</f>
        <v>2.46</v>
      </c>
      <c r="H227" s="9" t="str">
        <f>_xll.BDP($D227,H$40)</f>
        <v>#N/A Field Not Applicable</v>
      </c>
      <c r="L227" s="9">
        <f t="shared" si="40"/>
        <v>2.46</v>
      </c>
    </row>
    <row r="228" spans="1:12" x14ac:dyDescent="0.2">
      <c r="A228" t="s">
        <v>16</v>
      </c>
      <c r="B228" t="str">
        <f>LEFT(D228,FIND(" ",D228)-1)</f>
        <v>FBR</v>
      </c>
      <c r="C228" s="16" t="str">
        <f>IF(A228="STOCK",B228,REPLACE(B228,FIND("+",B228),1,"."))</f>
        <v>FBR</v>
      </c>
      <c r="D228" s="6" t="s">
        <v>181</v>
      </c>
      <c r="E228" t="str">
        <f>_xll.BDP($D228,E$40)</f>
        <v>#N/A N/A</v>
      </c>
      <c r="F228" t="str">
        <f>_xll.BDP($D228,F$40)</f>
        <v>#N/A N/A</v>
      </c>
      <c r="G228" t="str">
        <f>_xll.BDP($D228,G$40)</f>
        <v>#N/A N/A</v>
      </c>
      <c r="H228" s="9" t="str">
        <f>_xll.BDP($D228,H$40)</f>
        <v>#N/A Field Not Applicable</v>
      </c>
      <c r="L228" s="9" t="str">
        <f t="shared" si="40"/>
        <v>#N/A N/A</v>
      </c>
    </row>
    <row r="229" spans="1:12" x14ac:dyDescent="0.2">
      <c r="A229" t="s">
        <v>16</v>
      </c>
      <c r="B229" t="str">
        <f>LEFT(D229,FIND(" ",D229)-1)</f>
        <v>AMKR</v>
      </c>
      <c r="C229" s="16" t="s">
        <v>65</v>
      </c>
      <c r="D229" t="s">
        <v>66</v>
      </c>
      <c r="E229">
        <f>_xll.BDP($D229,E$40)</f>
        <v>7.28</v>
      </c>
      <c r="F229">
        <f>_xll.BDP($D229,F$40)</f>
        <v>7.27</v>
      </c>
      <c r="G229">
        <f>_xll.BDP($D229,G$40)</f>
        <v>7.28</v>
      </c>
      <c r="H229" s="9" t="str">
        <f>_xll.BDP($D229,H$40)</f>
        <v>#N/A Field Not Applicable</v>
      </c>
      <c r="L229" s="9">
        <f t="shared" si="40"/>
        <v>7.28</v>
      </c>
    </row>
    <row r="230" spans="1:12" x14ac:dyDescent="0.2">
      <c r="A230" t="s">
        <v>16</v>
      </c>
      <c r="B230" s="23" t="s">
        <v>989</v>
      </c>
      <c r="C230" s="17" t="s">
        <v>989</v>
      </c>
      <c r="D230" s="22" t="s">
        <v>990</v>
      </c>
      <c r="E230" s="21">
        <f>_xll.BDP($D230,E$40)</f>
        <v>1.45</v>
      </c>
      <c r="F230">
        <f>_xll.BDP($D230,F$40)</f>
        <v>1.39</v>
      </c>
      <c r="G230">
        <f>_xll.BDP($D230,G$40)</f>
        <v>1.43</v>
      </c>
      <c r="H230" s="9" t="str">
        <f>_xll.BDP($D230,H$40)</f>
        <v>#N/A Field Not Applicable</v>
      </c>
      <c r="L230" s="9">
        <f t="shared" si="40"/>
        <v>1.45</v>
      </c>
    </row>
    <row r="231" spans="1:12" x14ac:dyDescent="0.2">
      <c r="A231" t="s">
        <v>16</v>
      </c>
      <c r="B231" t="str">
        <f>LEFT(D231,FIND(" ",D231)-1)</f>
        <v>WPX</v>
      </c>
      <c r="C231" s="16" t="str">
        <f>IF(A231="STOCK",B231,REPLACE(B231,FIND("+",B231),1,"."))</f>
        <v>WPX</v>
      </c>
      <c r="D231" t="s">
        <v>496</v>
      </c>
      <c r="E231">
        <f>_xll.BDP($D231,E$40)</f>
        <v>3.41</v>
      </c>
      <c r="F231">
        <f>_xll.BDP($D231,F$40)</f>
        <v>3.4</v>
      </c>
      <c r="G231">
        <f>_xll.BDP($D231,G$40)</f>
        <v>3.41</v>
      </c>
      <c r="H231" s="9" t="str">
        <f>_xll.BDP($D231,H$40)</f>
        <v>#N/A Field Not Applicable</v>
      </c>
      <c r="L231" s="9">
        <f t="shared" si="40"/>
        <v>3.41</v>
      </c>
    </row>
    <row r="232" spans="1:12" x14ac:dyDescent="0.2">
      <c r="A232" t="s">
        <v>16</v>
      </c>
      <c r="B232" t="str">
        <f>LEFT(D232,FIND(" ",D232)-1)</f>
        <v>FOSL</v>
      </c>
      <c r="C232" s="16" t="str">
        <f>IF(A232="STOCK",B232,REPLACE(B232,FIND("+",B232),1,"."))</f>
        <v>FOSL</v>
      </c>
      <c r="D232" s="9" t="s">
        <v>190</v>
      </c>
      <c r="E232">
        <f>_xll.BDP($D232,E$40)</f>
        <v>3.55</v>
      </c>
      <c r="F232">
        <f>_xll.BDP($D232,F$40)</f>
        <v>3.53</v>
      </c>
      <c r="G232">
        <f>_xll.BDP($D232,G$40)</f>
        <v>3.54</v>
      </c>
      <c r="H232" s="9" t="str">
        <f>_xll.BDP($D232,H$40)</f>
        <v>#N/A Field Not Applicable</v>
      </c>
      <c r="L232" s="9">
        <f t="shared" si="40"/>
        <v>3.55</v>
      </c>
    </row>
    <row r="233" spans="1:12" x14ac:dyDescent="0.2">
      <c r="A233" t="s">
        <v>16</v>
      </c>
      <c r="B233" t="str">
        <f>LEFT(D233,FIND(" ",D233)-1)</f>
        <v>BGFV</v>
      </c>
      <c r="C233" s="16" t="str">
        <f>IF(A233="STOCK",B233,REPLACE(B233,FIND("+",B233),1,"."))</f>
        <v>BGFV</v>
      </c>
      <c r="D233" t="s">
        <v>93</v>
      </c>
      <c r="E233">
        <f>_xll.BDP($D233,E$40)</f>
        <v>1.27</v>
      </c>
      <c r="F233">
        <f>_xll.BDP($D233,F$40)</f>
        <v>1.26</v>
      </c>
      <c r="G233">
        <f>_xll.BDP($D233,G$40)</f>
        <v>1.27</v>
      </c>
      <c r="H233" s="9" t="str">
        <f>_xll.BDP($D233,H$40)</f>
        <v>#N/A Field Not Applicable</v>
      </c>
      <c r="L233" s="9">
        <f t="shared" si="40"/>
        <v>1.27</v>
      </c>
    </row>
    <row r="234" spans="1:12" x14ac:dyDescent="0.2">
      <c r="A234" t="s">
        <v>16</v>
      </c>
      <c r="B234" t="str">
        <f>LEFT(D234,FIND(" ",D234)-1)</f>
        <v>SLM</v>
      </c>
      <c r="C234" s="16" t="str">
        <f>IF(A234="STOCK",B234,REPLACE(B234,FIND("+",B234),1,"."))</f>
        <v>SLM</v>
      </c>
      <c r="D234" t="s">
        <v>331</v>
      </c>
      <c r="E234">
        <f>_xll.BDP($D234,E$40)</f>
        <v>6.79</v>
      </c>
      <c r="F234">
        <f>_xll.BDP($D234,F$40)</f>
        <v>6.79</v>
      </c>
      <c r="G234">
        <f>_xll.BDP($D234,G$40)</f>
        <v>6.8</v>
      </c>
      <c r="H234" s="9" t="str">
        <f>_xll.BDP($D234,H$40)</f>
        <v>#N/A Field Not Applicable</v>
      </c>
      <c r="L234" s="9">
        <f t="shared" si="40"/>
        <v>6.79</v>
      </c>
    </row>
    <row r="235" spans="1:12" x14ac:dyDescent="0.2">
      <c r="A235" t="s">
        <v>16</v>
      </c>
      <c r="B235" t="str">
        <f>LEFT(D235,FIND(" ",D235)-1)</f>
        <v>MTG</v>
      </c>
      <c r="C235" s="16" t="str">
        <f>IF(A235="STOCK",B235,REPLACE(B235,FIND("+",B235),1,"."))</f>
        <v>MTG</v>
      </c>
      <c r="D235" t="s">
        <v>267</v>
      </c>
      <c r="E235">
        <f>_xll.BDP($D235,E$40)</f>
        <v>7.82</v>
      </c>
      <c r="F235">
        <f>_xll.BDP($D235,F$40)</f>
        <v>7.82</v>
      </c>
      <c r="G235">
        <f>_xll.BDP($D235,G$40)</f>
        <v>7.83</v>
      </c>
      <c r="H235" s="9" t="str">
        <f>_xll.BDP($D235,H$40)</f>
        <v>#N/A Field Not Applicable</v>
      </c>
      <c r="L235" s="9">
        <f t="shared" si="40"/>
        <v>7.82</v>
      </c>
    </row>
    <row r="236" spans="1:12" x14ac:dyDescent="0.2">
      <c r="A236" t="s">
        <v>16</v>
      </c>
      <c r="B236" t="s">
        <v>662</v>
      </c>
      <c r="C236" s="16" t="s">
        <v>662</v>
      </c>
      <c r="D236" t="s">
        <v>663</v>
      </c>
      <c r="E236">
        <f>_xll.BDP($D236,E$40)</f>
        <v>1.63</v>
      </c>
      <c r="F236">
        <f>_xll.BDP($D236,F$40)</f>
        <v>1.57</v>
      </c>
      <c r="G236">
        <f>_xll.BDP($D236,G$40)</f>
        <v>1.58</v>
      </c>
      <c r="H236" s="9" t="str">
        <f>_xll.BDP($D236,H$40)</f>
        <v>#N/A Field Not Applicable</v>
      </c>
      <c r="L236" s="9">
        <f t="shared" si="40"/>
        <v>1.63</v>
      </c>
    </row>
    <row r="237" spans="1:12" x14ac:dyDescent="0.2">
      <c r="A237" t="s">
        <v>16</v>
      </c>
      <c r="B237" s="23" t="s">
        <v>960</v>
      </c>
      <c r="C237" s="17" t="s">
        <v>961</v>
      </c>
      <c r="D237" s="22" t="s">
        <v>962</v>
      </c>
      <c r="E237" s="21">
        <f>_xll.BDP($D237,E$40)</f>
        <v>7.76</v>
      </c>
      <c r="F237">
        <f>_xll.BDP($D237,F$40)</f>
        <v>7.75</v>
      </c>
      <c r="G237">
        <f>_xll.BDP($D237,G$40)</f>
        <v>7.76</v>
      </c>
      <c r="H237" s="9" t="str">
        <f>_xll.BDP($D237,H$40)</f>
        <v>#N/A Field Not Applicable</v>
      </c>
      <c r="L237" s="9">
        <f t="shared" si="40"/>
        <v>7.76</v>
      </c>
    </row>
    <row r="238" spans="1:12" x14ac:dyDescent="0.2">
      <c r="A238" t="s">
        <v>16</v>
      </c>
      <c r="B238" t="str">
        <f>LEFT(D238,FIND(" ",D238)-1)</f>
        <v>NLY</v>
      </c>
      <c r="C238" s="16" t="str">
        <f>IF(A238="STOCK",B238,REPLACE(B238,FIND("+",B238),1,"."))</f>
        <v>NLY</v>
      </c>
      <c r="D238" t="s">
        <v>278</v>
      </c>
      <c r="E238">
        <f>_xll.BDP($D238,E$40)</f>
        <v>6.62</v>
      </c>
      <c r="F238">
        <f>_xll.BDP($D238,F$40)</f>
        <v>6.7</v>
      </c>
      <c r="G238">
        <f>_xll.BDP($D238,G$40)</f>
        <v>6.71</v>
      </c>
      <c r="H238" s="9" t="str">
        <f>_xll.BDP($D238,H$40)</f>
        <v>#N/A Field Not Applicable</v>
      </c>
      <c r="L238" s="9">
        <f t="shared" si="40"/>
        <v>6.62</v>
      </c>
    </row>
    <row r="239" spans="1:12" x14ac:dyDescent="0.2">
      <c r="A239" t="s">
        <v>16</v>
      </c>
      <c r="B239" t="str">
        <f>LEFT(D239,FIND(" ",D239)-1)</f>
        <v>GNMK</v>
      </c>
      <c r="C239" s="16" t="str">
        <f>IF(A239="STOCK",B239,REPLACE(B239,FIND("+",B239),1,"."))</f>
        <v>GNMK</v>
      </c>
      <c r="D239" t="s">
        <v>522</v>
      </c>
      <c r="E239">
        <f>_xll.BDP($D239,E$40)</f>
        <v>4.54</v>
      </c>
      <c r="F239">
        <f>_xll.BDP($D239,F$40)</f>
        <v>4.53</v>
      </c>
      <c r="G239">
        <f>_xll.BDP($D239,G$40)</f>
        <v>4.54</v>
      </c>
      <c r="H239" s="9" t="str">
        <f>_xll.BDP($D239,H$40)</f>
        <v>#N/A Field Not Applicable</v>
      </c>
      <c r="L239" s="9">
        <f t="shared" si="40"/>
        <v>4.54</v>
      </c>
    </row>
    <row r="240" spans="1:12" x14ac:dyDescent="0.2">
      <c r="A240" t="s">
        <v>16</v>
      </c>
      <c r="B240" t="s">
        <v>576</v>
      </c>
      <c r="C240" s="16" t="s">
        <v>576</v>
      </c>
      <c r="D240" t="s">
        <v>577</v>
      </c>
      <c r="E240">
        <f>_xll.BDP($D240,E$40)</f>
        <v>1.8</v>
      </c>
      <c r="F240">
        <f>_xll.BDP($D240,F$40)</f>
        <v>1.79</v>
      </c>
      <c r="G240">
        <f>_xll.BDP($D240,G$40)</f>
        <v>1.8</v>
      </c>
      <c r="H240" s="9" t="str">
        <f>_xll.BDP($D240,H$40)</f>
        <v>#N/A Field Not Applicable</v>
      </c>
      <c r="L240" s="9">
        <f t="shared" si="40"/>
        <v>1.8</v>
      </c>
    </row>
    <row r="241" spans="1:12" x14ac:dyDescent="0.2">
      <c r="A241" t="s">
        <v>16</v>
      </c>
      <c r="B241" t="str">
        <f t="shared" ref="B241:B247" si="43">LEFT(D241,FIND(" ",D241)-1)</f>
        <v>MDRX</v>
      </c>
      <c r="C241" s="16" t="str">
        <f t="shared" ref="C241:C247" si="44">IF(A241="STOCK",B241,REPLACE(B241,FIND("+",B241),1,"."))</f>
        <v>MDRX</v>
      </c>
      <c r="D241" t="s">
        <v>253</v>
      </c>
      <c r="E241">
        <f>_xll.BDP($D241,E$40)</f>
        <v>5.19</v>
      </c>
      <c r="F241">
        <f>_xll.BDP($D241,F$40)</f>
        <v>5.18</v>
      </c>
      <c r="G241">
        <f>_xll.BDP($D241,G$40)</f>
        <v>5.19</v>
      </c>
      <c r="H241" s="9" t="str">
        <f>_xll.BDP($D241,H$40)</f>
        <v>#N/A Field Not Applicable</v>
      </c>
      <c r="L241" s="9">
        <f t="shared" si="40"/>
        <v>5.19</v>
      </c>
    </row>
    <row r="242" spans="1:12" x14ac:dyDescent="0.2">
      <c r="A242" t="s">
        <v>16</v>
      </c>
      <c r="B242" t="str">
        <f t="shared" si="43"/>
        <v>ANGI</v>
      </c>
      <c r="C242" s="16" t="str">
        <f t="shared" si="44"/>
        <v>ANGI</v>
      </c>
      <c r="D242" t="s">
        <v>543</v>
      </c>
      <c r="E242">
        <f>_xll.BDP($D242,E$40)</f>
        <v>4.6100000000000003</v>
      </c>
      <c r="F242">
        <f>_xll.BDP($D242,F$40)</f>
        <v>4.54</v>
      </c>
      <c r="G242">
        <f>_xll.BDP($D242,G$40)</f>
        <v>4.55</v>
      </c>
      <c r="H242" s="9" t="str">
        <f>_xll.BDP($D242,H$40)</f>
        <v>#N/A Field Not Applicable</v>
      </c>
      <c r="L242" s="9">
        <f t="shared" si="40"/>
        <v>4.6100000000000003</v>
      </c>
    </row>
    <row r="243" spans="1:12" x14ac:dyDescent="0.2">
      <c r="A243" t="s">
        <v>16</v>
      </c>
      <c r="B243" t="str">
        <f t="shared" si="43"/>
        <v>BGCP</v>
      </c>
      <c r="C243" s="16" t="str">
        <f t="shared" si="44"/>
        <v>BGCP</v>
      </c>
      <c r="D243" t="s">
        <v>92</v>
      </c>
      <c r="E243">
        <f>_xll.BDP($D243,E$40)</f>
        <v>3.07</v>
      </c>
      <c r="F243">
        <f>_xll.BDP($D243,F$40)</f>
        <v>3.05</v>
      </c>
      <c r="G243">
        <f>_xll.BDP($D243,G$40)</f>
        <v>3.06</v>
      </c>
      <c r="H243" s="9" t="str">
        <f>_xll.BDP($D243,H$40)</f>
        <v>#N/A Field Not Applicable</v>
      </c>
      <c r="L243" s="9">
        <f t="shared" si="40"/>
        <v>3.07</v>
      </c>
    </row>
    <row r="244" spans="1:12" x14ac:dyDescent="0.2">
      <c r="A244" t="s">
        <v>16</v>
      </c>
      <c r="B244" t="str">
        <f t="shared" si="43"/>
        <v>RRD</v>
      </c>
      <c r="C244" s="16" t="str">
        <f t="shared" si="44"/>
        <v>RRD</v>
      </c>
      <c r="D244" t="s">
        <v>469</v>
      </c>
      <c r="E244">
        <f>_xll.BDP($D244,E$40)</f>
        <v>1.6</v>
      </c>
      <c r="F244">
        <f>_xll.BDP($D244,F$40)</f>
        <v>1.6</v>
      </c>
      <c r="G244">
        <f>_xll.BDP($D244,G$40)</f>
        <v>1.61</v>
      </c>
      <c r="H244" s="9" t="str">
        <f>_xll.BDP($D244,H$40)</f>
        <v>#N/A Field Not Applicable</v>
      </c>
      <c r="L244" s="9">
        <f t="shared" si="40"/>
        <v>1.6</v>
      </c>
    </row>
    <row r="245" spans="1:12" x14ac:dyDescent="0.2">
      <c r="A245" t="s">
        <v>16</v>
      </c>
      <c r="B245" t="str">
        <f t="shared" si="43"/>
        <v>CZR</v>
      </c>
      <c r="C245" s="16" t="str">
        <f t="shared" si="44"/>
        <v>CZR</v>
      </c>
      <c r="D245" t="s">
        <v>546</v>
      </c>
      <c r="E245">
        <f>_xll.BDP($D245,E$40)</f>
        <v>6.08</v>
      </c>
      <c r="F245">
        <f>_xll.BDP($D245,F$40)</f>
        <v>6.06</v>
      </c>
      <c r="G245">
        <f>_xll.BDP($D245,G$40)</f>
        <v>6.07</v>
      </c>
      <c r="H245" s="9" t="str">
        <f>_xll.BDP($D245,H$40)</f>
        <v>#N/A Field Not Applicable</v>
      </c>
      <c r="L245" s="9">
        <f t="shared" si="40"/>
        <v>6.08</v>
      </c>
    </row>
    <row r="246" spans="1:12" x14ac:dyDescent="0.2">
      <c r="A246" t="s">
        <v>16</v>
      </c>
      <c r="B246" t="str">
        <f t="shared" si="43"/>
        <v>ZUMZ</v>
      </c>
      <c r="C246" s="16" t="str">
        <f t="shared" si="44"/>
        <v>ZUMZ</v>
      </c>
      <c r="D246" t="s">
        <v>386</v>
      </c>
      <c r="E246">
        <f>_xll.BDP($D246,E$40)</f>
        <v>18.600000000000001</v>
      </c>
      <c r="F246">
        <f>_xll.BDP($D246,F$40)</f>
        <v>18.59</v>
      </c>
      <c r="G246">
        <f>_xll.BDP($D246,G$40)</f>
        <v>18.600000000000001</v>
      </c>
      <c r="H246" s="9" t="str">
        <f>_xll.BDP($D246,H$40)</f>
        <v>#N/A Field Not Applicable</v>
      </c>
      <c r="L246" s="9">
        <f t="shared" si="40"/>
        <v>18.600000000000001</v>
      </c>
    </row>
    <row r="247" spans="1:12" x14ac:dyDescent="0.2">
      <c r="A247" t="s">
        <v>16</v>
      </c>
      <c r="B247" t="str">
        <f t="shared" si="43"/>
        <v>YRCW</v>
      </c>
      <c r="C247" s="16" t="str">
        <f t="shared" si="44"/>
        <v>YRCW</v>
      </c>
      <c r="D247" t="s">
        <v>399</v>
      </c>
      <c r="E247">
        <f>_xll.BDP($D247,E$40)</f>
        <v>1.5</v>
      </c>
      <c r="F247">
        <f>_xll.BDP($D247,F$40)</f>
        <v>1.48</v>
      </c>
      <c r="G247">
        <f>_xll.BDP($D247,G$40)</f>
        <v>1.49</v>
      </c>
      <c r="H247" s="9" t="str">
        <f>_xll.BDP($D247,H$40)</f>
        <v>#N/A Field Not Applicable</v>
      </c>
      <c r="L247" s="9">
        <f t="shared" si="40"/>
        <v>1.5</v>
      </c>
    </row>
    <row r="248" spans="1:12" s="9" customFormat="1" x14ac:dyDescent="0.2">
      <c r="A248" s="9" t="s">
        <v>16</v>
      </c>
      <c r="B248" s="23" t="s">
        <v>780</v>
      </c>
      <c r="C248" s="17" t="s">
        <v>780</v>
      </c>
      <c r="D248" s="22" t="s">
        <v>399</v>
      </c>
      <c r="E248" s="21">
        <f>_xll.BDP($D248,E$40)</f>
        <v>1.5</v>
      </c>
      <c r="F248" s="9">
        <f>_xll.BDP($D248,F$40)</f>
        <v>1.48</v>
      </c>
      <c r="G248" s="9">
        <f>_xll.BDP($D248,G$40)</f>
        <v>1.49</v>
      </c>
      <c r="H248" s="9" t="str">
        <f>_xll.BDP($D248,H$40)</f>
        <v>#N/A Field Not Applicable</v>
      </c>
      <c r="L248" s="9">
        <f t="shared" si="40"/>
        <v>1.5</v>
      </c>
    </row>
    <row r="249" spans="1:12" x14ac:dyDescent="0.2">
      <c r="A249" t="s">
        <v>16</v>
      </c>
      <c r="B249" t="str">
        <f>LEFT(D249,FIND(" ",D249)-1)</f>
        <v>GES</v>
      </c>
      <c r="C249" s="16" t="str">
        <f>IF(A249="STOCK",B249,REPLACE(B249,FIND("+",B249),1,"."))</f>
        <v>GES</v>
      </c>
      <c r="D249" t="s">
        <v>195</v>
      </c>
      <c r="E249">
        <f>_xll.BDP($D249,E$40)</f>
        <v>7.48</v>
      </c>
      <c r="F249">
        <f>_xll.BDP($D249,F$40)</f>
        <v>7.47</v>
      </c>
      <c r="G249">
        <f>_xll.BDP($D249,G$40)</f>
        <v>7.48</v>
      </c>
      <c r="H249" s="9" t="str">
        <f>_xll.BDP($D249,H$40)</f>
        <v>#N/A Field Not Applicable</v>
      </c>
      <c r="L249" s="9">
        <f t="shared" si="40"/>
        <v>7.48</v>
      </c>
    </row>
    <row r="250" spans="1:12" x14ac:dyDescent="0.2">
      <c r="A250" t="s">
        <v>16</v>
      </c>
      <c r="B250" t="str">
        <f>LEFT(D250,FIND(" ",D250)-1)</f>
        <v>CDZI</v>
      </c>
      <c r="C250" s="16" t="str">
        <f>IF(A250="STOCK",B250,REPLACE(B250,FIND("+",B250),1,"."))</f>
        <v>CDZI</v>
      </c>
      <c r="D250" t="s">
        <v>116</v>
      </c>
      <c r="E250">
        <f>_xll.BDP($D250,E$40)</f>
        <v>9.7100000000000009</v>
      </c>
      <c r="F250">
        <f>_xll.BDP($D250,F$40)</f>
        <v>9.68</v>
      </c>
      <c r="G250">
        <f>_xll.BDP($D250,G$40)</f>
        <v>9.69</v>
      </c>
      <c r="H250" s="9" t="str">
        <f>_xll.BDP($D250,H$40)</f>
        <v>#N/A Field Not Applicable</v>
      </c>
      <c r="L250" s="9">
        <f t="shared" si="40"/>
        <v>9.7100000000000009</v>
      </c>
    </row>
    <row r="251" spans="1:12" x14ac:dyDescent="0.2">
      <c r="A251" t="s">
        <v>16</v>
      </c>
      <c r="B251" t="s">
        <v>603</v>
      </c>
      <c r="C251" s="16" t="s">
        <v>603</v>
      </c>
      <c r="D251" t="s">
        <v>604</v>
      </c>
      <c r="E251">
        <f>_xll.BDP($D251,E$40)</f>
        <v>8.5399999999999991</v>
      </c>
      <c r="F251">
        <f>_xll.BDP($D251,F$40)</f>
        <v>8.5299999999999994</v>
      </c>
      <c r="G251">
        <f>_xll.BDP($D251,G$40)</f>
        <v>8.5399999999999991</v>
      </c>
      <c r="H251" s="9" t="str">
        <f>_xll.BDP($D251,H$40)</f>
        <v>#N/A Field Not Applicable</v>
      </c>
      <c r="L251" s="9">
        <f t="shared" si="40"/>
        <v>8.5399999999999991</v>
      </c>
    </row>
    <row r="252" spans="1:12" x14ac:dyDescent="0.2">
      <c r="A252" t="s">
        <v>16</v>
      </c>
      <c r="B252" t="str">
        <f>LEFT(D252,FIND(" ",D252)-1)</f>
        <v>TWI</v>
      </c>
      <c r="C252" s="16" t="str">
        <f>IF(A252="STOCK",B252,REPLACE(B252,FIND("+",B252),1,"."))</f>
        <v>TWI</v>
      </c>
      <c r="D252" t="s">
        <v>356</v>
      </c>
      <c r="E252">
        <f>_xll.BDP($D252,E$40)</f>
        <v>1.7</v>
      </c>
      <c r="F252">
        <f>_xll.BDP($D252,F$40)</f>
        <v>1.69</v>
      </c>
      <c r="G252">
        <f>_xll.BDP($D252,G$40)</f>
        <v>1.7</v>
      </c>
      <c r="H252" s="9" t="str">
        <f>_xll.BDP($D252,H$40)</f>
        <v>#N/A Field Not Applicable</v>
      </c>
      <c r="L252" s="9">
        <f t="shared" si="40"/>
        <v>1.7</v>
      </c>
    </row>
    <row r="253" spans="1:12" x14ac:dyDescent="0.2">
      <c r="A253" t="s">
        <v>16</v>
      </c>
      <c r="B253" s="23" t="s">
        <v>841</v>
      </c>
      <c r="C253" s="17" t="s">
        <v>841</v>
      </c>
      <c r="D253" s="22" t="s">
        <v>842</v>
      </c>
      <c r="E253" s="21">
        <f>_xll.BDP($D253,E$40)</f>
        <v>15.37</v>
      </c>
      <c r="F253">
        <f>_xll.BDP($D253,F$40)</f>
        <v>15.36</v>
      </c>
      <c r="G253">
        <f>_xll.BDP($D253,G$40)</f>
        <v>15.37</v>
      </c>
      <c r="H253" s="9" t="str">
        <f>_xll.BDP($D253,H$40)</f>
        <v>#N/A Field Not Applicable</v>
      </c>
      <c r="L253" s="9">
        <f t="shared" si="40"/>
        <v>15.37</v>
      </c>
    </row>
    <row r="254" spans="1:12" x14ac:dyDescent="0.2">
      <c r="A254" t="s">
        <v>16</v>
      </c>
      <c r="B254" t="str">
        <f>LEFT(D254,FIND(" ",D254)-1)</f>
        <v>HBAN</v>
      </c>
      <c r="C254" s="16" t="str">
        <f>IF(A254="STOCK",B254,REPLACE(B254,FIND("+",B254),1,"."))</f>
        <v>HBAN</v>
      </c>
      <c r="D254" t="s">
        <v>206</v>
      </c>
      <c r="E254">
        <f>_xll.BDP($D254,E$40)</f>
        <v>8.43</v>
      </c>
      <c r="F254">
        <f>_xll.BDP($D254,F$40)</f>
        <v>8.4700000000000006</v>
      </c>
      <c r="G254">
        <f>_xll.BDP($D254,G$40)</f>
        <v>8.48</v>
      </c>
      <c r="H254" s="9" t="str">
        <f>_xll.BDP($D254,H$40)</f>
        <v>#N/A Field Not Applicable</v>
      </c>
      <c r="L254" s="9">
        <f t="shared" si="40"/>
        <v>8.43</v>
      </c>
    </row>
    <row r="255" spans="1:12" x14ac:dyDescent="0.2">
      <c r="A255" t="s">
        <v>16</v>
      </c>
      <c r="B255" t="str">
        <f>LEFT(D255,FIND(" ",D255)-1)</f>
        <v>FORM</v>
      </c>
      <c r="C255" s="16" t="str">
        <f>IF(A255="STOCK",B255,REPLACE(B255,FIND("+",B255),1,"."))</f>
        <v>FORM</v>
      </c>
      <c r="D255" t="s">
        <v>189</v>
      </c>
      <c r="E255">
        <f>_xll.BDP($D255,E$40)</f>
        <v>16.84</v>
      </c>
      <c r="F255">
        <f>_xll.BDP($D255,F$40)</f>
        <v>16.8</v>
      </c>
      <c r="G255">
        <f>_xll.BDP($D255,G$40)</f>
        <v>16.84</v>
      </c>
      <c r="H255" s="9" t="str">
        <f>_xll.BDP($D255,H$40)</f>
        <v>#N/A Field Not Applicable</v>
      </c>
      <c r="L255" s="9">
        <f t="shared" si="40"/>
        <v>16.84</v>
      </c>
    </row>
    <row r="256" spans="1:12" x14ac:dyDescent="0.2">
      <c r="A256" t="s">
        <v>16</v>
      </c>
      <c r="B256" t="str">
        <f>LEFT(D256,FIND(" ",D256)-1)</f>
        <v>RECN</v>
      </c>
      <c r="C256" s="16" t="str">
        <f>IF(A256="STOCK",B256,REPLACE(B256,FIND("+",B256),1,"."))</f>
        <v>RECN</v>
      </c>
      <c r="D256" t="s">
        <v>312</v>
      </c>
      <c r="E256">
        <f>_xll.BDP($D256,E$40)</f>
        <v>9.3000000000000007</v>
      </c>
      <c r="F256">
        <f>_xll.BDP($D256,F$40)</f>
        <v>9.3000000000000007</v>
      </c>
      <c r="G256">
        <f>_xll.BDP($D256,G$40)</f>
        <v>9.31</v>
      </c>
      <c r="H256" s="9" t="str">
        <f>_xll.BDP($D256,H$40)</f>
        <v>#N/A Field Not Applicable</v>
      </c>
      <c r="L256" s="9">
        <f t="shared" si="40"/>
        <v>9.3000000000000007</v>
      </c>
    </row>
    <row r="257" spans="1:12" x14ac:dyDescent="0.2">
      <c r="A257" t="s">
        <v>16</v>
      </c>
      <c r="B257" t="str">
        <f>LEFT(D257,FIND(" ",D257)-1)</f>
        <v>MPO</v>
      </c>
      <c r="C257" s="16" t="str">
        <f>IF(A257="STOCK",B257,REPLACE(B257,FIND("+",B257),1,"."))</f>
        <v>MPO</v>
      </c>
      <c r="D257" s="9" t="s">
        <v>544</v>
      </c>
      <c r="E257" t="str">
        <f>_xll.BDP($D257,E$40)</f>
        <v>#N/A N/A</v>
      </c>
      <c r="F257" t="str">
        <f>_xll.BDP($D257,F$40)</f>
        <v>#N/A N/A</v>
      </c>
      <c r="G257" t="str">
        <f>_xll.BDP($D257,G$40)</f>
        <v>#N/A N/A</v>
      </c>
      <c r="H257" s="9" t="str">
        <f>_xll.BDP($D257,H$40)</f>
        <v>#N/A Field Not Applicable</v>
      </c>
      <c r="L257" s="9" t="str">
        <f t="shared" si="40"/>
        <v>#N/A N/A</v>
      </c>
    </row>
    <row r="258" spans="1:12" x14ac:dyDescent="0.2">
      <c r="A258" t="s">
        <v>16</v>
      </c>
      <c r="B258" t="s">
        <v>625</v>
      </c>
      <c r="C258" s="16" t="s">
        <v>625</v>
      </c>
      <c r="D258" t="s">
        <v>626</v>
      </c>
      <c r="E258">
        <f>_xll.BDP($D258,E$40)</f>
        <v>3.38</v>
      </c>
      <c r="F258">
        <f>_xll.BDP($D258,F$40)</f>
        <v>3.37</v>
      </c>
      <c r="G258">
        <f>_xll.BDP($D258,G$40)</f>
        <v>3.38</v>
      </c>
      <c r="H258" s="9" t="str">
        <f>_xll.BDP($D258,H$40)</f>
        <v>#N/A Field Not Applicable</v>
      </c>
      <c r="L258" s="9">
        <f t="shared" si="40"/>
        <v>3.38</v>
      </c>
    </row>
    <row r="259" spans="1:12" x14ac:dyDescent="0.2">
      <c r="A259" t="s">
        <v>16</v>
      </c>
      <c r="B259" t="str">
        <f>LEFT(D259,FIND(" ",D259)-1)</f>
        <v>CVA</v>
      </c>
      <c r="C259" s="16" t="str">
        <f>IF(A259="STOCK",B259,REPLACE(B259,FIND("+",B259),1,"."))</f>
        <v>CVA</v>
      </c>
      <c r="D259" t="s">
        <v>147</v>
      </c>
      <c r="E259">
        <f>_xll.BDP($D259,E$40)</f>
        <v>8.86</v>
      </c>
      <c r="F259">
        <f>_xll.BDP($D259,F$40)</f>
        <v>8.85</v>
      </c>
      <c r="G259">
        <f>_xll.BDP($D259,G$40)</f>
        <v>8.86</v>
      </c>
      <c r="H259" s="9" t="str">
        <f>_xll.BDP($D259,H$40)</f>
        <v>#N/A Field Not Applicable</v>
      </c>
      <c r="L259" s="9">
        <f t="shared" si="40"/>
        <v>8.86</v>
      </c>
    </row>
    <row r="260" spans="1:12" x14ac:dyDescent="0.2">
      <c r="A260" t="s">
        <v>16</v>
      </c>
      <c r="B260" t="str">
        <f>LEFT(D260,FIND(" ",D260)-1)</f>
        <v>GPOR</v>
      </c>
      <c r="C260" s="16" t="str">
        <f>IF(A260="STOCK",B260,REPLACE(B260,FIND("+",B260),1,"."))</f>
        <v>GPOR</v>
      </c>
      <c r="D260" t="s">
        <v>471</v>
      </c>
      <c r="E260">
        <f>_xll.BDP($D260,E$40)</f>
        <v>0.95</v>
      </c>
      <c r="F260">
        <f>_xll.BDP($D260,F$40)</f>
        <v>0.91379999999999995</v>
      </c>
      <c r="G260">
        <f>_xll.BDP($D260,G$40)</f>
        <v>0.92379999999999995</v>
      </c>
      <c r="H260" s="9" t="str">
        <f>_xll.BDP($D260,H$40)</f>
        <v>#N/A Field Not Applicable</v>
      </c>
      <c r="L260" s="9">
        <f t="shared" si="40"/>
        <v>0.95</v>
      </c>
    </row>
    <row r="261" spans="1:12" x14ac:dyDescent="0.2">
      <c r="A261" t="s">
        <v>16</v>
      </c>
      <c r="B261" t="str">
        <f>LEFT(D261,FIND(" ",D261)-1)</f>
        <v>AMD</v>
      </c>
      <c r="C261" s="16" t="str">
        <f>IF(A261="STOCK",B261,REPLACE(B261,FIND("+",B261),1,"."))</f>
        <v>AMD</v>
      </c>
      <c r="D261" t="s">
        <v>64</v>
      </c>
      <c r="E261">
        <f>_xll.BDP($D261,E$40)</f>
        <v>38.71</v>
      </c>
      <c r="F261">
        <f>_xll.BDP($D261,F$40)</f>
        <v>38.700000000000003</v>
      </c>
      <c r="G261">
        <f>_xll.BDP($D261,G$40)</f>
        <v>38.71</v>
      </c>
      <c r="H261" s="9" t="str">
        <f>_xll.BDP($D261,H$40)</f>
        <v>#N/A Field Not Applicable</v>
      </c>
      <c r="L261" s="9">
        <f t="shared" ref="L261:L314" si="45">IF(A261="STOCK",E261,IF(A261="SOPTION",G261,IF(A261="LOPTION",F261,"")))</f>
        <v>38.71</v>
      </c>
    </row>
    <row r="262" spans="1:12" x14ac:dyDescent="0.2">
      <c r="A262" t="s">
        <v>16</v>
      </c>
      <c r="B262" t="s">
        <v>623</v>
      </c>
      <c r="C262" s="16" t="s">
        <v>623</v>
      </c>
      <c r="D262" t="s">
        <v>624</v>
      </c>
      <c r="E262">
        <f>_xll.BDP($D262,E$40)</f>
        <v>31.5</v>
      </c>
      <c r="F262">
        <f>_xll.BDP($D262,F$40)</f>
        <v>31.49</v>
      </c>
      <c r="G262">
        <f>_xll.BDP($D262,G$40)</f>
        <v>31.5</v>
      </c>
      <c r="H262" s="9" t="str">
        <f>_xll.BDP($D262,H$40)</f>
        <v>#N/A Field Not Applicable</v>
      </c>
      <c r="L262" s="9">
        <f t="shared" si="45"/>
        <v>31.5</v>
      </c>
    </row>
    <row r="263" spans="1:12" x14ac:dyDescent="0.2">
      <c r="A263" t="s">
        <v>16</v>
      </c>
      <c r="B263" s="23" t="s">
        <v>832</v>
      </c>
      <c r="C263" s="17" t="s">
        <v>832</v>
      </c>
      <c r="D263" s="22" t="s">
        <v>833</v>
      </c>
      <c r="E263" s="21">
        <f>_xll.BDP($D263,E$40)</f>
        <v>0.50009999999999999</v>
      </c>
      <c r="F263">
        <f>_xll.BDP($D263,F$40)</f>
        <v>0.5</v>
      </c>
      <c r="G263">
        <f>_xll.BDP($D263,G$40)</f>
        <v>0.50009999999999999</v>
      </c>
      <c r="H263" s="9" t="str">
        <f>_xll.BDP($D263,H$40)</f>
        <v>#N/A Field Not Applicable</v>
      </c>
      <c r="L263" s="9">
        <f t="shared" si="45"/>
        <v>0.50009999999999999</v>
      </c>
    </row>
    <row r="264" spans="1:12" x14ac:dyDescent="0.2">
      <c r="A264" t="s">
        <v>16</v>
      </c>
      <c r="B264" t="str">
        <f>LEFT(D264,FIND(" ",D264)-1)</f>
        <v>BKD</v>
      </c>
      <c r="C264" s="16" t="str">
        <f>IF(A264="STOCK",B264,REPLACE(B264,FIND("+",B264),1,"."))</f>
        <v>BKD</v>
      </c>
      <c r="D264" t="s">
        <v>96</v>
      </c>
      <c r="E264">
        <f>_xll.BDP($D264,E$40)</f>
        <v>2.2599999999999998</v>
      </c>
      <c r="F264">
        <f>_xll.BDP($D264,F$40)</f>
        <v>2.2599999999999998</v>
      </c>
      <c r="G264">
        <f>_xll.BDP($D264,G$40)</f>
        <v>2.27</v>
      </c>
      <c r="H264" s="9" t="str">
        <f>_xll.BDP($D264,H$40)</f>
        <v>#N/A Field Not Applicable</v>
      </c>
      <c r="L264" s="9">
        <f t="shared" si="45"/>
        <v>2.2599999999999998</v>
      </c>
    </row>
    <row r="265" spans="1:12" x14ac:dyDescent="0.2">
      <c r="A265" t="s">
        <v>16</v>
      </c>
      <c r="B265" t="str">
        <f>LEFT(D265,FIND(" ",D265)-1)</f>
        <v>BKD</v>
      </c>
      <c r="C265" s="16" t="str">
        <f>IF(A265="STOCK",B265,REPLACE(B265,FIND("+",B265),1,"."))</f>
        <v>BKD</v>
      </c>
      <c r="D265" t="s">
        <v>96</v>
      </c>
      <c r="E265">
        <f>_xll.BDP($D265,E$40)</f>
        <v>2.2599999999999998</v>
      </c>
      <c r="F265">
        <f>_xll.BDP($D265,F$40)</f>
        <v>2.2599999999999998</v>
      </c>
      <c r="G265">
        <f>_xll.BDP($D265,G$40)</f>
        <v>2.27</v>
      </c>
      <c r="H265" s="9" t="str">
        <f>_xll.BDP($D265,H$40)</f>
        <v>#N/A Field Not Applicable</v>
      </c>
      <c r="L265" s="9">
        <f t="shared" si="45"/>
        <v>2.2599999999999998</v>
      </c>
    </row>
    <row r="266" spans="1:12" x14ac:dyDescent="0.2">
      <c r="A266" t="s">
        <v>16</v>
      </c>
      <c r="B266" t="str">
        <f>LEFT(D266,FIND(" ",D266)-1)</f>
        <v>FCX</v>
      </c>
      <c r="C266" s="16" t="str">
        <f>IF(A266="STOCK",B266,REPLACE(B266,FIND("+",B266),1,"."))</f>
        <v>FCX</v>
      </c>
      <c r="D266" t="s">
        <v>525</v>
      </c>
      <c r="E266">
        <f>_xll.BDP($D266,E$40)</f>
        <v>6.24</v>
      </c>
      <c r="F266">
        <f>_xll.BDP($D266,F$40)</f>
        <v>6.23</v>
      </c>
      <c r="G266">
        <f>_xll.BDP($D266,G$40)</f>
        <v>6.24</v>
      </c>
      <c r="H266" s="9" t="str">
        <f>_xll.BDP($D266,H$40)</f>
        <v>#N/A Field Not Applicable</v>
      </c>
      <c r="L266" s="9">
        <f t="shared" si="45"/>
        <v>6.24</v>
      </c>
    </row>
    <row r="267" spans="1:12" x14ac:dyDescent="0.2">
      <c r="A267" t="s">
        <v>16</v>
      </c>
      <c r="B267" t="s">
        <v>620</v>
      </c>
      <c r="C267" s="16" t="s">
        <v>620</v>
      </c>
      <c r="D267" t="s">
        <v>525</v>
      </c>
      <c r="E267">
        <f>_xll.BDP($D267,E$40)</f>
        <v>6.24</v>
      </c>
      <c r="F267">
        <f>_xll.BDP($D267,F$40)</f>
        <v>6.23</v>
      </c>
      <c r="G267">
        <f>_xll.BDP($D267,G$40)</f>
        <v>6.24</v>
      </c>
      <c r="H267" s="9" t="str">
        <f>_xll.BDP($D267,H$40)</f>
        <v>#N/A Field Not Applicable</v>
      </c>
      <c r="L267" s="9">
        <f t="shared" si="45"/>
        <v>6.24</v>
      </c>
    </row>
    <row r="268" spans="1:12" x14ac:dyDescent="0.2">
      <c r="A268" t="s">
        <v>16</v>
      </c>
      <c r="B268" t="str">
        <f>LEFT(D268,FIND(" ",D268)-1)</f>
        <v>CY</v>
      </c>
      <c r="C268" s="16" t="str">
        <f>IF(A268="STOCK",B268,REPLACE(B268,FIND("+",B268),1,"."))</f>
        <v>CY</v>
      </c>
      <c r="D268" t="s">
        <v>149</v>
      </c>
      <c r="E268">
        <f>_xll.BDP($D268,E$40)</f>
        <v>21.32</v>
      </c>
      <c r="F268">
        <f>_xll.BDP($D268,F$40)</f>
        <v>21.3</v>
      </c>
      <c r="G268">
        <f>_xll.BDP($D268,G$40)</f>
        <v>21.31</v>
      </c>
      <c r="H268" s="9" t="str">
        <f>_xll.BDP($D268,H$40)</f>
        <v>#N/A Field Not Applicable</v>
      </c>
      <c r="L268" s="9">
        <f t="shared" si="45"/>
        <v>21.32</v>
      </c>
    </row>
    <row r="269" spans="1:12" x14ac:dyDescent="0.2">
      <c r="A269" t="s">
        <v>16</v>
      </c>
      <c r="B269" t="str">
        <f>LEFT(D269,FIND(" ",D269)-1)</f>
        <v>HZO</v>
      </c>
      <c r="C269" s="16" t="str">
        <f>IF(A269="STOCK",B269,REPLACE(B269,FIND("+",B269),1,"."))</f>
        <v>HZO</v>
      </c>
      <c r="D269" t="s">
        <v>216</v>
      </c>
      <c r="E269">
        <f>_xll.BDP($D269,E$40)</f>
        <v>10.16</v>
      </c>
      <c r="F269">
        <f>_xll.BDP($D269,F$40)</f>
        <v>10.15</v>
      </c>
      <c r="G269">
        <f>_xll.BDP($D269,G$40)</f>
        <v>10.16</v>
      </c>
      <c r="H269" s="9" t="str">
        <f>_xll.BDP($D269,H$40)</f>
        <v>#N/A Field Not Applicable</v>
      </c>
      <c r="L269" s="9">
        <f t="shared" si="45"/>
        <v>10.16</v>
      </c>
    </row>
    <row r="270" spans="1:12" x14ac:dyDescent="0.2">
      <c r="A270" t="s">
        <v>16</v>
      </c>
      <c r="B270" t="str">
        <f>LEFT(D270,FIND(" ",D270)-1)</f>
        <v>NWS</v>
      </c>
      <c r="C270" s="16" t="str">
        <f>IF(A270="STOCK",B270,REPLACE(B270,FIND("+",B270),1,"."))</f>
        <v>NWS</v>
      </c>
      <c r="D270" t="s">
        <v>282</v>
      </c>
      <c r="E270">
        <f>_xll.BDP($D270,E$40)</f>
        <v>10.28</v>
      </c>
      <c r="F270">
        <f>_xll.BDP($D270,F$40)</f>
        <v>10.27</v>
      </c>
      <c r="G270">
        <f>_xll.BDP($D270,G$40)</f>
        <v>10.28</v>
      </c>
      <c r="H270" s="9" t="str">
        <f>_xll.BDP($D270,H$40)</f>
        <v>#N/A Field Not Applicable</v>
      </c>
      <c r="L270" s="9">
        <f t="shared" si="45"/>
        <v>10.28</v>
      </c>
    </row>
    <row r="271" spans="1:12" x14ac:dyDescent="0.2">
      <c r="A271" t="s">
        <v>16</v>
      </c>
      <c r="B271" t="str">
        <f>LEFT(D271,FIND(" ",D271)-1)</f>
        <v>EGHT</v>
      </c>
      <c r="C271" s="16" t="str">
        <f>IF(A271="STOCK",B271,REPLACE(B271,FIND("+",B271),1,"."))</f>
        <v>EGHT</v>
      </c>
      <c r="D271" t="s">
        <v>166</v>
      </c>
      <c r="E271">
        <f>_xll.BDP($D271,E$40)</f>
        <v>11.76</v>
      </c>
      <c r="F271">
        <f>_xll.BDP($D271,F$40)</f>
        <v>11.75</v>
      </c>
      <c r="G271">
        <f>_xll.BDP($D271,G$40)</f>
        <v>11.76</v>
      </c>
      <c r="H271" s="9" t="str">
        <f>_xll.BDP($D271,H$40)</f>
        <v>#N/A Field Not Applicable</v>
      </c>
      <c r="L271" s="9">
        <f t="shared" si="45"/>
        <v>11.76</v>
      </c>
    </row>
    <row r="272" spans="1:12" x14ac:dyDescent="0.2">
      <c r="A272" t="s">
        <v>16</v>
      </c>
      <c r="B272" s="23" t="s">
        <v>952</v>
      </c>
      <c r="C272" s="17" t="s">
        <v>952</v>
      </c>
      <c r="D272" s="22" t="s">
        <v>953</v>
      </c>
      <c r="E272" s="21">
        <f>_xll.BDP($D272,E$40)</f>
        <v>41.65</v>
      </c>
      <c r="F272">
        <f>_xll.BDP($D272,F$40)</f>
        <v>41.64</v>
      </c>
      <c r="G272">
        <f>_xll.BDP($D272,G$40)</f>
        <v>41.65</v>
      </c>
      <c r="H272" s="9" t="str">
        <f>_xll.BDP($D272,H$40)</f>
        <v>#N/A Field Not Applicable</v>
      </c>
      <c r="L272" s="9">
        <f t="shared" si="45"/>
        <v>41.65</v>
      </c>
    </row>
    <row r="273" spans="1:12" x14ac:dyDescent="0.2">
      <c r="A273" t="s">
        <v>16</v>
      </c>
      <c r="B273" t="str">
        <f>LEFT(D273,FIND(" ",D273)-1)</f>
        <v>KBR</v>
      </c>
      <c r="C273" s="16" t="str">
        <f>IF(A273="STOCK",B273,REPLACE(B273,FIND("+",B273),1,"."))</f>
        <v>KBR</v>
      </c>
      <c r="D273" t="s">
        <v>235</v>
      </c>
      <c r="E273">
        <f>_xll.BDP($D273,E$40)</f>
        <v>14.01</v>
      </c>
      <c r="F273">
        <f>_xll.BDP($D273,F$40)</f>
        <v>14</v>
      </c>
      <c r="G273">
        <f>_xll.BDP($D273,G$40)</f>
        <v>14.01</v>
      </c>
      <c r="H273" s="9" t="str">
        <f>_xll.BDP($D273,H$40)</f>
        <v>#N/A Field Not Applicable</v>
      </c>
      <c r="L273" s="9">
        <f t="shared" si="45"/>
        <v>14.01</v>
      </c>
    </row>
    <row r="274" spans="1:12" x14ac:dyDescent="0.2">
      <c r="A274" t="s">
        <v>16</v>
      </c>
      <c r="B274" t="str">
        <f>LEFT(D274,FIND(" ",D274)-1)</f>
        <v>DGICA</v>
      </c>
      <c r="C274" s="16" t="str">
        <f>IF(A274="STOCK",B274,REPLACE(B274,FIND("+",B274),1,"."))</f>
        <v>DGICA</v>
      </c>
      <c r="D274" t="s">
        <v>155</v>
      </c>
      <c r="E274">
        <f>_xll.BDP($D274,E$40)</f>
        <v>12.23</v>
      </c>
      <c r="F274">
        <f>_xll.BDP($D274,F$40)</f>
        <v>12.22</v>
      </c>
      <c r="G274">
        <f>_xll.BDP($D274,G$40)</f>
        <v>12.38</v>
      </c>
      <c r="H274" s="9" t="str">
        <f>_xll.BDP($D274,H$40)</f>
        <v>#N/A Field Not Applicable</v>
      </c>
      <c r="L274" s="9">
        <f t="shared" si="45"/>
        <v>12.23</v>
      </c>
    </row>
    <row r="275" spans="1:12" x14ac:dyDescent="0.2">
      <c r="A275" t="s">
        <v>16</v>
      </c>
      <c r="B275" t="s">
        <v>458</v>
      </c>
      <c r="C275" s="16" t="s">
        <v>458</v>
      </c>
      <c r="D275" t="s">
        <v>459</v>
      </c>
      <c r="E275">
        <f>_xll.BDP($D275,E$40)</f>
        <v>6.7</v>
      </c>
      <c r="F275">
        <f>_xll.BDP($D275,F$40)</f>
        <v>6.68</v>
      </c>
      <c r="G275">
        <f>_xll.BDP($D275,G$40)</f>
        <v>6.69</v>
      </c>
      <c r="H275" s="9" t="str">
        <f>_xll.BDP($D275,H$40)</f>
        <v>#N/A Field Not Applicable</v>
      </c>
      <c r="L275" s="9">
        <f t="shared" si="45"/>
        <v>6.7</v>
      </c>
    </row>
    <row r="276" spans="1:12" x14ac:dyDescent="0.2">
      <c r="A276" t="s">
        <v>16</v>
      </c>
      <c r="B276" t="str">
        <f>LEFT(D276,FIND(" ",D276)-1)</f>
        <v>IDT</v>
      </c>
      <c r="C276" s="16" t="str">
        <f>IF(A276="STOCK",B276,REPLACE(B276,FIND("+",B276),1,"."))</f>
        <v>IDT</v>
      </c>
      <c r="D276" t="s">
        <v>217</v>
      </c>
      <c r="E276">
        <f>_xll.BDP($D276,E$40)</f>
        <v>5.01</v>
      </c>
      <c r="F276">
        <f>_xll.BDP($D276,F$40)</f>
        <v>5</v>
      </c>
      <c r="G276">
        <f>_xll.BDP($D276,G$40)</f>
        <v>5.01</v>
      </c>
      <c r="H276" s="9" t="str">
        <f>_xll.BDP($D276,H$40)</f>
        <v>#N/A Field Not Applicable</v>
      </c>
      <c r="L276" s="9">
        <f t="shared" si="45"/>
        <v>5.01</v>
      </c>
    </row>
    <row r="277" spans="1:12" x14ac:dyDescent="0.2">
      <c r="A277" t="s">
        <v>16</v>
      </c>
      <c r="B277" s="23" t="s">
        <v>779</v>
      </c>
      <c r="C277" s="17" t="s">
        <v>779</v>
      </c>
      <c r="D277" s="22" t="s">
        <v>781</v>
      </c>
      <c r="E277" s="21">
        <f>_xll.BDP($D277,E$40)</f>
        <v>4</v>
      </c>
      <c r="F277" t="str">
        <f>_xll.BDP($D277,F$40)</f>
        <v>#N/A N/A</v>
      </c>
      <c r="G277" t="str">
        <f>_xll.BDP($D277,G$40)</f>
        <v>#N/A N/A</v>
      </c>
      <c r="H277" s="9" t="str">
        <f>_xll.BDP($D277,H$40)</f>
        <v>#N/A Field Not Applicable</v>
      </c>
      <c r="L277" s="9">
        <f t="shared" si="45"/>
        <v>4</v>
      </c>
    </row>
    <row r="278" spans="1:12" x14ac:dyDescent="0.2">
      <c r="A278" t="s">
        <v>16</v>
      </c>
      <c r="B278" t="str">
        <f t="shared" ref="B278:B283" si="46">LEFT(D278,FIND(" ",D278)-1)</f>
        <v>IVC</v>
      </c>
      <c r="C278" s="16" t="str">
        <f t="shared" ref="C278:C283" si="47">IF(A278="STOCK",B278,REPLACE(B278,FIND("+",B278),1,"."))</f>
        <v>IVC</v>
      </c>
      <c r="D278" t="s">
        <v>226</v>
      </c>
      <c r="E278">
        <f>_xll.BDP($D278,E$40)</f>
        <v>5.0599999999999996</v>
      </c>
      <c r="F278">
        <f>_xll.BDP($D278,F$40)</f>
        <v>5.0599999999999996</v>
      </c>
      <c r="G278">
        <f>_xll.BDP($D278,G$40)</f>
        <v>5.07</v>
      </c>
      <c r="H278" s="9" t="str">
        <f>_xll.BDP($D278,H$40)</f>
        <v>#N/A Field Not Applicable</v>
      </c>
      <c r="L278" s="9">
        <f t="shared" si="45"/>
        <v>5.0599999999999996</v>
      </c>
    </row>
    <row r="279" spans="1:12" x14ac:dyDescent="0.2">
      <c r="A279" t="s">
        <v>16</v>
      </c>
      <c r="B279" t="str">
        <f t="shared" si="46"/>
        <v>INFY</v>
      </c>
      <c r="C279" s="16" t="str">
        <f t="shared" si="47"/>
        <v>INFY</v>
      </c>
      <c r="D279" t="s">
        <v>221</v>
      </c>
      <c r="E279">
        <f>_xll.BDP($D279,E$40)</f>
        <v>7.37</v>
      </c>
      <c r="F279">
        <f>_xll.BDP($D279,F$40)</f>
        <v>7.36</v>
      </c>
      <c r="G279">
        <f>_xll.BDP($D279,G$40)</f>
        <v>7.37</v>
      </c>
      <c r="H279" s="9" t="str">
        <f>_xll.BDP($D279,H$40)</f>
        <v>#N/A Field Not Applicable</v>
      </c>
      <c r="L279" s="9">
        <f t="shared" si="45"/>
        <v>7.37</v>
      </c>
    </row>
    <row r="280" spans="1:12" x14ac:dyDescent="0.2">
      <c r="A280" t="s">
        <v>16</v>
      </c>
      <c r="B280" t="str">
        <f t="shared" si="46"/>
        <v>INFY</v>
      </c>
      <c r="C280" s="16" t="str">
        <f t="shared" si="47"/>
        <v>INFY</v>
      </c>
      <c r="D280" t="s">
        <v>221</v>
      </c>
      <c r="E280">
        <f>_xll.BDP($D280,E$40)</f>
        <v>7.37</v>
      </c>
      <c r="F280">
        <f>_xll.BDP($D280,F$40)</f>
        <v>7.36</v>
      </c>
      <c r="G280">
        <f>_xll.BDP($D280,G$40)</f>
        <v>7.37</v>
      </c>
      <c r="H280" s="9" t="str">
        <f>_xll.BDP($D280,H$40)</f>
        <v>#N/A Field Not Applicable</v>
      </c>
      <c r="L280" s="9">
        <f t="shared" si="45"/>
        <v>7.37</v>
      </c>
    </row>
    <row r="281" spans="1:12" x14ac:dyDescent="0.2">
      <c r="A281" t="s">
        <v>16</v>
      </c>
      <c r="B281" t="str">
        <f t="shared" si="46"/>
        <v>MRTN</v>
      </c>
      <c r="C281" s="16" t="str">
        <f t="shared" si="47"/>
        <v>MRTN</v>
      </c>
      <c r="D281" t="s">
        <v>262</v>
      </c>
      <c r="E281">
        <f>_xll.BDP($D281,E$40)</f>
        <v>17</v>
      </c>
      <c r="F281">
        <f>_xll.BDP($D281,F$40)</f>
        <v>16.989999999999998</v>
      </c>
      <c r="G281">
        <f>_xll.BDP($D281,G$40)</f>
        <v>17.05</v>
      </c>
      <c r="H281" s="9" t="str">
        <f>_xll.BDP($D281,H$40)</f>
        <v>#N/A Field Not Applicable</v>
      </c>
      <c r="L281" s="9">
        <f t="shared" si="45"/>
        <v>17</v>
      </c>
    </row>
    <row r="282" spans="1:12" x14ac:dyDescent="0.2">
      <c r="A282" t="s">
        <v>16</v>
      </c>
      <c r="B282" t="str">
        <f t="shared" si="46"/>
        <v>WEN</v>
      </c>
      <c r="C282" s="16" t="str">
        <f t="shared" si="47"/>
        <v>WEN</v>
      </c>
      <c r="D282" t="s">
        <v>376</v>
      </c>
      <c r="E282">
        <f>_xll.BDP($D282,E$40)</f>
        <v>12.35</v>
      </c>
      <c r="F282">
        <f>_xll.BDP($D282,F$40)</f>
        <v>12.34</v>
      </c>
      <c r="G282">
        <f>_xll.BDP($D282,G$40)</f>
        <v>12.35</v>
      </c>
      <c r="H282" s="9" t="str">
        <f>_xll.BDP($D282,H$40)</f>
        <v>#N/A Field Not Applicable</v>
      </c>
      <c r="L282" s="9">
        <f t="shared" si="45"/>
        <v>12.35</v>
      </c>
    </row>
    <row r="283" spans="1:12" x14ac:dyDescent="0.2">
      <c r="A283" t="s">
        <v>16</v>
      </c>
      <c r="B283" t="str">
        <f t="shared" si="46"/>
        <v>MRVL</v>
      </c>
      <c r="C283" s="16" t="str">
        <f t="shared" si="47"/>
        <v>MRVL</v>
      </c>
      <c r="D283" t="s">
        <v>263</v>
      </c>
      <c r="E283">
        <f>_xll.BDP($D283,E$40)</f>
        <v>17.739999999999998</v>
      </c>
      <c r="F283">
        <f>_xll.BDP($D283,F$40)</f>
        <v>17.739999999999998</v>
      </c>
      <c r="G283">
        <f>_xll.BDP($D283,G$40)</f>
        <v>17.75</v>
      </c>
      <c r="H283" s="9" t="str">
        <f>_xll.BDP($D283,H$40)</f>
        <v>#N/A Field Not Applicable</v>
      </c>
      <c r="L283" s="9">
        <f t="shared" si="45"/>
        <v>17.739999999999998</v>
      </c>
    </row>
    <row r="284" spans="1:12" x14ac:dyDescent="0.2">
      <c r="A284" t="s">
        <v>16</v>
      </c>
      <c r="B284" s="23" t="s">
        <v>949</v>
      </c>
      <c r="C284" s="17" t="s">
        <v>949</v>
      </c>
      <c r="D284" s="22" t="s">
        <v>950</v>
      </c>
      <c r="E284" s="21">
        <f>_xll.BDP($D284,E$40)</f>
        <v>16.079999999999998</v>
      </c>
      <c r="F284">
        <f>_xll.BDP($D284,F$40)</f>
        <v>16.079999999999998</v>
      </c>
      <c r="G284">
        <f>_xll.BDP($D284,G$40)</f>
        <v>16.12</v>
      </c>
      <c r="H284" s="9" t="str">
        <f>_xll.BDP($D284,H$40)</f>
        <v>#N/A Field Not Applicable</v>
      </c>
      <c r="L284" s="9">
        <f t="shared" si="45"/>
        <v>16.079999999999998</v>
      </c>
    </row>
    <row r="285" spans="1:12" x14ac:dyDescent="0.2">
      <c r="A285" t="s">
        <v>16</v>
      </c>
      <c r="B285" t="s">
        <v>694</v>
      </c>
      <c r="C285" s="16" t="s">
        <v>694</v>
      </c>
      <c r="D285" t="s">
        <v>695</v>
      </c>
      <c r="E285">
        <f>_xll.BDP($D285,E$40)</f>
        <v>5.73</v>
      </c>
      <c r="F285">
        <f>_xll.BDP($D285,F$40)</f>
        <v>5.72</v>
      </c>
      <c r="G285">
        <f>_xll.BDP($D285,G$40)</f>
        <v>5.73</v>
      </c>
      <c r="H285" s="9" t="str">
        <f>_xll.BDP($D285,H$40)</f>
        <v>#N/A Field Not Applicable</v>
      </c>
      <c r="L285" s="9">
        <f t="shared" si="45"/>
        <v>5.73</v>
      </c>
    </row>
    <row r="286" spans="1:12" x14ac:dyDescent="0.2">
      <c r="A286" t="s">
        <v>16</v>
      </c>
      <c r="B286" s="23" t="s">
        <v>905</v>
      </c>
      <c r="C286" s="17" t="s">
        <v>905</v>
      </c>
      <c r="D286" s="22" t="s">
        <v>906</v>
      </c>
      <c r="E286" s="21">
        <f>_xll.BDP($D286,E$40)</f>
        <v>15.34</v>
      </c>
      <c r="F286">
        <f>_xll.BDP($D286,F$40)</f>
        <v>15.33</v>
      </c>
      <c r="G286">
        <f>_xll.BDP($D286,G$40)</f>
        <v>15.43</v>
      </c>
      <c r="H286" s="9" t="str">
        <f>_xll.BDP($D286,H$40)</f>
        <v>#N/A Field Not Applicable</v>
      </c>
      <c r="L286" s="9">
        <f t="shared" si="45"/>
        <v>15.34</v>
      </c>
    </row>
    <row r="287" spans="1:12" x14ac:dyDescent="0.2">
      <c r="A287" t="s">
        <v>16</v>
      </c>
      <c r="B287" t="str">
        <f>LEFT(D287,FIND(" ",D287)-1)</f>
        <v>MRC</v>
      </c>
      <c r="C287" s="16" t="str">
        <f>IF(A287="STOCK",B287,REPLACE(B287,FIND("+",B287),1,"."))</f>
        <v>MRC</v>
      </c>
      <c r="D287" t="s">
        <v>545</v>
      </c>
      <c r="E287">
        <f>_xll.BDP($D287,E$40)</f>
        <v>3.98</v>
      </c>
      <c r="F287">
        <f>_xll.BDP($D287,F$40)</f>
        <v>3.97</v>
      </c>
      <c r="G287">
        <f>_xll.BDP($D287,G$40)</f>
        <v>3.98</v>
      </c>
      <c r="H287" s="9" t="str">
        <f>_xll.BDP($D287,H$40)</f>
        <v>#N/A Field Not Applicable</v>
      </c>
      <c r="L287" s="9">
        <f t="shared" si="45"/>
        <v>3.98</v>
      </c>
    </row>
    <row r="288" spans="1:12" x14ac:dyDescent="0.2">
      <c r="A288" t="s">
        <v>16</v>
      </c>
      <c r="B288" t="str">
        <f>LEFT(D288,FIND(" ",D288)-1)</f>
        <v>ONB</v>
      </c>
      <c r="C288" s="16" t="str">
        <f>IF(A288="STOCK",B288,REPLACE(B288,FIND("+",B288),1,"."))</f>
        <v>ONB</v>
      </c>
      <c r="D288" t="s">
        <v>395</v>
      </c>
      <c r="E288">
        <f>_xll.BDP($D288,E$40)</f>
        <v>14.04</v>
      </c>
      <c r="F288">
        <f>_xll.BDP($D288,F$40)</f>
        <v>14.03</v>
      </c>
      <c r="G288">
        <f>_xll.BDP($D288,G$40)</f>
        <v>14.04</v>
      </c>
      <c r="H288" s="9" t="str">
        <f>_xll.BDP($D288,H$40)</f>
        <v>#N/A Field Not Applicable</v>
      </c>
      <c r="L288" s="9">
        <f t="shared" si="45"/>
        <v>14.04</v>
      </c>
    </row>
    <row r="289" spans="1:12" x14ac:dyDescent="0.2">
      <c r="A289" t="s">
        <v>16</v>
      </c>
      <c r="B289" t="str">
        <f>LEFT(D289,FIND(" ",D289)-1)</f>
        <v>COWN</v>
      </c>
      <c r="C289" s="16" t="str">
        <f>IF(A289="STOCK",B289,REPLACE(B289,FIND("+",B289),1,"."))</f>
        <v>COWN</v>
      </c>
      <c r="D289" t="s">
        <v>430</v>
      </c>
      <c r="E289">
        <f>_xll.BDP($D289,E$40)</f>
        <v>8.51</v>
      </c>
      <c r="F289">
        <f>_xll.BDP($D289,F$40)</f>
        <v>8.5</v>
      </c>
      <c r="G289">
        <f>_xll.BDP($D289,G$40)</f>
        <v>8.51</v>
      </c>
      <c r="H289" s="9" t="str">
        <f>_xll.BDP($D289,H$40)</f>
        <v>#N/A Field Not Applicable</v>
      </c>
      <c r="L289" s="9">
        <f t="shared" si="45"/>
        <v>8.51</v>
      </c>
    </row>
    <row r="290" spans="1:12" x14ac:dyDescent="0.2">
      <c r="A290" t="s">
        <v>16</v>
      </c>
      <c r="B290" s="5" t="s">
        <v>702</v>
      </c>
      <c r="C290" s="16" t="s">
        <v>703</v>
      </c>
      <c r="D290" t="s">
        <v>704</v>
      </c>
      <c r="E290" s="21">
        <f>_xll.BDP($D290,E$40)</f>
        <v>15.07</v>
      </c>
      <c r="F290">
        <f>_xll.BDP($D290,F$40)</f>
        <v>15.25</v>
      </c>
      <c r="G290">
        <f>_xll.BDP($D290,G$40)</f>
        <v>15.33</v>
      </c>
      <c r="H290" s="9" t="str">
        <f>_xll.BDP($D290,H$40)</f>
        <v>#N/A Field Not Applicable</v>
      </c>
      <c r="L290" s="9">
        <f t="shared" si="45"/>
        <v>15.07</v>
      </c>
    </row>
    <row r="291" spans="1:12" x14ac:dyDescent="0.2">
      <c r="A291" t="s">
        <v>16</v>
      </c>
      <c r="B291" t="str">
        <f>LEFT(D291,FIND(" ",D291)-1)</f>
        <v>FLEX</v>
      </c>
      <c r="C291" s="16" t="str">
        <f>IF(A291="STOCK",B291,REPLACE(B291,FIND("+",B291),1,"."))</f>
        <v>FLEX</v>
      </c>
      <c r="D291" t="s">
        <v>185</v>
      </c>
      <c r="E291">
        <f>_xll.BDP($D291,E$40)</f>
        <v>6.56</v>
      </c>
      <c r="F291">
        <f>_xll.BDP($D291,F$40)</f>
        <v>6.55</v>
      </c>
      <c r="G291">
        <f>_xll.BDP($D291,G$40)</f>
        <v>6.56</v>
      </c>
      <c r="H291" s="9" t="str">
        <f>_xll.BDP($D291,H$40)</f>
        <v>#N/A Field Not Applicable</v>
      </c>
      <c r="L291" s="9">
        <f t="shared" si="45"/>
        <v>6.56</v>
      </c>
    </row>
    <row r="292" spans="1:12" x14ac:dyDescent="0.2">
      <c r="A292" t="s">
        <v>16</v>
      </c>
      <c r="B292" t="str">
        <f>LEFT(D292,FIND(" ",D292)-1)</f>
        <v>NUAN</v>
      </c>
      <c r="C292" s="16" t="str">
        <f>IF(A292="STOCK",B292,REPLACE(B292,FIND("+",B292),1,"."))</f>
        <v>NUAN</v>
      </c>
      <c r="D292" t="s">
        <v>500</v>
      </c>
      <c r="E292">
        <f>_xll.BDP($D292,E$40)</f>
        <v>15</v>
      </c>
      <c r="F292">
        <f>_xll.BDP($D292,F$40)</f>
        <v>15</v>
      </c>
      <c r="G292">
        <f>_xll.BDP($D292,G$40)</f>
        <v>15.02</v>
      </c>
      <c r="H292" s="9" t="str">
        <f>_xll.BDP($D292,H$40)</f>
        <v>#N/A Field Not Applicable</v>
      </c>
      <c r="L292" s="9">
        <f t="shared" si="45"/>
        <v>15</v>
      </c>
    </row>
    <row r="293" spans="1:12" x14ac:dyDescent="0.2">
      <c r="A293" t="s">
        <v>16</v>
      </c>
      <c r="B293" t="str">
        <f>LEFT(D293,FIND(" ",D293)-1)</f>
        <v>CWST</v>
      </c>
      <c r="C293" s="16" t="str">
        <f>IF(A293="STOCK",B293,REPLACE(B293,FIND("+",B293),1,"."))</f>
        <v>CWST</v>
      </c>
      <c r="D293" t="s">
        <v>148</v>
      </c>
      <c r="E293">
        <f>_xll.BDP($D293,E$40)</f>
        <v>39.85</v>
      </c>
      <c r="F293">
        <f>_xll.BDP($D293,F$40)</f>
        <v>39.68</v>
      </c>
      <c r="G293">
        <f>_xll.BDP($D293,G$40)</f>
        <v>39.840000000000003</v>
      </c>
      <c r="H293" s="9" t="str">
        <f>_xll.BDP($D293,H$40)</f>
        <v>#N/A Field Not Applicable</v>
      </c>
      <c r="L293" s="9">
        <f t="shared" si="45"/>
        <v>39.85</v>
      </c>
    </row>
    <row r="294" spans="1:12" x14ac:dyDescent="0.2">
      <c r="A294" t="s">
        <v>16</v>
      </c>
      <c r="B294" t="str">
        <f>LEFT(D294,FIND(" ",D294)-1)</f>
        <v>RWT</v>
      </c>
      <c r="C294" s="16" t="str">
        <f>IF(A294="STOCK",B294,REPLACE(B294,FIND("+",B294),1,"."))</f>
        <v>RWT</v>
      </c>
      <c r="D294" s="9" t="s">
        <v>318</v>
      </c>
      <c r="E294">
        <f>_xll.BDP($D294,E$40)</f>
        <v>9.2899999999999991</v>
      </c>
      <c r="F294">
        <f>_xll.BDP($D294,F$40)</f>
        <v>9.5</v>
      </c>
      <c r="G294">
        <f>_xll.BDP($D294,G$40)</f>
        <v>9.51</v>
      </c>
      <c r="H294" s="9" t="str">
        <f>_xll.BDP($D294,H$40)</f>
        <v>#N/A Field Not Applicable</v>
      </c>
      <c r="L294" s="9">
        <f t="shared" si="45"/>
        <v>9.2899999999999991</v>
      </c>
    </row>
    <row r="295" spans="1:12" x14ac:dyDescent="0.2">
      <c r="A295" t="s">
        <v>16</v>
      </c>
      <c r="B295" s="23" t="s">
        <v>919</v>
      </c>
      <c r="C295" s="17" t="s">
        <v>919</v>
      </c>
      <c r="D295" s="22" t="s">
        <v>920</v>
      </c>
      <c r="E295" s="21">
        <f>_xll.BDP($D295,E$40)</f>
        <v>15.62</v>
      </c>
      <c r="F295">
        <f>_xll.BDP($D295,F$40)</f>
        <v>15.51</v>
      </c>
      <c r="G295">
        <f>_xll.BDP($D295,G$40)</f>
        <v>17.5</v>
      </c>
      <c r="H295" s="9" t="str">
        <f>_xll.BDP($D295,H$40)</f>
        <v>#N/A Field Not Applicable</v>
      </c>
      <c r="L295" s="9">
        <f t="shared" si="45"/>
        <v>15.62</v>
      </c>
    </row>
    <row r="296" spans="1:12" x14ac:dyDescent="0.2">
      <c r="A296" t="s">
        <v>16</v>
      </c>
      <c r="B296" s="23" t="s">
        <v>979</v>
      </c>
      <c r="C296" s="17" t="s">
        <v>979</v>
      </c>
      <c r="D296" s="22" t="s">
        <v>980</v>
      </c>
      <c r="E296" s="21">
        <f>_xll.BDP($D296,E$40)</f>
        <v>8.74</v>
      </c>
      <c r="F296">
        <f>_xll.BDP($D296,F$40)</f>
        <v>8.7100000000000009</v>
      </c>
      <c r="G296">
        <f>_xll.BDP($D296,G$40)</f>
        <v>8.7200000000000006</v>
      </c>
      <c r="H296" s="9" t="str">
        <f>_xll.BDP($D296,H$40)</f>
        <v>#N/A Field Not Applicable</v>
      </c>
      <c r="L296" s="9">
        <f t="shared" si="45"/>
        <v>8.74</v>
      </c>
    </row>
    <row r="297" spans="1:12" x14ac:dyDescent="0.2">
      <c r="A297" t="s">
        <v>16</v>
      </c>
      <c r="B297" t="str">
        <f>LEFT(D297,FIND(" ",D297)-1)</f>
        <v>HTZ</v>
      </c>
      <c r="C297" s="16" t="str">
        <f>IF(A297="STOCK",B297,REPLACE(B297,FIND("+",B297),1,"."))</f>
        <v>HTZ</v>
      </c>
      <c r="D297" t="s">
        <v>212</v>
      </c>
      <c r="E297">
        <f>_xll.BDP($D297,E$40)</f>
        <v>6.11</v>
      </c>
      <c r="F297">
        <f>_xll.BDP($D297,F$40)</f>
        <v>6.1</v>
      </c>
      <c r="G297">
        <f>_xll.BDP($D297,G$40)</f>
        <v>6.11</v>
      </c>
      <c r="H297" s="9" t="str">
        <f>_xll.BDP($D297,H$40)</f>
        <v>#N/A Field Not Applicable</v>
      </c>
      <c r="L297" s="9">
        <f t="shared" si="45"/>
        <v>6.11</v>
      </c>
    </row>
    <row r="298" spans="1:12" x14ac:dyDescent="0.2">
      <c r="A298" t="s">
        <v>16</v>
      </c>
      <c r="B298" t="s">
        <v>666</v>
      </c>
      <c r="C298" s="16" t="s">
        <v>667</v>
      </c>
      <c r="D298" t="s">
        <v>212</v>
      </c>
      <c r="E298">
        <f>_xll.BDP($D298,E$40)</f>
        <v>6.11</v>
      </c>
      <c r="F298">
        <f>_xll.BDP($D298,F$40)</f>
        <v>6.1</v>
      </c>
      <c r="G298">
        <f>_xll.BDP($D298,G$40)</f>
        <v>6.11</v>
      </c>
      <c r="H298" s="9" t="str">
        <f>_xll.BDP($D298,H$40)</f>
        <v>#N/A Field Not Applicable</v>
      </c>
      <c r="L298" s="9">
        <f t="shared" si="45"/>
        <v>6.11</v>
      </c>
    </row>
    <row r="299" spans="1:12" x14ac:dyDescent="0.2">
      <c r="A299" t="s">
        <v>16</v>
      </c>
      <c r="B299" t="str">
        <f>LEFT(D299,FIND(" ",D299)-1)</f>
        <v>VSH</v>
      </c>
      <c r="C299" s="16" t="str">
        <f>IF(A299="STOCK",B299,REPLACE(B299,FIND("+",B299),1,"."))</f>
        <v>VSH</v>
      </c>
      <c r="D299" t="s">
        <v>372</v>
      </c>
      <c r="E299">
        <f>_xll.BDP($D299,E$40)</f>
        <v>12.13</v>
      </c>
      <c r="F299">
        <f>_xll.BDP($D299,F$40)</f>
        <v>12.12</v>
      </c>
      <c r="G299">
        <f>_xll.BDP($D299,G$40)</f>
        <v>12.13</v>
      </c>
      <c r="H299" s="9" t="str">
        <f>_xll.BDP($D299,H$40)</f>
        <v>#N/A Field Not Applicable</v>
      </c>
      <c r="L299" s="9">
        <f t="shared" si="45"/>
        <v>12.13</v>
      </c>
    </row>
    <row r="300" spans="1:12" x14ac:dyDescent="0.2">
      <c r="A300" t="s">
        <v>16</v>
      </c>
      <c r="B300" t="s">
        <v>668</v>
      </c>
      <c r="C300" s="16" t="s">
        <v>668</v>
      </c>
      <c r="D300" t="s">
        <v>669</v>
      </c>
      <c r="E300">
        <f>_xll.BDP($D300,E$40)</f>
        <v>21.76</v>
      </c>
      <c r="F300">
        <f>_xll.BDP($D300,F$40)</f>
        <v>21.75</v>
      </c>
      <c r="G300">
        <f>_xll.BDP($D300,G$40)</f>
        <v>21.76</v>
      </c>
      <c r="H300" s="9" t="str">
        <f>_xll.BDP($D300,H$40)</f>
        <v>#N/A Field Not Applicable</v>
      </c>
      <c r="L300" s="9">
        <f t="shared" si="45"/>
        <v>21.76</v>
      </c>
    </row>
    <row r="301" spans="1:12" x14ac:dyDescent="0.2">
      <c r="A301" t="s">
        <v>16</v>
      </c>
      <c r="B301" t="str">
        <f>LEFT(D301,FIND(" ",D301)-1)</f>
        <v>PBCT</v>
      </c>
      <c r="C301" s="16" t="str">
        <f>IF(A301="STOCK",B301,REPLACE(B301,FIND("+",B301),1,"."))</f>
        <v>PBCT</v>
      </c>
      <c r="D301" t="s">
        <v>290</v>
      </c>
      <c r="E301">
        <f>_xll.BDP($D301,E$40)</f>
        <v>11.83</v>
      </c>
      <c r="F301">
        <f>_xll.BDP($D301,F$40)</f>
        <v>11.83</v>
      </c>
      <c r="G301">
        <f>_xll.BDP($D301,G$40)</f>
        <v>11.84</v>
      </c>
      <c r="H301" s="9" t="str">
        <f>_xll.BDP($D301,H$40)</f>
        <v>#N/A Field Not Applicable</v>
      </c>
      <c r="L301" s="9">
        <f t="shared" si="45"/>
        <v>11.83</v>
      </c>
    </row>
    <row r="302" spans="1:12" x14ac:dyDescent="0.2">
      <c r="A302" t="s">
        <v>16</v>
      </c>
      <c r="B302" t="str">
        <f>LEFT(D302,FIND(" ",D302)-1)</f>
        <v>VPG</v>
      </c>
      <c r="C302" s="16" t="str">
        <f>IF(A302="STOCK",B302,REPLACE(B302,FIND("+",B302),1,"."))</f>
        <v>VPG</v>
      </c>
      <c r="D302" s="9" t="s">
        <v>417</v>
      </c>
      <c r="E302">
        <f>_xll.BDP($D302,E$40)</f>
        <v>18.73</v>
      </c>
      <c r="F302">
        <f>_xll.BDP($D302,F$40)</f>
        <v>18.72</v>
      </c>
      <c r="G302">
        <f>_xll.BDP($D302,G$40)</f>
        <v>18.73</v>
      </c>
      <c r="H302" s="9" t="str">
        <f>_xll.BDP($D302,H$40)</f>
        <v>#N/A Field Not Applicable</v>
      </c>
      <c r="L302" s="9">
        <f t="shared" si="45"/>
        <v>18.73</v>
      </c>
    </row>
    <row r="303" spans="1:12" x14ac:dyDescent="0.2">
      <c r="A303" t="s">
        <v>16</v>
      </c>
      <c r="B303" t="s">
        <v>672</v>
      </c>
      <c r="C303" s="16" t="s">
        <v>672</v>
      </c>
      <c r="D303" t="s">
        <v>673</v>
      </c>
      <c r="E303" t="str">
        <f>_xll.BDP($D303,E$40)</f>
        <v>#N/A N/A</v>
      </c>
      <c r="F303" t="str">
        <f>_xll.BDP($D303,F$40)</f>
        <v>#N/A N/A</v>
      </c>
      <c r="G303" t="str">
        <f>_xll.BDP($D303,G$40)</f>
        <v>#N/A N/A</v>
      </c>
      <c r="H303" s="9" t="str">
        <f>_xll.BDP($D303,H$40)</f>
        <v>#N/A Field Not Applicable</v>
      </c>
      <c r="L303" s="9" t="str">
        <f t="shared" si="45"/>
        <v>#N/A N/A</v>
      </c>
    </row>
    <row r="304" spans="1:12" x14ac:dyDescent="0.2">
      <c r="A304" t="s">
        <v>16</v>
      </c>
      <c r="B304" t="str">
        <f>LEFT(D304,FIND(" ",D304)-1)</f>
        <v>THC</v>
      </c>
      <c r="C304" s="16" t="str">
        <f>IF(A304="STOCK",B304,REPLACE(B304,FIND("+",B304),1,"."))</f>
        <v>THC</v>
      </c>
      <c r="D304" t="s">
        <v>347</v>
      </c>
      <c r="E304">
        <f>_xll.BDP($D304,E$40)</f>
        <v>14.98</v>
      </c>
      <c r="F304">
        <f>_xll.BDP($D304,F$40)</f>
        <v>14.97</v>
      </c>
      <c r="G304">
        <f>_xll.BDP($D304,G$40)</f>
        <v>14.98</v>
      </c>
      <c r="H304" s="9" t="str">
        <f>_xll.BDP($D304,H$40)</f>
        <v>#N/A Field Not Applicable</v>
      </c>
      <c r="L304" s="9">
        <f t="shared" si="45"/>
        <v>14.98</v>
      </c>
    </row>
    <row r="305" spans="1:12" x14ac:dyDescent="0.2">
      <c r="A305" t="s">
        <v>16</v>
      </c>
      <c r="B305" t="str">
        <f>LEFT(D305,FIND(" ",D305)-1)</f>
        <v>SM</v>
      </c>
      <c r="C305" s="16" t="str">
        <f>IF(A305="STOCK",B305,REPLACE(B305,FIND("+",B305),1,"."))</f>
        <v>SM</v>
      </c>
      <c r="D305" t="s">
        <v>404</v>
      </c>
      <c r="E305">
        <f>_xll.BDP($D305,E$40)</f>
        <v>1.63</v>
      </c>
      <c r="F305">
        <f>_xll.BDP($D305,F$40)</f>
        <v>1.64</v>
      </c>
      <c r="G305">
        <f>_xll.BDP($D305,G$40)</f>
        <v>1.65</v>
      </c>
      <c r="H305" s="9" t="str">
        <f>_xll.BDP($D305,H$40)</f>
        <v>#N/A Field Not Applicable</v>
      </c>
      <c r="L305" s="9">
        <f t="shared" si="45"/>
        <v>1.63</v>
      </c>
    </row>
    <row r="306" spans="1:12" x14ac:dyDescent="0.2">
      <c r="A306" t="s">
        <v>16</v>
      </c>
      <c r="B306" t="str">
        <f>LEFT(D306,FIND(" ",D306)-1)</f>
        <v>SYX</v>
      </c>
      <c r="C306" s="16" t="str">
        <f>IF(A306="STOCK",B306,REPLACE(B306,FIND("+",B306),1,"."))</f>
        <v>SYX</v>
      </c>
      <c r="D306" t="s">
        <v>338</v>
      </c>
      <c r="E306">
        <f>_xll.BDP($D306,E$40)</f>
        <v>14.82</v>
      </c>
      <c r="F306">
        <f>_xll.BDP($D306,F$40)</f>
        <v>14.81</v>
      </c>
      <c r="G306">
        <f>_xll.BDP($D306,G$40)</f>
        <v>14.82</v>
      </c>
      <c r="H306" s="9" t="str">
        <f>_xll.BDP($D306,H$40)</f>
        <v>#N/A Field Not Applicable</v>
      </c>
      <c r="L306" s="9">
        <f t="shared" si="45"/>
        <v>14.82</v>
      </c>
    </row>
    <row r="307" spans="1:12" x14ac:dyDescent="0.2">
      <c r="A307" t="s">
        <v>16</v>
      </c>
      <c r="B307" s="23" t="s">
        <v>947</v>
      </c>
      <c r="C307" s="17" t="s">
        <v>947</v>
      </c>
      <c r="D307" s="22" t="s">
        <v>948</v>
      </c>
      <c r="E307" s="21">
        <f>_xll.BDP($D307,E$40)</f>
        <v>99.25</v>
      </c>
      <c r="F307">
        <f>_xll.BDP($D307,F$40)</f>
        <v>98.61</v>
      </c>
      <c r="G307">
        <f>_xll.BDP($D307,G$40)</f>
        <v>99.26</v>
      </c>
      <c r="H307" s="9" t="str">
        <f>_xll.BDP($D307,H$40)</f>
        <v>#N/A Field Not Applicable</v>
      </c>
      <c r="L307" s="9">
        <f t="shared" si="45"/>
        <v>99.25</v>
      </c>
    </row>
    <row r="308" spans="1:12" x14ac:dyDescent="0.2">
      <c r="A308" t="s">
        <v>16</v>
      </c>
      <c r="B308" t="str">
        <f>LEFT(D308,FIND(" ",D308)-1)</f>
        <v>KFRC</v>
      </c>
      <c r="C308" s="16" t="str">
        <f>IF(A308="STOCK",B308,REPLACE(B308,FIND("+",B308),1,"."))</f>
        <v>KFRC</v>
      </c>
      <c r="D308" t="s">
        <v>236</v>
      </c>
      <c r="E308">
        <f>_xll.BDP($D308,E$40)</f>
        <v>22.4</v>
      </c>
      <c r="F308">
        <f>_xll.BDP($D308,F$40)</f>
        <v>22.33</v>
      </c>
      <c r="G308">
        <f>_xll.BDP($D308,G$40)</f>
        <v>22.38</v>
      </c>
      <c r="H308" s="9" t="str">
        <f>_xll.BDP($D308,H$40)</f>
        <v>#N/A Field Not Applicable</v>
      </c>
      <c r="L308" s="9">
        <f t="shared" si="45"/>
        <v>22.4</v>
      </c>
    </row>
    <row r="309" spans="1:12" x14ac:dyDescent="0.2">
      <c r="A309" t="s">
        <v>16</v>
      </c>
      <c r="B309" t="str">
        <f>LEFT(D309,FIND(" ",D309)-1)</f>
        <v>NLS</v>
      </c>
      <c r="C309" s="16" t="str">
        <f>IF(A309="STOCK",B309,REPLACE(B309,FIND("+",B309),1,"."))</f>
        <v>NLS</v>
      </c>
      <c r="D309" t="s">
        <v>277</v>
      </c>
      <c r="E309">
        <f>_xll.BDP($D309,E$40)</f>
        <v>1.46</v>
      </c>
      <c r="F309">
        <f>_xll.BDP($D309,F$40)</f>
        <v>1.45</v>
      </c>
      <c r="G309">
        <f>_xll.BDP($D309,G$40)</f>
        <v>1.49</v>
      </c>
      <c r="H309" s="9" t="str">
        <f>_xll.BDP($D309,H$40)</f>
        <v>#N/A Field Not Applicable</v>
      </c>
      <c r="L309" s="9">
        <f t="shared" si="45"/>
        <v>1.46</v>
      </c>
    </row>
    <row r="310" spans="1:12" x14ac:dyDescent="0.2">
      <c r="A310" t="s">
        <v>16</v>
      </c>
      <c r="B310" t="str">
        <f>LEFT(D310,FIND(" ",D310)-1)</f>
        <v>HST</v>
      </c>
      <c r="C310" s="16" t="str">
        <f>IF(A310="STOCK",B310,REPLACE(B310,FIND("+",B310),1,"."))</f>
        <v>HST</v>
      </c>
      <c r="D310" t="s">
        <v>211</v>
      </c>
      <c r="E310">
        <f>_xll.BDP($D310,E$40)</f>
        <v>9.6199999999999992</v>
      </c>
      <c r="F310">
        <f>_xll.BDP($D310,F$40)</f>
        <v>9.67</v>
      </c>
      <c r="G310">
        <f>_xll.BDP($D310,G$40)</f>
        <v>9.68</v>
      </c>
      <c r="H310" s="9" t="str">
        <f>_xll.BDP($D310,H$40)</f>
        <v>#N/A Field Not Applicable</v>
      </c>
      <c r="L310" s="9">
        <f t="shared" si="45"/>
        <v>9.6199999999999992</v>
      </c>
    </row>
    <row r="311" spans="1:12" x14ac:dyDescent="0.2">
      <c r="A311" t="s">
        <v>16</v>
      </c>
      <c r="B311" s="5" t="b">
        <v>1</v>
      </c>
      <c r="C311" s="16" t="s">
        <v>682</v>
      </c>
      <c r="D311" t="s">
        <v>683</v>
      </c>
      <c r="E311" s="21">
        <f>_xll.BDP($D311,E$40)</f>
        <v>2.68</v>
      </c>
      <c r="F311">
        <f>_xll.BDP($D311,F$40)</f>
        <v>2.67</v>
      </c>
      <c r="G311">
        <f>_xll.BDP($D311,G$40)</f>
        <v>2.68</v>
      </c>
      <c r="H311" s="9" t="str">
        <f>_xll.BDP($D311,H$40)</f>
        <v>#N/A Field Not Applicable</v>
      </c>
      <c r="L311" s="9">
        <f t="shared" si="45"/>
        <v>2.68</v>
      </c>
    </row>
    <row r="312" spans="1:12" x14ac:dyDescent="0.2">
      <c r="A312" t="s">
        <v>16</v>
      </c>
      <c r="B312" t="str">
        <f>LEFT(D312,FIND(" ",D312)-1)</f>
        <v>SAH</v>
      </c>
      <c r="C312" s="16" t="str">
        <f>IF(A312="STOCK",B312,REPLACE(B312,FIND("+",B312),1,"."))</f>
        <v>SAH</v>
      </c>
      <c r="D312" t="s">
        <v>320</v>
      </c>
      <c r="E312">
        <f>_xll.BDP($D312,E$40)</f>
        <v>13.74</v>
      </c>
      <c r="F312">
        <f>_xll.BDP($D312,F$40)</f>
        <v>13.73</v>
      </c>
      <c r="G312">
        <f>_xll.BDP($D312,G$40)</f>
        <v>13.74</v>
      </c>
      <c r="H312" s="9" t="str">
        <f>_xll.BDP($D312,H$40)</f>
        <v>#N/A Field Not Applicable</v>
      </c>
      <c r="L312" s="9">
        <f t="shared" si="45"/>
        <v>13.74</v>
      </c>
    </row>
    <row r="313" spans="1:12" x14ac:dyDescent="0.2">
      <c r="A313" t="s">
        <v>16</v>
      </c>
      <c r="B313" s="23" t="s">
        <v>957</v>
      </c>
      <c r="C313" s="17" t="s">
        <v>957</v>
      </c>
      <c r="D313" s="22" t="s">
        <v>320</v>
      </c>
      <c r="E313" s="21">
        <f>_xll.BDP($D313,E$40)</f>
        <v>13.74</v>
      </c>
      <c r="F313">
        <f>_xll.BDP($D313,F$40)</f>
        <v>13.73</v>
      </c>
      <c r="G313">
        <f>_xll.BDP($D313,G$40)</f>
        <v>13.74</v>
      </c>
      <c r="H313" s="9" t="str">
        <f>_xll.BDP($D313,H$40)</f>
        <v>#N/A Field Not Applicable</v>
      </c>
      <c r="L313" s="9">
        <f t="shared" si="45"/>
        <v>13.74</v>
      </c>
    </row>
    <row r="314" spans="1:12" x14ac:dyDescent="0.2">
      <c r="A314" t="s">
        <v>16</v>
      </c>
      <c r="B314" t="str">
        <f t="shared" ref="B314:B318" si="48">LEFT(D314,FIND(" ",D314)-1)</f>
        <v>TIVO</v>
      </c>
      <c r="C314" s="16" t="str">
        <f t="shared" ref="C314:C318" si="49">IF(A314="STOCK",B314,REPLACE(B314,FIND("+",B314),1,"."))</f>
        <v>TIVO</v>
      </c>
      <c r="D314" t="s">
        <v>349</v>
      </c>
      <c r="E314">
        <f>_xll.BDP($D314,E$40)</f>
        <v>5.08</v>
      </c>
      <c r="F314">
        <f>_xll.BDP($D314,F$40)</f>
        <v>5.04</v>
      </c>
      <c r="G314">
        <f>_xll.BDP($D314,G$40)</f>
        <v>5.05</v>
      </c>
      <c r="H314" s="9" t="str">
        <f>_xll.BDP($D314,H$40)</f>
        <v>#N/A Field Not Applicable</v>
      </c>
      <c r="L314" s="9">
        <f t="shared" si="45"/>
        <v>5.08</v>
      </c>
    </row>
    <row r="315" spans="1:12" x14ac:dyDescent="0.2">
      <c r="A315" t="s">
        <v>16</v>
      </c>
      <c r="B315" t="str">
        <f t="shared" si="48"/>
        <v>URBN</v>
      </c>
      <c r="C315" s="16" t="str">
        <f t="shared" si="49"/>
        <v>URBN</v>
      </c>
      <c r="D315" t="s">
        <v>364</v>
      </c>
      <c r="E315">
        <f>_xll.BDP($D315,E$40)</f>
        <v>13.39</v>
      </c>
      <c r="F315">
        <f>_xll.BDP($D315,F$40)</f>
        <v>13.39</v>
      </c>
      <c r="G315">
        <f>_xll.BDP($D315,G$40)</f>
        <v>13.4</v>
      </c>
      <c r="H315" s="9" t="str">
        <f>_xll.BDP($D315,H$40)</f>
        <v>#N/A Field Not Applicable</v>
      </c>
      <c r="L315" s="9">
        <f t="shared" ref="L315:L368" si="50">IF(A315="STOCK",E315,IF(A315="SOPTION",G315,IF(A315="LOPTION",F315,"")))</f>
        <v>13.39</v>
      </c>
    </row>
    <row r="316" spans="1:12" x14ac:dyDescent="0.2">
      <c r="A316" t="s">
        <v>16</v>
      </c>
      <c r="B316" t="str">
        <f t="shared" si="48"/>
        <v>TROX</v>
      </c>
      <c r="C316" s="16" t="str">
        <f t="shared" si="49"/>
        <v>TROX</v>
      </c>
      <c r="D316" t="s">
        <v>484</v>
      </c>
      <c r="E316">
        <f>_xll.BDP($D316,E$40)</f>
        <v>5.0999999999999996</v>
      </c>
      <c r="F316">
        <f>_xll.BDP($D316,F$40)</f>
        <v>5.0999999999999996</v>
      </c>
      <c r="G316">
        <f>_xll.BDP($D316,G$40)</f>
        <v>5.1100000000000003</v>
      </c>
      <c r="H316" s="9" t="str">
        <f>_xll.BDP($D316,H$40)</f>
        <v>#N/A Field Not Applicable</v>
      </c>
      <c r="L316" s="9">
        <f t="shared" si="50"/>
        <v>5.0999999999999996</v>
      </c>
    </row>
    <row r="317" spans="1:12" x14ac:dyDescent="0.2">
      <c r="A317" t="s">
        <v>16</v>
      </c>
      <c r="B317" t="str">
        <f t="shared" si="48"/>
        <v>COHU</v>
      </c>
      <c r="C317" s="16" t="str">
        <f t="shared" si="49"/>
        <v>COHU</v>
      </c>
      <c r="D317" t="s">
        <v>132</v>
      </c>
      <c r="E317">
        <f>_xll.BDP($D317,E$40)</f>
        <v>11.85</v>
      </c>
      <c r="F317">
        <f>_xll.BDP($D317,F$40)</f>
        <v>11.84</v>
      </c>
      <c r="G317">
        <f>_xll.BDP($D317,G$40)</f>
        <v>11.88</v>
      </c>
      <c r="H317" s="9" t="str">
        <f>_xll.BDP($D317,H$40)</f>
        <v>#N/A Field Not Applicable</v>
      </c>
      <c r="L317" s="9">
        <f t="shared" si="50"/>
        <v>11.85</v>
      </c>
    </row>
    <row r="318" spans="1:12" x14ac:dyDescent="0.2">
      <c r="A318" t="s">
        <v>16</v>
      </c>
      <c r="B318" t="str">
        <f t="shared" si="48"/>
        <v>HMSY</v>
      </c>
      <c r="C318" s="16" t="str">
        <f t="shared" si="49"/>
        <v>HMSY</v>
      </c>
      <c r="D318" t="s">
        <v>523</v>
      </c>
      <c r="E318">
        <f>_xll.BDP($D318,E$40)</f>
        <v>19.260000000000002</v>
      </c>
      <c r="F318">
        <f>_xll.BDP($D318,F$40)</f>
        <v>19.25</v>
      </c>
      <c r="G318">
        <f>_xll.BDP($D318,G$40)</f>
        <v>19.260000000000002</v>
      </c>
      <c r="H318" s="9" t="str">
        <f>_xll.BDP($D318,H$40)</f>
        <v>#N/A Field Not Applicable</v>
      </c>
      <c r="L318" s="9">
        <f t="shared" si="50"/>
        <v>19.260000000000002</v>
      </c>
    </row>
    <row r="319" spans="1:12" x14ac:dyDescent="0.2">
      <c r="A319" t="s">
        <v>16</v>
      </c>
      <c r="B319" s="23" t="s">
        <v>735</v>
      </c>
      <c r="C319" s="17" t="s">
        <v>735</v>
      </c>
      <c r="D319" s="22" t="s">
        <v>736</v>
      </c>
      <c r="E319" s="21">
        <f>_xll.BDP($D319,E$40)</f>
        <v>20.84</v>
      </c>
      <c r="F319">
        <f>_xll.BDP($D319,F$40)</f>
        <v>20.79</v>
      </c>
      <c r="G319">
        <f>_xll.BDP($D319,G$40)</f>
        <v>20.9</v>
      </c>
      <c r="H319" s="9" t="str">
        <f>_xll.BDP($D319,H$40)</f>
        <v>#N/A Field Not Applicable</v>
      </c>
      <c r="L319" s="9">
        <f t="shared" si="50"/>
        <v>20.84</v>
      </c>
    </row>
    <row r="320" spans="1:12" x14ac:dyDescent="0.2">
      <c r="A320" t="s">
        <v>16</v>
      </c>
      <c r="B320" t="str">
        <f>LEFT(D320,FIND(" ",D320)-1)</f>
        <v>NCI</v>
      </c>
      <c r="C320" s="16" t="str">
        <f>IF(A320="STOCK",B320,REPLACE(B320,FIND("+",B320),1,"."))</f>
        <v>NCI</v>
      </c>
      <c r="D320" t="s">
        <v>272</v>
      </c>
      <c r="E320" t="str">
        <f>_xll.BDP($D320,E$40)</f>
        <v>#N/A N/A</v>
      </c>
      <c r="F320" t="str">
        <f>_xll.BDP($D320,F$40)</f>
        <v>#N/A N/A</v>
      </c>
      <c r="G320" t="str">
        <f>_xll.BDP($D320,G$40)</f>
        <v>#N/A N/A</v>
      </c>
      <c r="H320" s="9" t="str">
        <f>_xll.BDP($D320,H$40)</f>
        <v>#N/A Field Not Applicable</v>
      </c>
      <c r="L320" s="9" t="str">
        <f t="shared" si="50"/>
        <v>#N/A N/A</v>
      </c>
    </row>
    <row r="321" spans="1:12" x14ac:dyDescent="0.2">
      <c r="A321" t="s">
        <v>16</v>
      </c>
      <c r="B321" s="23" t="s">
        <v>959</v>
      </c>
      <c r="C321" s="17" t="s">
        <v>959</v>
      </c>
      <c r="D321" s="22" t="s">
        <v>272</v>
      </c>
      <c r="E321" s="21" t="str">
        <f>_xll.BDP($D321,E$40)</f>
        <v>#N/A N/A</v>
      </c>
      <c r="F321" t="str">
        <f>_xll.BDP($D321,F$40)</f>
        <v>#N/A N/A</v>
      </c>
      <c r="G321" t="str">
        <f>_xll.BDP($D321,G$40)</f>
        <v>#N/A N/A</v>
      </c>
      <c r="H321" s="9" t="str">
        <f>_xll.BDP($D321,H$40)</f>
        <v>#N/A Field Not Applicable</v>
      </c>
      <c r="L321" s="9" t="str">
        <f t="shared" si="50"/>
        <v>#N/A N/A</v>
      </c>
    </row>
    <row r="322" spans="1:12" x14ac:dyDescent="0.2">
      <c r="A322" t="s">
        <v>16</v>
      </c>
      <c r="B322" t="str">
        <f>LEFT(D322,FIND(" ",D322)-1)</f>
        <v>IGT</v>
      </c>
      <c r="C322" s="16" t="str">
        <f>IF(A322="STOCK",B322,REPLACE(B322,FIND("+",B322),1,"."))</f>
        <v>IGT</v>
      </c>
      <c r="D322" s="4" t="s">
        <v>219</v>
      </c>
      <c r="E322">
        <f>_xll.BDP($D322,E$40)</f>
        <v>5.35</v>
      </c>
      <c r="F322">
        <f>_xll.BDP($D322,F$40)</f>
        <v>5.34</v>
      </c>
      <c r="G322">
        <f>_xll.BDP($D322,G$40)</f>
        <v>5.35</v>
      </c>
      <c r="H322" s="9" t="str">
        <f>_xll.BDP($D322,H$40)</f>
        <v>#N/A Field Not Applicable</v>
      </c>
      <c r="L322" s="9">
        <f t="shared" si="50"/>
        <v>5.35</v>
      </c>
    </row>
    <row r="323" spans="1:12" x14ac:dyDescent="0.2">
      <c r="A323" t="s">
        <v>16</v>
      </c>
      <c r="B323" t="s">
        <v>640</v>
      </c>
      <c r="C323" s="16" t="s">
        <v>640</v>
      </c>
      <c r="D323" t="s">
        <v>219</v>
      </c>
      <c r="E323">
        <f>_xll.BDP($D323,E$40)</f>
        <v>5.35</v>
      </c>
      <c r="F323">
        <f>_xll.BDP($D323,F$40)</f>
        <v>5.34</v>
      </c>
      <c r="G323">
        <f>_xll.BDP($D323,G$40)</f>
        <v>5.35</v>
      </c>
      <c r="H323" s="9" t="str">
        <f>_xll.BDP($D323,H$40)</f>
        <v>#N/A Field Not Applicable</v>
      </c>
      <c r="L323" s="9">
        <f t="shared" si="50"/>
        <v>5.35</v>
      </c>
    </row>
    <row r="324" spans="1:12" x14ac:dyDescent="0.2">
      <c r="A324" t="s">
        <v>16</v>
      </c>
      <c r="B324" t="str">
        <f>LEFT(D324,FIND(" ",D324)-1)</f>
        <v>NYT</v>
      </c>
      <c r="C324" s="16" t="str">
        <f>IF(A324="STOCK",B324,REPLACE(B324,FIND("+",B324),1,"."))</f>
        <v>NYT</v>
      </c>
      <c r="D324" t="s">
        <v>284</v>
      </c>
      <c r="E324">
        <f>_xll.BDP($D324,E$40)</f>
        <v>30.9</v>
      </c>
      <c r="F324">
        <f>_xll.BDP($D324,F$40)</f>
        <v>30.89</v>
      </c>
      <c r="G324">
        <f>_xll.BDP($D324,G$40)</f>
        <v>30.9</v>
      </c>
      <c r="H324" s="9" t="str">
        <f>_xll.BDP($D324,H$40)</f>
        <v>#N/A Field Not Applicable</v>
      </c>
      <c r="L324" s="9">
        <f t="shared" si="50"/>
        <v>30.9</v>
      </c>
    </row>
    <row r="325" spans="1:12" x14ac:dyDescent="0.2">
      <c r="A325" t="s">
        <v>16</v>
      </c>
      <c r="B325" s="23" t="s">
        <v>836</v>
      </c>
      <c r="C325" s="17" t="s">
        <v>836</v>
      </c>
      <c r="D325" s="22" t="s">
        <v>837</v>
      </c>
      <c r="E325" s="21">
        <f>_xll.BDP($D325,E$40)</f>
        <v>9.86</v>
      </c>
      <c r="F325">
        <f>_xll.BDP($D325,F$40)</f>
        <v>9.85</v>
      </c>
      <c r="G325">
        <f>_xll.BDP($D325,G$40)</f>
        <v>9.86</v>
      </c>
      <c r="H325" s="9" t="str">
        <f>_xll.BDP($D325,H$40)</f>
        <v>#N/A Field Not Applicable</v>
      </c>
      <c r="L325" s="9">
        <f t="shared" si="50"/>
        <v>9.86</v>
      </c>
    </row>
    <row r="326" spans="1:12" x14ac:dyDescent="0.2">
      <c r="A326" t="s">
        <v>16</v>
      </c>
      <c r="B326" t="str">
        <f>LEFT(D326,FIND(" ",D326)-1)</f>
        <v>WDR</v>
      </c>
      <c r="C326" s="16" t="str">
        <f>IF(A326="STOCK",B326,REPLACE(B326,FIND("+",B326),1,"."))</f>
        <v>WDR</v>
      </c>
      <c r="D326" t="s">
        <v>375</v>
      </c>
      <c r="E326">
        <f>_xll.BDP($D326,E$40)</f>
        <v>11.51</v>
      </c>
      <c r="F326">
        <f>_xll.BDP($D326,F$40)</f>
        <v>11.5</v>
      </c>
      <c r="G326">
        <f>_xll.BDP($D326,G$40)</f>
        <v>11.51</v>
      </c>
      <c r="H326" s="9" t="str">
        <f>_xll.BDP($D326,H$40)</f>
        <v>#N/A Field Not Applicable</v>
      </c>
      <c r="L326" s="9">
        <f t="shared" si="50"/>
        <v>11.51</v>
      </c>
    </row>
    <row r="327" spans="1:12" x14ac:dyDescent="0.2">
      <c r="A327" t="s">
        <v>16</v>
      </c>
      <c r="B327" t="str">
        <f>LEFT(D327,FIND(" ",D327)-1)</f>
        <v>ERI</v>
      </c>
      <c r="C327" s="16" t="str">
        <f>IF(A327="STOCK",B327,REPLACE(B327,FIND("+",B327),1,"."))</f>
        <v>ERI</v>
      </c>
      <c r="D327" t="s">
        <v>664</v>
      </c>
      <c r="E327">
        <f>_xll.BDP($D327,E$40)</f>
        <v>13.78</v>
      </c>
      <c r="F327">
        <f>_xll.BDP($D327,F$40)</f>
        <v>13.78</v>
      </c>
      <c r="G327">
        <f>_xll.BDP($D327,G$40)</f>
        <v>13.79</v>
      </c>
      <c r="H327" s="9" t="str">
        <f>_xll.BDP($D327,H$40)</f>
        <v>#N/A Field Not Applicable</v>
      </c>
      <c r="L327" s="9">
        <f t="shared" si="50"/>
        <v>13.78</v>
      </c>
    </row>
    <row r="328" spans="1:12" x14ac:dyDescent="0.2">
      <c r="A328" t="s">
        <v>16</v>
      </c>
      <c r="B328" t="s">
        <v>665</v>
      </c>
      <c r="C328" s="16" t="s">
        <v>665</v>
      </c>
      <c r="D328" t="s">
        <v>664</v>
      </c>
      <c r="E328">
        <f>_xll.BDP($D328,E$40)</f>
        <v>13.78</v>
      </c>
      <c r="F328">
        <f>_xll.BDP($D328,F$40)</f>
        <v>13.78</v>
      </c>
      <c r="G328">
        <f>_xll.BDP($D328,G$40)</f>
        <v>13.79</v>
      </c>
      <c r="H328" s="9" t="str">
        <f>_xll.BDP($D328,H$40)</f>
        <v>#N/A Field Not Applicable</v>
      </c>
      <c r="L328" s="9">
        <f t="shared" si="50"/>
        <v>13.78</v>
      </c>
    </row>
    <row r="329" spans="1:12" x14ac:dyDescent="0.2">
      <c r="A329" t="s">
        <v>16</v>
      </c>
      <c r="B329" t="str">
        <f>LEFT(D329,FIND(" ",D329)-1)</f>
        <v>KRO</v>
      </c>
      <c r="C329" s="16" t="str">
        <f>IF(A329="STOCK",B329,REPLACE(B329,FIND("+",B329),1,"."))</f>
        <v>KRO</v>
      </c>
      <c r="D329" t="s">
        <v>485</v>
      </c>
      <c r="E329">
        <f>_xll.BDP($D329,E$40)</f>
        <v>7.55</v>
      </c>
      <c r="F329">
        <f>_xll.BDP($D329,F$40)</f>
        <v>7.54</v>
      </c>
      <c r="G329">
        <f>_xll.BDP($D329,G$40)</f>
        <v>7.55</v>
      </c>
      <c r="H329" s="9" t="str">
        <f>_xll.BDP($D329,H$40)</f>
        <v>#N/A Field Not Applicable</v>
      </c>
      <c r="L329" s="9">
        <f t="shared" si="50"/>
        <v>7.55</v>
      </c>
    </row>
    <row r="330" spans="1:12" x14ac:dyDescent="0.2">
      <c r="A330" t="s">
        <v>16</v>
      </c>
      <c r="B330" t="str">
        <f>LEFT(D330,FIND(" ",D330)-1)</f>
        <v>PENN</v>
      </c>
      <c r="C330" s="16" t="str">
        <f>IF(A330="STOCK",B330,REPLACE(B330,FIND("+",B330),1,"."))</f>
        <v>PENN</v>
      </c>
      <c r="D330" s="4" t="s">
        <v>293</v>
      </c>
      <c r="E330">
        <f>_xll.BDP($D330,E$40)</f>
        <v>8.5399999999999991</v>
      </c>
      <c r="F330">
        <f>_xll.BDP($D330,F$40)</f>
        <v>8.5299999999999994</v>
      </c>
      <c r="G330">
        <f>_xll.BDP($D330,G$40)</f>
        <v>8.5399999999999991</v>
      </c>
      <c r="H330" s="9" t="str">
        <f>_xll.BDP($D330,H$40)</f>
        <v>#N/A Field Not Applicable</v>
      </c>
      <c r="L330" s="9">
        <f t="shared" si="50"/>
        <v>8.5399999999999991</v>
      </c>
    </row>
    <row r="331" spans="1:12" x14ac:dyDescent="0.2">
      <c r="A331" t="s">
        <v>16</v>
      </c>
      <c r="B331" t="str">
        <f>LEFT(D331,FIND(" ",D331)-1)</f>
        <v>WMS</v>
      </c>
      <c r="C331" s="16" t="str">
        <f>IF(A331="STOCK",B331,REPLACE(B331,FIND("+",B331),1,"."))</f>
        <v>WMS</v>
      </c>
      <c r="D331" s="9" t="s">
        <v>381</v>
      </c>
      <c r="E331">
        <f>_xll.BDP($D331,E$40)</f>
        <v>30.05</v>
      </c>
      <c r="F331">
        <f>_xll.BDP($D331,F$40)</f>
        <v>30.04</v>
      </c>
      <c r="G331">
        <f>_xll.BDP($D331,G$40)</f>
        <v>30.05</v>
      </c>
      <c r="H331" s="9" t="str">
        <f>_xll.BDP($D331,H$40)</f>
        <v>#N/A Field Not Applicable</v>
      </c>
      <c r="L331" s="9">
        <f t="shared" si="50"/>
        <v>30.05</v>
      </c>
    </row>
    <row r="332" spans="1:12" x14ac:dyDescent="0.2">
      <c r="A332" t="s">
        <v>16</v>
      </c>
      <c r="B332" s="5" t="s">
        <v>686</v>
      </c>
      <c r="C332" s="16" t="s">
        <v>686</v>
      </c>
      <c r="D332" t="s">
        <v>381</v>
      </c>
      <c r="E332" s="21">
        <f>_xll.BDP($D332,E$40)</f>
        <v>30.05</v>
      </c>
      <c r="F332">
        <f>_xll.BDP($D332,F$40)</f>
        <v>30.04</v>
      </c>
      <c r="G332">
        <f>_xll.BDP($D332,G$40)</f>
        <v>30.05</v>
      </c>
      <c r="H332" s="9" t="str">
        <f>_xll.BDP($D332,H$40)</f>
        <v>#N/A Field Not Applicable</v>
      </c>
      <c r="L332" s="9">
        <f t="shared" si="50"/>
        <v>30.05</v>
      </c>
    </row>
    <row r="333" spans="1:12" x14ac:dyDescent="0.2">
      <c r="A333" t="s">
        <v>16</v>
      </c>
      <c r="B333" t="str">
        <f>LEFT(D333,FIND(" ",D333)-1)</f>
        <v>TRK</v>
      </c>
      <c r="C333" s="16" t="str">
        <f>IF(A333="STOCK",B333,REPLACE(B333,FIND("+",B333),1,"."))</f>
        <v>TRK</v>
      </c>
      <c r="D333" t="s">
        <v>352</v>
      </c>
      <c r="E333" t="str">
        <f>_xll.BDP($D333,E$40)</f>
        <v>#N/A N/A</v>
      </c>
      <c r="F333" t="str">
        <f>_xll.BDP($D333,F$40)</f>
        <v>#N/A N/A</v>
      </c>
      <c r="G333" t="str">
        <f>_xll.BDP($D333,G$40)</f>
        <v>#N/A N/A</v>
      </c>
      <c r="H333" s="9" t="str">
        <f>_xll.BDP($D333,H$40)</f>
        <v>#N/A Field Not Applicable</v>
      </c>
      <c r="L333" s="9" t="str">
        <f t="shared" si="50"/>
        <v>#N/A N/A</v>
      </c>
    </row>
    <row r="334" spans="1:12" x14ac:dyDescent="0.2">
      <c r="A334" t="s">
        <v>16</v>
      </c>
      <c r="B334" s="23" t="s">
        <v>975</v>
      </c>
      <c r="C334" s="17" t="s">
        <v>975</v>
      </c>
      <c r="D334" s="22" t="s">
        <v>976</v>
      </c>
      <c r="E334" s="21">
        <f>_xll.BDP($D334,E$40)</f>
        <v>39.18</v>
      </c>
      <c r="F334">
        <f>_xll.BDP($D334,F$40)</f>
        <v>39.17</v>
      </c>
      <c r="G334">
        <f>_xll.BDP($D334,G$40)</f>
        <v>39.18</v>
      </c>
      <c r="H334" s="9" t="str">
        <f>_xll.BDP($D334,H$40)</f>
        <v>#N/A Field Not Applicable</v>
      </c>
      <c r="L334" s="9">
        <f t="shared" si="50"/>
        <v>39.18</v>
      </c>
    </row>
    <row r="335" spans="1:12" x14ac:dyDescent="0.2">
      <c r="A335" t="s">
        <v>16</v>
      </c>
      <c r="B335" t="str">
        <f>LEFT(D335,FIND(" ",D335)-1)</f>
        <v>IMAX</v>
      </c>
      <c r="C335" s="16" t="str">
        <f>IF(A335="STOCK",B335,REPLACE(B335,FIND("+",B335),1,"."))</f>
        <v>IMAX</v>
      </c>
      <c r="D335" t="s">
        <v>220</v>
      </c>
      <c r="E335">
        <f>_xll.BDP($D335,E$40)</f>
        <v>9.15</v>
      </c>
      <c r="F335">
        <f>_xll.BDP($D335,F$40)</f>
        <v>9.14</v>
      </c>
      <c r="G335">
        <f>_xll.BDP($D335,G$40)</f>
        <v>9.15</v>
      </c>
      <c r="H335" s="9" t="str">
        <f>_xll.BDP($D335,H$40)</f>
        <v>#N/A Field Not Applicable</v>
      </c>
      <c r="L335" s="9">
        <f t="shared" si="50"/>
        <v>9.15</v>
      </c>
    </row>
    <row r="336" spans="1:12" x14ac:dyDescent="0.2">
      <c r="A336" t="s">
        <v>16</v>
      </c>
      <c r="B336" t="str">
        <f>LEFT(D336,FIND(" ",D336)-1)</f>
        <v>IMAX</v>
      </c>
      <c r="C336" s="16" t="str">
        <f>IF(A336="STOCK",B336,REPLACE(B336,FIND("+",B336),1,"."))</f>
        <v>IMAX</v>
      </c>
      <c r="D336" t="s">
        <v>220</v>
      </c>
      <c r="E336">
        <f>_xll.BDP($D336,E$40)</f>
        <v>9.15</v>
      </c>
      <c r="F336">
        <f>_xll.BDP($D336,F$40)</f>
        <v>9.14</v>
      </c>
      <c r="G336">
        <f>_xll.BDP($D336,G$40)</f>
        <v>9.15</v>
      </c>
      <c r="H336" s="9" t="str">
        <f>_xll.BDP($D336,H$40)</f>
        <v>#N/A Field Not Applicable</v>
      </c>
      <c r="L336" s="9">
        <f t="shared" si="50"/>
        <v>9.15</v>
      </c>
    </row>
    <row r="337" spans="1:12" x14ac:dyDescent="0.2">
      <c r="A337" t="s">
        <v>16</v>
      </c>
      <c r="B337" t="str">
        <f>LEFT(D337,FIND(" ",D337)-1)</f>
        <v>GDEN</v>
      </c>
      <c r="C337" s="16" t="str">
        <f>IF(A337="STOCK",B337,REPLACE(B337,FIND("+",B337),1,"."))</f>
        <v>GDEN</v>
      </c>
      <c r="D337" s="4" t="s">
        <v>751</v>
      </c>
      <c r="E337">
        <f>_xll.BDP($D337,E$40)</f>
        <v>5.25</v>
      </c>
      <c r="F337">
        <f>_xll.BDP($D337,F$40)</f>
        <v>5.0999999999999996</v>
      </c>
      <c r="G337">
        <f>_xll.BDP($D337,G$40)</f>
        <v>5.21</v>
      </c>
      <c r="H337" s="9" t="str">
        <f>_xll.BDP($D337,H$40)</f>
        <v>#N/A Field Not Applicable</v>
      </c>
      <c r="L337" s="9">
        <f t="shared" si="50"/>
        <v>5.25</v>
      </c>
    </row>
    <row r="338" spans="1:12" x14ac:dyDescent="0.2">
      <c r="A338" t="s">
        <v>16</v>
      </c>
      <c r="B338" t="str">
        <f>LEFT(D338,FIND(" ",D338)-1)</f>
        <v>GME</v>
      </c>
      <c r="C338" s="16" t="str">
        <f>IF(A338="STOCK",B338,REPLACE(B338,FIND("+",B338),1,"."))</f>
        <v>GME</v>
      </c>
      <c r="D338" s="9" t="s">
        <v>199</v>
      </c>
      <c r="E338">
        <f>_xll.BDP($D338,E$40)</f>
        <v>4.37</v>
      </c>
      <c r="F338">
        <f>_xll.BDP($D338,F$40)</f>
        <v>4.38</v>
      </c>
      <c r="G338">
        <f>_xll.BDP($D338,G$40)</f>
        <v>4.3899999999999997</v>
      </c>
      <c r="H338" s="9" t="str">
        <f>_xll.BDP($D338,H$40)</f>
        <v>#N/A Field Not Applicable</v>
      </c>
      <c r="L338" s="9">
        <f t="shared" si="50"/>
        <v>4.37</v>
      </c>
    </row>
    <row r="339" spans="1:12" x14ac:dyDescent="0.2">
      <c r="A339" t="s">
        <v>16</v>
      </c>
      <c r="B339" t="str">
        <f>LEFT(D339,FIND(" ",D339)-1)</f>
        <v>JBLU</v>
      </c>
      <c r="C339" s="16" t="str">
        <f>IF(A339="STOCK",B339,REPLACE(B339,FIND("+",B339),1,"."))</f>
        <v>JBLU</v>
      </c>
      <c r="D339" t="s">
        <v>229</v>
      </c>
      <c r="E339">
        <f>_xll.BDP($D339,E$40)</f>
        <v>10.61</v>
      </c>
      <c r="F339">
        <f>_xll.BDP($D339,F$40)</f>
        <v>10.61</v>
      </c>
      <c r="G339">
        <f>_xll.BDP($D339,G$40)</f>
        <v>10.62</v>
      </c>
      <c r="H339" s="9" t="str">
        <f>_xll.BDP($D339,H$40)</f>
        <v>#N/A Field Not Applicable</v>
      </c>
      <c r="L339" s="9">
        <f t="shared" si="50"/>
        <v>10.61</v>
      </c>
    </row>
    <row r="340" spans="1:12" x14ac:dyDescent="0.2">
      <c r="A340" t="s">
        <v>16</v>
      </c>
      <c r="B340" s="5" t="s">
        <v>705</v>
      </c>
      <c r="C340" s="16" t="s">
        <v>706</v>
      </c>
      <c r="D340" t="s">
        <v>229</v>
      </c>
      <c r="E340" s="21">
        <f>_xll.BDP($D340,E$40)</f>
        <v>10.61</v>
      </c>
      <c r="F340">
        <f>_xll.BDP($D340,F$40)</f>
        <v>10.61</v>
      </c>
      <c r="G340">
        <f>_xll.BDP($D340,G$40)</f>
        <v>10.62</v>
      </c>
      <c r="H340" s="9" t="str">
        <f>_xll.BDP($D340,H$40)</f>
        <v>#N/A Field Not Applicable</v>
      </c>
      <c r="L340" s="9">
        <f t="shared" si="50"/>
        <v>10.61</v>
      </c>
    </row>
    <row r="341" spans="1:12" x14ac:dyDescent="0.2">
      <c r="A341" t="s">
        <v>16</v>
      </c>
      <c r="B341" s="23" t="s">
        <v>722</v>
      </c>
      <c r="C341" s="17" t="s">
        <v>722</v>
      </c>
      <c r="D341" s="22" t="s">
        <v>723</v>
      </c>
      <c r="E341" s="21">
        <f>_xll.BDP($D341,E$40)</f>
        <v>6.44</v>
      </c>
      <c r="F341">
        <f>_xll.BDP($D341,F$40)</f>
        <v>6.42</v>
      </c>
      <c r="G341">
        <f>_xll.BDP($D341,G$40)</f>
        <v>6.43</v>
      </c>
      <c r="H341" s="9" t="str">
        <f>_xll.BDP($D341,H$40)</f>
        <v>#N/A Field Not Applicable</v>
      </c>
      <c r="L341" s="9">
        <f t="shared" si="50"/>
        <v>6.44</v>
      </c>
    </row>
    <row r="342" spans="1:12" x14ac:dyDescent="0.2">
      <c r="A342" t="s">
        <v>16</v>
      </c>
      <c r="B342" t="str">
        <f>LEFT(D342,FIND(" ",D342)-1)</f>
        <v>ITG</v>
      </c>
      <c r="C342" s="16" t="str">
        <f>IF(A342="STOCK",B342,REPLACE(B342,FIND("+",B342),1,"."))</f>
        <v>ITG</v>
      </c>
      <c r="D342" t="s">
        <v>225</v>
      </c>
      <c r="E342" t="str">
        <f>_xll.BDP($D342,E$40)</f>
        <v>#N/A N/A</v>
      </c>
      <c r="F342" t="str">
        <f>_xll.BDP($D342,F$40)</f>
        <v>#N/A N/A</v>
      </c>
      <c r="G342" t="str">
        <f>_xll.BDP($D342,G$40)</f>
        <v>#N/A N/A</v>
      </c>
      <c r="H342" s="9" t="str">
        <f>_xll.BDP($D342,H$40)</f>
        <v>#N/A Field Not Applicable</v>
      </c>
      <c r="L342" s="9" t="str">
        <f t="shared" si="50"/>
        <v>#N/A N/A</v>
      </c>
    </row>
    <row r="343" spans="1:12" x14ac:dyDescent="0.2">
      <c r="A343" t="s">
        <v>16</v>
      </c>
      <c r="B343" s="23" t="s">
        <v>748</v>
      </c>
      <c r="C343" s="17" t="s">
        <v>748</v>
      </c>
      <c r="D343" s="22" t="s">
        <v>225</v>
      </c>
      <c r="E343" s="21" t="str">
        <f>_xll.BDP($D343,E$40)</f>
        <v>#N/A N/A</v>
      </c>
      <c r="F343" t="str">
        <f>_xll.BDP($D343,F$40)</f>
        <v>#N/A N/A</v>
      </c>
      <c r="G343" t="str">
        <f>_xll.BDP($D343,G$40)</f>
        <v>#N/A N/A</v>
      </c>
      <c r="H343" s="9" t="str">
        <f>_xll.BDP($D343,H$40)</f>
        <v>#N/A Field Not Applicable</v>
      </c>
      <c r="L343" s="9" t="str">
        <f t="shared" si="50"/>
        <v>#N/A N/A</v>
      </c>
    </row>
    <row r="344" spans="1:12" x14ac:dyDescent="0.2">
      <c r="A344" t="s">
        <v>16</v>
      </c>
      <c r="B344" t="s">
        <v>456</v>
      </c>
      <c r="C344" s="16" t="s">
        <v>456</v>
      </c>
      <c r="D344" t="s">
        <v>457</v>
      </c>
      <c r="E344">
        <f>_xll.BDP($D344,E$40)</f>
        <v>9.1</v>
      </c>
      <c r="F344">
        <f>_xll.BDP($D344,F$40)</f>
        <v>9.1</v>
      </c>
      <c r="G344">
        <f>_xll.BDP($D344,G$40)</f>
        <v>9.11</v>
      </c>
      <c r="H344" s="9" t="str">
        <f>_xll.BDP($D344,H$40)</f>
        <v>#N/A Field Not Applicable</v>
      </c>
      <c r="L344" s="9">
        <f t="shared" si="50"/>
        <v>9.1</v>
      </c>
    </row>
    <row r="345" spans="1:12" x14ac:dyDescent="0.2">
      <c r="A345" t="s">
        <v>16</v>
      </c>
      <c r="B345" t="str">
        <f>LEFT(D345,FIND(" ",D345)-1)</f>
        <v>CTRN</v>
      </c>
      <c r="C345" s="16" t="str">
        <f>IF(A345="STOCK",B345,REPLACE(B345,FIND("+",B345),1,"."))</f>
        <v>CTRN</v>
      </c>
      <c r="D345" t="s">
        <v>144</v>
      </c>
      <c r="E345">
        <f>_xll.BDP($D345,E$40)</f>
        <v>13.93</v>
      </c>
      <c r="F345">
        <f>_xll.BDP($D345,F$40)</f>
        <v>13.92</v>
      </c>
      <c r="G345">
        <f>_xll.BDP($D345,G$40)</f>
        <v>13.98</v>
      </c>
      <c r="H345" s="9" t="str">
        <f>_xll.BDP($D345,H$40)</f>
        <v>#N/A Field Not Applicable</v>
      </c>
      <c r="L345" s="9">
        <f t="shared" si="50"/>
        <v>13.93</v>
      </c>
    </row>
    <row r="346" spans="1:12" x14ac:dyDescent="0.2">
      <c r="A346" t="s">
        <v>16</v>
      </c>
      <c r="B346" s="23" t="s">
        <v>859</v>
      </c>
      <c r="C346" s="17" t="s">
        <v>859</v>
      </c>
      <c r="D346" s="22" t="s">
        <v>860</v>
      </c>
      <c r="E346" s="21">
        <f>_xll.BDP($D346,E$40)</f>
        <v>15.91</v>
      </c>
      <c r="F346">
        <f>_xll.BDP($D346,F$40)</f>
        <v>15.9</v>
      </c>
      <c r="G346">
        <f>_xll.BDP($D346,G$40)</f>
        <v>15.96</v>
      </c>
      <c r="H346" s="9" t="str">
        <f>_xll.BDP($D346,H$40)</f>
        <v>#N/A Field Not Applicable</v>
      </c>
      <c r="L346" s="9">
        <f t="shared" si="50"/>
        <v>15.91</v>
      </c>
    </row>
    <row r="347" spans="1:12" x14ac:dyDescent="0.2">
      <c r="A347" t="s">
        <v>16</v>
      </c>
      <c r="B347" t="str">
        <f>LEFT(D347,FIND(" ",D347)-1)</f>
        <v>PBF</v>
      </c>
      <c r="C347" s="16" t="str">
        <f>IF(A347="STOCK",B347,REPLACE(B347,FIND("+",B347),1,"."))</f>
        <v>PBF</v>
      </c>
      <c r="D347" t="s">
        <v>532</v>
      </c>
      <c r="E347">
        <f>_xll.BDP($D347,E$40)</f>
        <v>10.58</v>
      </c>
      <c r="F347">
        <f>_xll.BDP($D347,F$40)</f>
        <v>10.58</v>
      </c>
      <c r="G347">
        <f>_xll.BDP($D347,G$40)</f>
        <v>10.6</v>
      </c>
      <c r="H347" s="9" t="str">
        <f>_xll.BDP($D347,H$40)</f>
        <v>#N/A Field Not Applicable</v>
      </c>
      <c r="L347" s="9">
        <f t="shared" si="50"/>
        <v>10.58</v>
      </c>
    </row>
    <row r="348" spans="1:12" x14ac:dyDescent="0.2">
      <c r="A348" t="s">
        <v>16</v>
      </c>
      <c r="B348" t="str">
        <f>LEFT(D348,FIND(" ",D348)-1)</f>
        <v>RRC</v>
      </c>
      <c r="C348" s="16" t="str">
        <f>IF(A348="STOCK",B348,REPLACE(B348,FIND("+",B348),1,"."))</f>
        <v>RRC</v>
      </c>
      <c r="D348" s="9" t="s">
        <v>409</v>
      </c>
      <c r="E348">
        <f>_xll.BDP($D348,E$40)</f>
        <v>2.74</v>
      </c>
      <c r="F348">
        <f>_xll.BDP($D348,F$40)</f>
        <v>2.73</v>
      </c>
      <c r="G348">
        <f>_xll.BDP($D348,G$40)</f>
        <v>2.74</v>
      </c>
      <c r="H348" s="9" t="str">
        <f>_xll.BDP($D348,H$40)</f>
        <v>#N/A Field Not Applicable</v>
      </c>
      <c r="L348" s="9">
        <f t="shared" si="50"/>
        <v>2.74</v>
      </c>
    </row>
    <row r="349" spans="1:12" x14ac:dyDescent="0.2">
      <c r="A349" t="s">
        <v>16</v>
      </c>
      <c r="B349" t="str">
        <f>LEFT(D349,FIND(" ",D349)-1)</f>
        <v>ENSG</v>
      </c>
      <c r="C349" s="16" t="str">
        <f>IF(A349="STOCK",B349,REPLACE(B349,FIND("+",B349),1,"."))</f>
        <v>ENSG</v>
      </c>
      <c r="D349" t="s">
        <v>170</v>
      </c>
      <c r="E349">
        <f>_xll.BDP($D349,E$40)</f>
        <v>24.99</v>
      </c>
      <c r="F349">
        <f>_xll.BDP($D349,F$40)</f>
        <v>24.99</v>
      </c>
      <c r="G349">
        <f>_xll.BDP($D349,G$40)</f>
        <v>25.05</v>
      </c>
      <c r="H349" s="9" t="str">
        <f>_xll.BDP($D349,H$40)</f>
        <v>#N/A Field Not Applicable</v>
      </c>
      <c r="L349" s="9">
        <f t="shared" si="50"/>
        <v>24.99</v>
      </c>
    </row>
    <row r="350" spans="1:12" x14ac:dyDescent="0.2">
      <c r="A350" t="s">
        <v>16</v>
      </c>
      <c r="B350" s="5" t="s">
        <v>709</v>
      </c>
      <c r="C350" s="16" t="s">
        <v>709</v>
      </c>
      <c r="D350" t="s">
        <v>170</v>
      </c>
      <c r="E350" s="21">
        <f>_xll.BDP($D350,E$40)</f>
        <v>24.99</v>
      </c>
      <c r="F350">
        <f>_xll.BDP($D350,F$40)</f>
        <v>24.99</v>
      </c>
      <c r="G350">
        <f>_xll.BDP($D350,G$40)</f>
        <v>25.05</v>
      </c>
      <c r="H350" s="9" t="str">
        <f>_xll.BDP($D350,H$40)</f>
        <v>#N/A Field Not Applicable</v>
      </c>
      <c r="L350" s="9">
        <f t="shared" si="50"/>
        <v>24.99</v>
      </c>
    </row>
    <row r="351" spans="1:12" x14ac:dyDescent="0.2">
      <c r="A351" t="s">
        <v>16</v>
      </c>
      <c r="B351" s="23" t="s">
        <v>749</v>
      </c>
      <c r="C351" s="17" t="s">
        <v>749</v>
      </c>
      <c r="D351" s="22" t="s">
        <v>750</v>
      </c>
      <c r="E351" s="21" t="str">
        <f>_xll.BDP($D351,E$40)</f>
        <v>#N/A N/A</v>
      </c>
      <c r="F351" t="str">
        <f>_xll.BDP($D351,F$40)</f>
        <v>#N/A N/A</v>
      </c>
      <c r="G351" t="str">
        <f>_xll.BDP($D351,G$40)</f>
        <v>#N/A N/A</v>
      </c>
      <c r="H351" s="9" t="str">
        <f>_xll.BDP($D351,H$40)</f>
        <v>#N/A Field Not Applicable</v>
      </c>
      <c r="L351" s="9" t="str">
        <f t="shared" si="50"/>
        <v>#N/A N/A</v>
      </c>
    </row>
    <row r="352" spans="1:12" x14ac:dyDescent="0.2">
      <c r="A352" t="s">
        <v>16</v>
      </c>
      <c r="B352" t="str">
        <f>LEFT(D352,FIND(" ",D352)-1)</f>
        <v>ATRC</v>
      </c>
      <c r="C352" s="16" t="str">
        <f>IF(A352="STOCK",B352,REPLACE(B352,FIND("+",B352),1,"."))</f>
        <v>ATRC</v>
      </c>
      <c r="D352" t="s">
        <v>79</v>
      </c>
      <c r="E352">
        <f>_xll.BDP($D352,E$40)</f>
        <v>25.34</v>
      </c>
      <c r="F352">
        <f>_xll.BDP($D352,F$40)</f>
        <v>25.32</v>
      </c>
      <c r="G352">
        <f>_xll.BDP($D352,G$40)</f>
        <v>25.33</v>
      </c>
      <c r="H352" s="9" t="str">
        <f>_xll.BDP($D352,H$40)</f>
        <v>#N/A Field Not Applicable</v>
      </c>
      <c r="L352" s="9">
        <f t="shared" si="50"/>
        <v>25.34</v>
      </c>
    </row>
    <row r="353" spans="1:12" x14ac:dyDescent="0.2">
      <c r="A353" t="s">
        <v>16</v>
      </c>
      <c r="B353" s="23" t="s">
        <v>985</v>
      </c>
      <c r="C353" s="17" t="s">
        <v>985</v>
      </c>
      <c r="D353" s="22" t="s">
        <v>986</v>
      </c>
      <c r="E353" s="21">
        <f>_xll.BDP($D353,E$40)</f>
        <v>16.09</v>
      </c>
      <c r="F353">
        <f>_xll.BDP($D353,F$40)</f>
        <v>16.09</v>
      </c>
      <c r="G353">
        <f>_xll.BDP($D353,G$40)</f>
        <v>16.100000000000001</v>
      </c>
      <c r="H353" s="9" t="str">
        <f>_xll.BDP($D353,H$40)</f>
        <v>#N/A Field Not Applicable</v>
      </c>
      <c r="L353" s="9">
        <f t="shared" si="50"/>
        <v>16.09</v>
      </c>
    </row>
    <row r="354" spans="1:12" x14ac:dyDescent="0.2">
      <c r="A354" t="s">
        <v>16</v>
      </c>
      <c r="B354" t="str">
        <f>LEFT(D354,FIND(" ",D354)-1)</f>
        <v>CONN</v>
      </c>
      <c r="C354" s="16" t="str">
        <f>IF(A354="STOCK",B354,REPLACE(B354,FIND("+",B354),1,"."))</f>
        <v>CONN</v>
      </c>
      <c r="D354" t="s">
        <v>133</v>
      </c>
      <c r="E354">
        <f>_xll.BDP($D354,E$40)</f>
        <v>4.38</v>
      </c>
      <c r="F354">
        <f>_xll.BDP($D354,F$40)</f>
        <v>4.25</v>
      </c>
      <c r="G354">
        <f>_xll.BDP($D354,G$40)</f>
        <v>4.26</v>
      </c>
      <c r="H354" s="9" t="str">
        <f>_xll.BDP($D354,H$40)</f>
        <v>#N/A Field Not Applicable</v>
      </c>
      <c r="L354" s="9">
        <f t="shared" si="50"/>
        <v>4.38</v>
      </c>
    </row>
    <row r="355" spans="1:12" x14ac:dyDescent="0.2">
      <c r="A355" t="s">
        <v>16</v>
      </c>
      <c r="B355" t="str">
        <f>LEFT(D355,FIND(" ",D355)-1)</f>
        <v>NYNY</v>
      </c>
      <c r="C355" s="16" t="str">
        <f>IF(A355="STOCK",B355,REPLACE(B355,FIND("+",B355),1,"."))</f>
        <v>NYNY</v>
      </c>
      <c r="D355" t="s">
        <v>283</v>
      </c>
      <c r="E355" t="str">
        <f>_xll.BDP($D355,E$40)</f>
        <v>#N/A N/A</v>
      </c>
      <c r="F355" t="str">
        <f>_xll.BDP($D355,F$40)</f>
        <v>#N/A N/A</v>
      </c>
      <c r="G355" t="str">
        <f>_xll.BDP($D355,G$40)</f>
        <v>#N/A N/A</v>
      </c>
      <c r="H355" s="9" t="str">
        <f>_xll.BDP($D355,H$40)</f>
        <v>#N/A Field Not Applicable</v>
      </c>
      <c r="L355" s="9" t="str">
        <f t="shared" si="50"/>
        <v>#N/A N/A</v>
      </c>
    </row>
    <row r="356" spans="1:12" x14ac:dyDescent="0.2">
      <c r="A356" t="s">
        <v>16</v>
      </c>
      <c r="B356" s="23" t="s">
        <v>936</v>
      </c>
      <c r="C356" s="17" t="s">
        <v>936</v>
      </c>
      <c r="D356" s="22" t="s">
        <v>283</v>
      </c>
      <c r="E356" s="21" t="str">
        <f>_xll.BDP($D356,E$40)</f>
        <v>#N/A N/A</v>
      </c>
      <c r="F356" t="str">
        <f>_xll.BDP($D356,F$40)</f>
        <v>#N/A N/A</v>
      </c>
      <c r="G356" t="str">
        <f>_xll.BDP($D356,G$40)</f>
        <v>#N/A N/A</v>
      </c>
      <c r="H356" s="9" t="str">
        <f>_xll.BDP($D356,H$40)</f>
        <v>#N/A Field Not Applicable</v>
      </c>
      <c r="L356" s="9" t="str">
        <f t="shared" si="50"/>
        <v>#N/A N/A</v>
      </c>
    </row>
    <row r="357" spans="1:12" x14ac:dyDescent="0.2">
      <c r="A357" t="s">
        <v>16</v>
      </c>
      <c r="B357" t="str">
        <f>LEFT(D357,FIND(" ",D357)-1)</f>
        <v>ADTN</v>
      </c>
      <c r="C357" s="16" t="str">
        <f>IF(A357="STOCK",B357,REPLACE(B357,FIND("+",B357),1,"."))</f>
        <v>ADTN</v>
      </c>
      <c r="D357" t="s">
        <v>55</v>
      </c>
      <c r="E357">
        <f>_xll.BDP($D357,E$40)</f>
        <v>5.9</v>
      </c>
      <c r="F357">
        <f>_xll.BDP($D357,F$40)</f>
        <v>5.86</v>
      </c>
      <c r="G357">
        <f>_xll.BDP($D357,G$40)</f>
        <v>5.87</v>
      </c>
      <c r="H357" s="9" t="str">
        <f>_xll.BDP($D357,H$40)</f>
        <v>#N/A Field Not Applicable</v>
      </c>
      <c r="L357" s="9">
        <f t="shared" si="50"/>
        <v>5.9</v>
      </c>
    </row>
    <row r="358" spans="1:12" x14ac:dyDescent="0.2">
      <c r="A358" t="s">
        <v>16</v>
      </c>
      <c r="B358" t="s">
        <v>578</v>
      </c>
      <c r="C358" s="16" t="s">
        <v>578</v>
      </c>
      <c r="D358" t="s">
        <v>579</v>
      </c>
      <c r="E358">
        <f>_xll.BDP($D358,E$40)</f>
        <v>11.01</v>
      </c>
      <c r="F358">
        <f>_xll.BDP($D358,F$40)</f>
        <v>11.01</v>
      </c>
      <c r="G358">
        <f>_xll.BDP($D358,G$40)</f>
        <v>11.19</v>
      </c>
      <c r="H358" s="9" t="str">
        <f>_xll.BDP($D358,H$40)</f>
        <v>#N/A Field Not Applicable</v>
      </c>
      <c r="L358" s="9">
        <f t="shared" si="50"/>
        <v>11.01</v>
      </c>
    </row>
    <row r="359" spans="1:12" x14ac:dyDescent="0.2">
      <c r="A359" t="s">
        <v>16</v>
      </c>
      <c r="B359" s="23" t="s">
        <v>903</v>
      </c>
      <c r="C359" s="17" t="s">
        <v>903</v>
      </c>
      <c r="D359" s="22" t="s">
        <v>904</v>
      </c>
      <c r="E359" s="21">
        <f>_xll.BDP($D359,E$40)</f>
        <v>1.5411999999999999</v>
      </c>
      <c r="F359">
        <f>_xll.BDP($D359,F$40)</f>
        <v>1.54</v>
      </c>
      <c r="G359">
        <f>_xll.BDP($D359,G$40)</f>
        <v>1.55</v>
      </c>
      <c r="H359" s="9" t="str">
        <f>_xll.BDP($D359,H$40)</f>
        <v>#N/A Field Not Applicable</v>
      </c>
      <c r="L359" s="9">
        <f t="shared" si="50"/>
        <v>1.5411999999999999</v>
      </c>
    </row>
    <row r="360" spans="1:12" x14ac:dyDescent="0.2">
      <c r="A360" t="s">
        <v>16</v>
      </c>
      <c r="B360" s="23" t="s">
        <v>783</v>
      </c>
      <c r="C360" s="17" t="s">
        <v>783</v>
      </c>
      <c r="D360" s="22" t="s">
        <v>784</v>
      </c>
      <c r="E360" s="21">
        <f>_xll.BDP($D360,E$40)</f>
        <v>9.9499999999999993</v>
      </c>
      <c r="F360">
        <f>_xll.BDP($D360,F$40)</f>
        <v>9.94</v>
      </c>
      <c r="G360">
        <f>_xll.BDP($D360,G$40)</f>
        <v>9.9499999999999993</v>
      </c>
      <c r="H360" s="9" t="str">
        <f>_xll.BDP($D360,H$40)</f>
        <v>#N/A Field Not Applicable</v>
      </c>
      <c r="L360" s="9">
        <f t="shared" si="50"/>
        <v>9.9499999999999993</v>
      </c>
    </row>
    <row r="361" spans="1:12" x14ac:dyDescent="0.2">
      <c r="A361" t="s">
        <v>16</v>
      </c>
      <c r="B361" s="5" t="s">
        <v>708</v>
      </c>
      <c r="C361" s="16" t="s">
        <v>708</v>
      </c>
      <c r="D361" t="s">
        <v>18</v>
      </c>
      <c r="E361" s="21" t="str">
        <f>_xll.BDP($D361,E$40)</f>
        <v>#N/A N/A</v>
      </c>
      <c r="F361" t="str">
        <f>_xll.BDP($D361,F$40)</f>
        <v>#N/A N/A</v>
      </c>
      <c r="G361" t="str">
        <f>_xll.BDP($D361,G$40)</f>
        <v>#N/A N/A</v>
      </c>
      <c r="H361" s="9" t="str">
        <f>_xll.BDP($D361,H$40)</f>
        <v>#N/A Field Not Applicable</v>
      </c>
      <c r="L361" s="9" t="str">
        <f t="shared" si="50"/>
        <v>#N/A N/A</v>
      </c>
    </row>
    <row r="362" spans="1:12" x14ac:dyDescent="0.2">
      <c r="A362" t="s">
        <v>16</v>
      </c>
      <c r="B362" t="str">
        <f>LEFT(D362,FIND(" ",D362)-1)</f>
        <v>BAC</v>
      </c>
      <c r="C362" s="16" t="str">
        <f>IF(A362="STOCK",B362,REPLACE(B362,FIND("+",B362),1,"."))</f>
        <v>BAC</v>
      </c>
      <c r="D362" t="s">
        <v>85</v>
      </c>
      <c r="E362">
        <f>_xll.BDP($D362,E$40)</f>
        <v>20.440000000000001</v>
      </c>
      <c r="F362">
        <f>_xll.BDP($D362,F$40)</f>
        <v>20.43</v>
      </c>
      <c r="G362">
        <f>_xll.BDP($D362,G$40)</f>
        <v>20.440000000000001</v>
      </c>
      <c r="H362" s="9" t="str">
        <f>_xll.BDP($D362,H$40)</f>
        <v>#N/A Field Not Applicable</v>
      </c>
      <c r="L362" s="9">
        <f t="shared" si="50"/>
        <v>20.440000000000001</v>
      </c>
    </row>
    <row r="363" spans="1:12" x14ac:dyDescent="0.2">
      <c r="A363" t="s">
        <v>16</v>
      </c>
      <c r="B363" t="s">
        <v>676</v>
      </c>
      <c r="C363" s="16" t="s">
        <v>676</v>
      </c>
      <c r="D363" t="s">
        <v>677</v>
      </c>
      <c r="E363" s="21">
        <f>_xll.BDP($D363,E$40)</f>
        <v>16.170000000000002</v>
      </c>
      <c r="F363">
        <f>_xll.BDP($D363,F$40)</f>
        <v>16.14</v>
      </c>
      <c r="G363">
        <f>_xll.BDP($D363,G$40)</f>
        <v>16.190000000000001</v>
      </c>
      <c r="H363" s="9" t="str">
        <f>_xll.BDP($D363,H$40)</f>
        <v>#N/A Field Not Applicable</v>
      </c>
      <c r="L363" s="9">
        <f t="shared" si="50"/>
        <v>16.170000000000002</v>
      </c>
    </row>
    <row r="364" spans="1:12" x14ac:dyDescent="0.2">
      <c r="A364" t="s">
        <v>16</v>
      </c>
      <c r="B364" t="str">
        <f>LEFT(D364,FIND(" ",D364)-1)</f>
        <v>GPS</v>
      </c>
      <c r="C364" s="16" t="str">
        <f>IF(A364="STOCK",B364,REPLACE(B364,FIND("+",B364),1,"."))</f>
        <v>GPS</v>
      </c>
      <c r="D364" t="s">
        <v>202</v>
      </c>
      <c r="E364">
        <f>_xll.BDP($D364,E$40)</f>
        <v>8.34</v>
      </c>
      <c r="F364">
        <f>_xll.BDP($D364,F$40)</f>
        <v>8.33</v>
      </c>
      <c r="G364">
        <f>_xll.BDP($D364,G$40)</f>
        <v>8.34</v>
      </c>
      <c r="H364" s="9" t="str">
        <f>_xll.BDP($D364,H$40)</f>
        <v>#N/A Field Not Applicable</v>
      </c>
      <c r="L364" s="9">
        <f t="shared" si="50"/>
        <v>8.34</v>
      </c>
    </row>
    <row r="365" spans="1:12" x14ac:dyDescent="0.2">
      <c r="A365" t="s">
        <v>16</v>
      </c>
      <c r="B365" s="23" t="s">
        <v>839</v>
      </c>
      <c r="C365" s="17" t="s">
        <v>839</v>
      </c>
      <c r="D365" s="22" t="s">
        <v>840</v>
      </c>
      <c r="E365" s="21">
        <f>_xll.BDP($D365,E$40)</f>
        <v>6.15</v>
      </c>
      <c r="F365">
        <f>_xll.BDP($D365,F$40)</f>
        <v>6.14</v>
      </c>
      <c r="G365">
        <f>_xll.BDP($D365,G$40)</f>
        <v>6.15</v>
      </c>
      <c r="H365" s="9" t="str">
        <f>_xll.BDP($D365,H$40)</f>
        <v>#N/A Field Not Applicable</v>
      </c>
      <c r="L365" s="9">
        <f t="shared" si="50"/>
        <v>6.15</v>
      </c>
    </row>
    <row r="366" spans="1:12" x14ac:dyDescent="0.2">
      <c r="A366" t="s">
        <v>16</v>
      </c>
      <c r="B366" t="str">
        <f>LEFT(D366,FIND(" ",D366)-1)</f>
        <v>CLCT</v>
      </c>
      <c r="C366" s="16" t="str">
        <f>IF(A366="STOCK",B366,REPLACE(B366,FIND("+",B366),1,"."))</f>
        <v>CLCT</v>
      </c>
      <c r="D366" t="s">
        <v>125</v>
      </c>
      <c r="E366">
        <f>_xll.BDP($D366,E$40)</f>
        <v>15.49</v>
      </c>
      <c r="F366">
        <f>_xll.BDP($D366,F$40)</f>
        <v>15.48</v>
      </c>
      <c r="G366">
        <f>_xll.BDP($D366,G$40)</f>
        <v>15.5</v>
      </c>
      <c r="H366" s="9" t="str">
        <f>_xll.BDP($D366,H$40)</f>
        <v>#N/A Field Not Applicable</v>
      </c>
      <c r="L366" s="9">
        <f t="shared" si="50"/>
        <v>15.49</v>
      </c>
    </row>
    <row r="367" spans="1:12" x14ac:dyDescent="0.2">
      <c r="A367" t="s">
        <v>16</v>
      </c>
      <c r="B367" t="s">
        <v>582</v>
      </c>
      <c r="C367" s="16" t="s">
        <v>582</v>
      </c>
      <c r="D367" t="s">
        <v>583</v>
      </c>
      <c r="E367">
        <f>_xll.BDP($D367,E$40)</f>
        <v>13.94</v>
      </c>
      <c r="F367">
        <f>_xll.BDP($D367,F$40)</f>
        <v>13.9</v>
      </c>
      <c r="G367">
        <f>_xll.BDP($D367,G$40)</f>
        <v>13.93</v>
      </c>
      <c r="H367" s="9" t="str">
        <f>_xll.BDP($D367,H$40)</f>
        <v>#N/A Field Not Applicable</v>
      </c>
      <c r="L367" s="9">
        <f t="shared" si="50"/>
        <v>13.94</v>
      </c>
    </row>
    <row r="368" spans="1:12" x14ac:dyDescent="0.2">
      <c r="A368" t="s">
        <v>16</v>
      </c>
      <c r="B368" s="23" t="s">
        <v>746</v>
      </c>
      <c r="C368" s="17" t="s">
        <v>746</v>
      </c>
      <c r="D368" s="22" t="s">
        <v>747</v>
      </c>
      <c r="E368" s="21">
        <f>_xll.BDP($D368,E$40)</f>
        <v>5.32</v>
      </c>
      <c r="F368">
        <f>_xll.BDP($D368,F$40)</f>
        <v>5.31</v>
      </c>
      <c r="G368">
        <f>_xll.BDP($D368,G$40)</f>
        <v>5.32</v>
      </c>
      <c r="H368" s="9" t="str">
        <f>_xll.BDP($D368,H$40)</f>
        <v>#N/A Field Not Applicable</v>
      </c>
      <c r="L368" s="9">
        <f t="shared" si="50"/>
        <v>5.32</v>
      </c>
    </row>
    <row r="369" spans="1:12" x14ac:dyDescent="0.2">
      <c r="A369" t="s">
        <v>16</v>
      </c>
      <c r="B369" s="23" t="s">
        <v>857</v>
      </c>
      <c r="C369" s="17" t="s">
        <v>857</v>
      </c>
      <c r="D369" s="22" t="s">
        <v>858</v>
      </c>
      <c r="E369" s="21">
        <f>_xll.BDP($D369,E$40)</f>
        <v>4.07</v>
      </c>
      <c r="F369">
        <f>_xll.BDP($D369,F$40)</f>
        <v>4.0599999999999996</v>
      </c>
      <c r="G369">
        <f>_xll.BDP($D369,G$40)</f>
        <v>4.07</v>
      </c>
      <c r="H369" s="9" t="str">
        <f>_xll.BDP($D369,H$40)</f>
        <v>#N/A Field Not Applicable</v>
      </c>
      <c r="L369" s="9">
        <f t="shared" ref="L369:L429" si="51">IF(A369="STOCK",E369,IF(A369="SOPTION",G369,IF(A369="LOPTION",F369,"")))</f>
        <v>4.07</v>
      </c>
    </row>
    <row r="370" spans="1:12" x14ac:dyDescent="0.2">
      <c r="A370" t="s">
        <v>16</v>
      </c>
      <c r="B370" s="23" t="s">
        <v>915</v>
      </c>
      <c r="C370" s="17" t="s">
        <v>915</v>
      </c>
      <c r="D370" s="22" t="s">
        <v>916</v>
      </c>
      <c r="E370" s="21" t="str">
        <f>_xll.BDP($D370,E$40)</f>
        <v>#N/A N/A</v>
      </c>
      <c r="F370" t="str">
        <f>_xll.BDP($D370,F$40)</f>
        <v>#N/A N/A</v>
      </c>
      <c r="G370" t="str">
        <f>_xll.BDP($D370,G$40)</f>
        <v>#N/A N/A</v>
      </c>
      <c r="H370" s="9" t="str">
        <f>_xll.BDP($D370,H$40)</f>
        <v>#N/A Field Not Applicable</v>
      </c>
      <c r="L370" s="9" t="str">
        <f t="shared" si="51"/>
        <v>#N/A N/A</v>
      </c>
    </row>
    <row r="371" spans="1:12" x14ac:dyDescent="0.2">
      <c r="A371" t="s">
        <v>16</v>
      </c>
      <c r="B371" t="str">
        <f>LEFT(D371,FIND(" ",D371)-1)</f>
        <v>BYD</v>
      </c>
      <c r="C371" s="16" t="str">
        <f>IF(A371="STOCK",B371,REPLACE(B371,FIND("+",B371),1,"."))</f>
        <v>BYD</v>
      </c>
      <c r="D371" s="4" t="s">
        <v>99</v>
      </c>
      <c r="E371">
        <f>_xll.BDP($D371,E$40)</f>
        <v>10.84</v>
      </c>
      <c r="F371">
        <f>_xll.BDP($D371,F$40)</f>
        <v>10.81</v>
      </c>
      <c r="G371">
        <f>_xll.BDP($D371,G$40)</f>
        <v>10.82</v>
      </c>
      <c r="H371" s="9" t="str">
        <f>_xll.BDP($D371,H$40)</f>
        <v>#N/A Field Not Applicable</v>
      </c>
      <c r="L371" s="9">
        <f t="shared" si="51"/>
        <v>10.84</v>
      </c>
    </row>
    <row r="372" spans="1:12" x14ac:dyDescent="0.2">
      <c r="A372" t="s">
        <v>16</v>
      </c>
      <c r="B372" t="str">
        <f>LEFT(D372,FIND(" ",D372)-1)</f>
        <v>GE</v>
      </c>
      <c r="C372" s="16" t="str">
        <f>IF(A372="STOCK",B372,REPLACE(B372,FIND("+",B372),1,"."))</f>
        <v>GE</v>
      </c>
      <c r="D372" t="s">
        <v>194</v>
      </c>
      <c r="E372">
        <f>_xll.BDP($D372,E$40)</f>
        <v>6.66</v>
      </c>
      <c r="F372">
        <f>_xll.BDP($D372,F$40)</f>
        <v>6.65</v>
      </c>
      <c r="G372">
        <f>_xll.BDP($D372,G$40)</f>
        <v>6.66</v>
      </c>
      <c r="H372" s="9" t="str">
        <f>_xll.BDP($D372,H$40)</f>
        <v>#N/A Field Not Applicable</v>
      </c>
      <c r="L372" s="9">
        <f t="shared" si="51"/>
        <v>6.66</v>
      </c>
    </row>
    <row r="373" spans="1:12" x14ac:dyDescent="0.2">
      <c r="A373" t="s">
        <v>16</v>
      </c>
      <c r="B373" s="23" t="s">
        <v>954</v>
      </c>
      <c r="C373" s="17" t="s">
        <v>954</v>
      </c>
      <c r="D373" s="22" t="s">
        <v>194</v>
      </c>
      <c r="E373" s="21">
        <f>_xll.BDP($D373,E$40)</f>
        <v>6.66</v>
      </c>
      <c r="F373">
        <f>_xll.BDP($D373,F$40)</f>
        <v>6.65</v>
      </c>
      <c r="G373">
        <f>_xll.BDP($D373,G$40)</f>
        <v>6.66</v>
      </c>
      <c r="H373" s="9" t="str">
        <f>_xll.BDP($D373,H$40)</f>
        <v>#N/A Field Not Applicable</v>
      </c>
      <c r="L373" s="9">
        <f t="shared" si="51"/>
        <v>6.66</v>
      </c>
    </row>
    <row r="374" spans="1:12" x14ac:dyDescent="0.2">
      <c r="A374" t="s">
        <v>16</v>
      </c>
      <c r="B374" t="str">
        <f>LEFT(D374,FIND(" ",D374)-1)</f>
        <v>GIII</v>
      </c>
      <c r="C374" s="16" t="str">
        <f>IF(A374="STOCK",B374,REPLACE(B374,FIND("+",B374),1,"."))</f>
        <v>GIII</v>
      </c>
      <c r="D374" t="s">
        <v>198</v>
      </c>
      <c r="E374">
        <f>_xll.BDP($D374,E$40)</f>
        <v>10.55</v>
      </c>
      <c r="F374">
        <f>_xll.BDP($D374,F$40)</f>
        <v>10.53</v>
      </c>
      <c r="G374">
        <f>_xll.BDP($D374,G$40)</f>
        <v>10.54</v>
      </c>
      <c r="H374" s="9" t="str">
        <f>_xll.BDP($D374,H$40)</f>
        <v>#N/A Field Not Applicable</v>
      </c>
      <c r="L374" s="9">
        <f t="shared" si="51"/>
        <v>10.55</v>
      </c>
    </row>
    <row r="375" spans="1:12" x14ac:dyDescent="0.2">
      <c r="A375" t="s">
        <v>16</v>
      </c>
      <c r="B375" s="23" t="s">
        <v>797</v>
      </c>
      <c r="C375" s="17" t="s">
        <v>797</v>
      </c>
      <c r="D375" s="22" t="s">
        <v>798</v>
      </c>
      <c r="E375" s="21">
        <f>_xll.BDP($D375,E$40)</f>
        <v>13.79</v>
      </c>
      <c r="F375">
        <f>_xll.BDP($D375,F$40)</f>
        <v>14</v>
      </c>
      <c r="G375">
        <f>_xll.BDP($D375,G$40)</f>
        <v>14.01</v>
      </c>
      <c r="H375" s="9" t="str">
        <f>_xll.BDP($D375,H$40)</f>
        <v>#N/A Field Not Applicable</v>
      </c>
      <c r="L375" s="9">
        <f t="shared" si="51"/>
        <v>13.79</v>
      </c>
    </row>
    <row r="376" spans="1:12" x14ac:dyDescent="0.2">
      <c r="A376" t="s">
        <v>16</v>
      </c>
      <c r="B376" t="str">
        <f>LEFT(D376,FIND(" ",D376)-1)</f>
        <v>MHO</v>
      </c>
      <c r="C376" s="16" t="str">
        <f>IF(A376="STOCK",B376,REPLACE(B376,FIND("+",B376),1,"."))</f>
        <v>MHO</v>
      </c>
      <c r="D376" t="s">
        <v>256</v>
      </c>
      <c r="E376">
        <f>_xll.BDP($D376,E$40)</f>
        <v>16.84</v>
      </c>
      <c r="F376">
        <f>_xll.BDP($D376,F$40)</f>
        <v>16.829999999999998</v>
      </c>
      <c r="G376">
        <f>_xll.BDP($D376,G$40)</f>
        <v>16.84</v>
      </c>
      <c r="H376" s="9" t="str">
        <f>_xll.BDP($D376,H$40)</f>
        <v>#N/A Field Not Applicable</v>
      </c>
      <c r="L376" s="9">
        <f t="shared" si="51"/>
        <v>16.84</v>
      </c>
    </row>
    <row r="377" spans="1:12" x14ac:dyDescent="0.2">
      <c r="A377" t="s">
        <v>16</v>
      </c>
      <c r="B377" t="str">
        <f>LEFT(D377,FIND(" ",D377)-1)</f>
        <v>CREE</v>
      </c>
      <c r="C377" s="16" t="str">
        <f>IF(A377="STOCK",B377,REPLACE(B377,FIND("+",B377),1,"."))</f>
        <v>CREE</v>
      </c>
      <c r="D377" t="s">
        <v>135</v>
      </c>
      <c r="E377">
        <f>_xll.BDP($D377,E$40)</f>
        <v>29.75</v>
      </c>
      <c r="F377">
        <f>_xll.BDP($D377,F$40)</f>
        <v>29.75</v>
      </c>
      <c r="G377">
        <f>_xll.BDP($D377,G$40)</f>
        <v>29.76</v>
      </c>
      <c r="H377" s="9" t="str">
        <f>_xll.BDP($D377,H$40)</f>
        <v>#N/A Field Not Applicable</v>
      </c>
      <c r="L377" s="9">
        <f t="shared" si="51"/>
        <v>29.75</v>
      </c>
    </row>
    <row r="378" spans="1:12" x14ac:dyDescent="0.2">
      <c r="A378" t="s">
        <v>16</v>
      </c>
      <c r="B378" t="str">
        <f>LEFT(D378,FIND(" ",D378)-1)</f>
        <v>DISCA</v>
      </c>
      <c r="C378" s="16" t="str">
        <f>IF(A378="STOCK",B378,REPLACE(B378,FIND("+",B378),1,"."))</f>
        <v>DISCA</v>
      </c>
      <c r="D378" t="s">
        <v>157</v>
      </c>
      <c r="E378">
        <f>_xll.BDP($D378,E$40)</f>
        <v>20.63</v>
      </c>
      <c r="F378">
        <f>_xll.BDP($D378,F$40)</f>
        <v>20.62</v>
      </c>
      <c r="G378">
        <f>_xll.BDP($D378,G$40)</f>
        <v>20.63</v>
      </c>
      <c r="H378" s="9" t="str">
        <f>_xll.BDP($D378,H$40)</f>
        <v>#N/A Field Not Applicable</v>
      </c>
      <c r="L378" s="9">
        <f t="shared" si="51"/>
        <v>20.63</v>
      </c>
    </row>
    <row r="379" spans="1:12" x14ac:dyDescent="0.2">
      <c r="A379" t="s">
        <v>16</v>
      </c>
      <c r="B379" t="str">
        <f>LEFT(D379,FIND(" ",D379)-1)</f>
        <v>CCU</v>
      </c>
      <c r="C379" s="16" t="str">
        <f>IF(A379="STOCK",B379,REPLACE(B379,FIND("+",B379),1,"."))</f>
        <v>CCU</v>
      </c>
      <c r="D379" s="9" t="s">
        <v>114</v>
      </c>
      <c r="E379">
        <f>_xll.BDP($D379,E$40)</f>
        <v>12.65</v>
      </c>
      <c r="F379">
        <f>_xll.BDP($D379,F$40)</f>
        <v>12.64</v>
      </c>
      <c r="G379">
        <f>_xll.BDP($D379,G$40)</f>
        <v>12.66</v>
      </c>
      <c r="H379" s="9" t="str">
        <f>_xll.BDP($D379,H$40)</f>
        <v>#N/A Field Not Applicable</v>
      </c>
      <c r="L379" s="9">
        <f t="shared" si="51"/>
        <v>12.65</v>
      </c>
    </row>
    <row r="380" spans="1:12" x14ac:dyDescent="0.2">
      <c r="A380" t="s">
        <v>16</v>
      </c>
      <c r="B380" t="str">
        <f>LEFT(D380,FIND(" ",D380)-1)</f>
        <v>CCU</v>
      </c>
      <c r="C380" s="16" t="str">
        <f>IF(A380="STOCK",B380,REPLACE(B380,FIND("+",B380),1,"."))</f>
        <v>CCU</v>
      </c>
      <c r="D380" t="s">
        <v>114</v>
      </c>
      <c r="E380">
        <f>_xll.BDP($D380,E$40)</f>
        <v>12.65</v>
      </c>
      <c r="F380">
        <f>_xll.BDP($D380,F$40)</f>
        <v>12.64</v>
      </c>
      <c r="G380">
        <f>_xll.BDP($D380,G$40)</f>
        <v>12.66</v>
      </c>
      <c r="H380" s="9" t="str">
        <f>_xll.BDP($D380,H$40)</f>
        <v>#N/A Field Not Applicable</v>
      </c>
      <c r="L380" s="9">
        <f t="shared" si="51"/>
        <v>12.65</v>
      </c>
    </row>
    <row r="381" spans="1:12" x14ac:dyDescent="0.2">
      <c r="A381" t="s">
        <v>16</v>
      </c>
      <c r="B381" s="23" t="s">
        <v>969</v>
      </c>
      <c r="C381" s="17" t="s">
        <v>969</v>
      </c>
      <c r="D381" s="22" t="s">
        <v>970</v>
      </c>
      <c r="E381" s="21">
        <f>_xll.BDP($D381,E$40)</f>
        <v>6.89</v>
      </c>
      <c r="F381">
        <f>_xll.BDP($D381,F$40)</f>
        <v>6.88</v>
      </c>
      <c r="G381">
        <f>_xll.BDP($D381,G$40)</f>
        <v>6.89</v>
      </c>
      <c r="H381" s="9" t="str">
        <f>_xll.BDP($D381,H$40)</f>
        <v>#N/A Field Not Applicable</v>
      </c>
      <c r="L381" s="9">
        <f t="shared" si="51"/>
        <v>6.89</v>
      </c>
    </row>
    <row r="382" spans="1:12" x14ac:dyDescent="0.2">
      <c r="A382" t="s">
        <v>16</v>
      </c>
      <c r="B382" s="23" t="s">
        <v>861</v>
      </c>
      <c r="C382" s="17" t="s">
        <v>861</v>
      </c>
      <c r="D382" s="22" t="s">
        <v>862</v>
      </c>
      <c r="E382" s="21" t="str">
        <f>_xll.BDP($D382,E$40)</f>
        <v>#N/A N/A</v>
      </c>
      <c r="F382" t="str">
        <f>_xll.BDP($D382,F$40)</f>
        <v>#N/A N/A</v>
      </c>
      <c r="G382" t="str">
        <f>_xll.BDP($D382,G$40)</f>
        <v>#N/A N/A</v>
      </c>
      <c r="H382" s="9" t="str">
        <f>_xll.BDP($D382,H$40)</f>
        <v>#N/A Field Not Applicable</v>
      </c>
      <c r="L382" s="9" t="str">
        <f t="shared" si="51"/>
        <v>#N/A N/A</v>
      </c>
    </row>
    <row r="383" spans="1:12" x14ac:dyDescent="0.2">
      <c r="A383" t="s">
        <v>16</v>
      </c>
      <c r="B383" t="str">
        <f>LEFT(D383,FIND(" ",D383)-1)</f>
        <v>SRDX</v>
      </c>
      <c r="C383" s="16" t="str">
        <f>IF(A383="STOCK",B383,REPLACE(B383,FIND("+",B383),1,"."))</f>
        <v>SRDX</v>
      </c>
      <c r="D383" s="9" t="s">
        <v>419</v>
      </c>
      <c r="E383">
        <f>_xll.BDP($D383,E$40)</f>
        <v>22.46</v>
      </c>
      <c r="F383">
        <f>_xll.BDP($D383,F$40)</f>
        <v>22.46</v>
      </c>
      <c r="G383">
        <f>_xll.BDP($D383,G$40)</f>
        <v>22.59</v>
      </c>
      <c r="H383" s="9" t="str">
        <f>_xll.BDP($D383,H$40)</f>
        <v>#N/A Field Not Applicable</v>
      </c>
      <c r="L383" s="9">
        <f t="shared" si="51"/>
        <v>22.46</v>
      </c>
    </row>
    <row r="384" spans="1:12" x14ac:dyDescent="0.2">
      <c r="A384" t="s">
        <v>16</v>
      </c>
      <c r="B384" t="str">
        <f>LEFT(D384,FIND(" ",D384)-1)</f>
        <v>AXDX</v>
      </c>
      <c r="C384" s="16" t="str">
        <f>IF(A384="STOCK",B384,REPLACE(B384,FIND("+",B384),1,"."))</f>
        <v>AXDX</v>
      </c>
      <c r="D384" t="s">
        <v>552</v>
      </c>
      <c r="E384">
        <f>_xll.BDP($D384,E$40)</f>
        <v>8.41</v>
      </c>
      <c r="F384">
        <f>_xll.BDP($D384,F$40)</f>
        <v>8.4</v>
      </c>
      <c r="G384">
        <f>_xll.BDP($D384,G$40)</f>
        <v>8.41</v>
      </c>
      <c r="H384" s="9" t="str">
        <f>_xll.BDP($D384,H$40)</f>
        <v>#N/A Field Not Applicable</v>
      </c>
      <c r="L384" s="9">
        <f t="shared" si="51"/>
        <v>8.41</v>
      </c>
    </row>
    <row r="385" spans="1:12" x14ac:dyDescent="0.2">
      <c r="A385" t="s">
        <v>16</v>
      </c>
      <c r="B385" s="23" t="s">
        <v>785</v>
      </c>
      <c r="C385" s="17" t="s">
        <v>785</v>
      </c>
      <c r="D385" s="22" t="s">
        <v>786</v>
      </c>
      <c r="E385" s="21">
        <f>_xll.BDP($D385,E$40)</f>
        <v>5.82</v>
      </c>
      <c r="F385">
        <f>_xll.BDP($D385,F$40)</f>
        <v>5.81</v>
      </c>
      <c r="G385">
        <f>_xll.BDP($D385,G$40)</f>
        <v>5.82</v>
      </c>
      <c r="H385" s="9" t="str">
        <f>_xll.BDP($D385,H$40)</f>
        <v>#N/A Field Not Applicable</v>
      </c>
      <c r="L385" s="9">
        <f t="shared" si="51"/>
        <v>5.82</v>
      </c>
    </row>
    <row r="386" spans="1:12" x14ac:dyDescent="0.2">
      <c r="A386" t="s">
        <v>16</v>
      </c>
      <c r="B386" t="str">
        <f>LEFT(D386,FIND(" ",D386)-1)</f>
        <v>FCBC</v>
      </c>
      <c r="C386" s="16" t="str">
        <f>IF(A386="STOCK",B386,REPLACE(B386,FIND("+",B386),1,"."))</f>
        <v>FCBC</v>
      </c>
      <c r="D386" t="s">
        <v>182</v>
      </c>
      <c r="E386">
        <f>_xll.BDP($D386,E$40)</f>
        <v>19.53</v>
      </c>
      <c r="F386">
        <f>_xll.BDP($D386,F$40)</f>
        <v>19.52</v>
      </c>
      <c r="G386">
        <f>_xll.BDP($D386,G$40)</f>
        <v>19.79</v>
      </c>
      <c r="H386" s="9" t="str">
        <f>_xll.BDP($D386,H$40)</f>
        <v>#N/A Field Not Applicable</v>
      </c>
      <c r="L386" s="9">
        <f t="shared" si="51"/>
        <v>19.53</v>
      </c>
    </row>
    <row r="387" spans="1:12" x14ac:dyDescent="0.2">
      <c r="A387" t="s">
        <v>16</v>
      </c>
      <c r="B387" t="str">
        <f>LEFT(D387,FIND(" ",D387)-1)</f>
        <v>USG</v>
      </c>
      <c r="C387" s="16" t="str">
        <f>IF(A387="STOCK",B387,REPLACE(B387,FIND("+",B387),1,"."))</f>
        <v>USG</v>
      </c>
      <c r="D387" t="s">
        <v>503</v>
      </c>
      <c r="E387" t="str">
        <f>_xll.BDP($D387,E$40)</f>
        <v>#N/A N/A</v>
      </c>
      <c r="F387" t="str">
        <f>_xll.BDP($D387,F$40)</f>
        <v>#N/A N/A</v>
      </c>
      <c r="G387" t="str">
        <f>_xll.BDP($D387,G$40)</f>
        <v>#N/A N/A</v>
      </c>
      <c r="H387" s="9" t="str">
        <f>_xll.BDP($D387,H$40)</f>
        <v>#N/A Field Not Applicable</v>
      </c>
      <c r="L387" s="9" t="str">
        <f t="shared" si="51"/>
        <v>#N/A N/A</v>
      </c>
    </row>
    <row r="388" spans="1:12" x14ac:dyDescent="0.2">
      <c r="A388" t="s">
        <v>16</v>
      </c>
      <c r="B388" t="str">
        <f>LEFT(D388,FIND(" ",D388)-1)</f>
        <v>TRN</v>
      </c>
      <c r="C388" s="16" t="str">
        <f>IF(A388="STOCK",B388,REPLACE(B388,FIND("+",B388),1,"."))</f>
        <v>TRN</v>
      </c>
      <c r="D388" t="s">
        <v>353</v>
      </c>
      <c r="E388">
        <f>_xll.BDP($D388,E$40)</f>
        <v>16.420000000000002</v>
      </c>
      <c r="F388">
        <f>_xll.BDP($D388,F$40)</f>
        <v>16.41</v>
      </c>
      <c r="G388">
        <f>_xll.BDP($D388,G$40)</f>
        <v>16.420000000000002</v>
      </c>
      <c r="H388" s="9" t="str">
        <f>_xll.BDP($D388,H$40)</f>
        <v>#N/A Field Not Applicable</v>
      </c>
      <c r="L388" s="9">
        <f t="shared" si="51"/>
        <v>16.420000000000002</v>
      </c>
    </row>
    <row r="389" spans="1:12" x14ac:dyDescent="0.2">
      <c r="A389" t="s">
        <v>16</v>
      </c>
      <c r="B389" t="str">
        <f>LEFT(D389,FIND(" ",D389)-1)</f>
        <v>TRN</v>
      </c>
      <c r="C389" s="16" t="str">
        <f>IF(A389="STOCK",B389,REPLACE(B389,FIND("+",B389),1,"."))</f>
        <v>TRN</v>
      </c>
      <c r="D389" t="s">
        <v>353</v>
      </c>
      <c r="E389">
        <f>_xll.BDP($D389,E$40)</f>
        <v>16.420000000000002</v>
      </c>
      <c r="F389">
        <f>_xll.BDP($D389,F$40)</f>
        <v>16.41</v>
      </c>
      <c r="G389">
        <f>_xll.BDP($D389,G$40)</f>
        <v>16.420000000000002</v>
      </c>
      <c r="H389" s="9" t="str">
        <f>_xll.BDP($D389,H$40)</f>
        <v>#N/A Field Not Applicable</v>
      </c>
      <c r="L389" s="9">
        <f t="shared" si="51"/>
        <v>16.420000000000002</v>
      </c>
    </row>
    <row r="390" spans="1:12" x14ac:dyDescent="0.2">
      <c r="A390" t="s">
        <v>16</v>
      </c>
      <c r="B390" t="s">
        <v>618</v>
      </c>
      <c r="C390" s="16" t="s">
        <v>619</v>
      </c>
      <c r="D390" t="s">
        <v>353</v>
      </c>
      <c r="E390">
        <f>_xll.BDP($D390,E$40)</f>
        <v>16.420000000000002</v>
      </c>
      <c r="F390">
        <f>_xll.BDP($D390,F$40)</f>
        <v>16.41</v>
      </c>
      <c r="G390">
        <f>_xll.BDP($D390,G$40)</f>
        <v>16.420000000000002</v>
      </c>
      <c r="H390" s="9" t="str">
        <f>_xll.BDP($D390,H$40)</f>
        <v>#N/A Field Not Applicable</v>
      </c>
      <c r="L390" s="9">
        <f t="shared" si="51"/>
        <v>16.420000000000002</v>
      </c>
    </row>
    <row r="391" spans="1:12" x14ac:dyDescent="0.2">
      <c r="A391" t="s">
        <v>16</v>
      </c>
      <c r="B391" t="str">
        <f>LEFT(D391,FIND(" ",D391)-1)</f>
        <v>ARRS</v>
      </c>
      <c r="C391" s="16" t="str">
        <f>IF(A391="STOCK",B391,REPLACE(B391,FIND("+",B391),1,"."))</f>
        <v>ARRS</v>
      </c>
      <c r="D391" s="9" t="s">
        <v>72</v>
      </c>
      <c r="E391" t="str">
        <f>_xll.BDP($D391,E$40)</f>
        <v>#N/A N/A</v>
      </c>
      <c r="F391" t="str">
        <f>_xll.BDP($D391,F$40)</f>
        <v>#N/A N/A</v>
      </c>
      <c r="G391" t="str">
        <f>_xll.BDP($D391,G$40)</f>
        <v>#N/A N/A</v>
      </c>
      <c r="H391" s="9" t="str">
        <f>_xll.BDP($D391,H$40)</f>
        <v>#N/A Field Not Applicable</v>
      </c>
      <c r="L391" s="9" t="str">
        <f t="shared" si="51"/>
        <v>#N/A N/A</v>
      </c>
    </row>
    <row r="392" spans="1:12" x14ac:dyDescent="0.2">
      <c r="A392" t="s">
        <v>16</v>
      </c>
      <c r="B392" t="str">
        <f>LEFT(D392,FIND(" ",D392)-1)</f>
        <v>SKX</v>
      </c>
      <c r="C392" s="16" t="str">
        <f>IF(A392="STOCK",B392,REPLACE(B392,FIND("+",B392),1,"."))</f>
        <v>SKX</v>
      </c>
      <c r="D392" t="s">
        <v>432</v>
      </c>
      <c r="E392">
        <f>_xll.BDP($D392,E$40)</f>
        <v>21.21</v>
      </c>
      <c r="F392">
        <f>_xll.BDP($D392,F$40)</f>
        <v>21.2</v>
      </c>
      <c r="G392">
        <f>_xll.BDP($D392,G$40)</f>
        <v>21.22</v>
      </c>
      <c r="H392" s="9" t="str">
        <f>_xll.BDP($D392,H$40)</f>
        <v>#N/A Field Not Applicable</v>
      </c>
      <c r="L392" s="9">
        <f t="shared" si="51"/>
        <v>21.21</v>
      </c>
    </row>
    <row r="393" spans="1:12" x14ac:dyDescent="0.2">
      <c r="A393" t="s">
        <v>16</v>
      </c>
      <c r="B393" t="str">
        <f>LEFT(D393,FIND(" ",D393)-1)</f>
        <v>UCBI</v>
      </c>
      <c r="C393" s="16" t="str">
        <f>IF(A393="STOCK",B393,REPLACE(B393,FIND("+",B393),1,"."))</f>
        <v>UCBI</v>
      </c>
      <c r="D393" t="s">
        <v>397</v>
      </c>
      <c r="E393">
        <f>_xll.BDP($D393,E$40)</f>
        <v>17.02</v>
      </c>
      <c r="F393">
        <f>_xll.BDP($D393,F$40)</f>
        <v>17.010000000000002</v>
      </c>
      <c r="G393">
        <f>_xll.BDP($D393,G$40)</f>
        <v>17.02</v>
      </c>
      <c r="H393" s="9" t="str">
        <f>_xll.BDP($D393,H$40)</f>
        <v>#N/A Field Not Applicable</v>
      </c>
      <c r="L393" s="9">
        <f t="shared" si="51"/>
        <v>17.02</v>
      </c>
    </row>
    <row r="394" spans="1:12" x14ac:dyDescent="0.2">
      <c r="A394" t="s">
        <v>16</v>
      </c>
      <c r="B394" s="23" t="s">
        <v>752</v>
      </c>
      <c r="C394" s="17" t="s">
        <v>752</v>
      </c>
      <c r="D394" s="22" t="s">
        <v>753</v>
      </c>
      <c r="E394" s="21">
        <f>_xll.BDP($D394,E$40)</f>
        <v>12.03</v>
      </c>
      <c r="F394">
        <f>_xll.BDP($D394,F$40)</f>
        <v>12.02</v>
      </c>
      <c r="G394">
        <f>_xll.BDP($D394,G$40)</f>
        <v>12.03</v>
      </c>
      <c r="H394" s="9" t="str">
        <f>_xll.BDP($D394,H$40)</f>
        <v>#N/A Field Not Applicable</v>
      </c>
      <c r="L394" s="9">
        <f t="shared" si="51"/>
        <v>12.03</v>
      </c>
    </row>
    <row r="395" spans="1:12" x14ac:dyDescent="0.2">
      <c r="A395" t="s">
        <v>16</v>
      </c>
      <c r="B395" t="s">
        <v>512</v>
      </c>
      <c r="C395" s="16" t="str">
        <f>IF(A395="STOCK",B395,REPLACE(B395,FIND("+",B395),1,"."))</f>
        <v>MATX</v>
      </c>
      <c r="D395" t="s">
        <v>513</v>
      </c>
      <c r="E395">
        <f>_xll.BDP($D395,E$40)</f>
        <v>28.6</v>
      </c>
      <c r="F395">
        <f>_xll.BDP($D395,F$40)</f>
        <v>28.59</v>
      </c>
      <c r="G395">
        <f>_xll.BDP($D395,G$40)</f>
        <v>28.6</v>
      </c>
      <c r="H395" s="9" t="str">
        <f>_xll.BDP($D395,H$40)</f>
        <v>#N/A Field Not Applicable</v>
      </c>
      <c r="L395" s="9">
        <f t="shared" si="51"/>
        <v>28.6</v>
      </c>
    </row>
    <row r="396" spans="1:12" x14ac:dyDescent="0.2">
      <c r="A396" t="s">
        <v>16</v>
      </c>
      <c r="B396" s="5" t="s">
        <v>689</v>
      </c>
      <c r="C396" s="16" t="s">
        <v>689</v>
      </c>
      <c r="D396" t="s">
        <v>690</v>
      </c>
      <c r="E396" s="21">
        <f>_xll.BDP($D396,E$40)</f>
        <v>11.23</v>
      </c>
      <c r="F396">
        <f>_xll.BDP($D396,F$40)</f>
        <v>11.22</v>
      </c>
      <c r="G396">
        <f>_xll.BDP($D396,G$40)</f>
        <v>11.23</v>
      </c>
      <c r="H396" s="9" t="str">
        <f>_xll.BDP($D396,H$40)</f>
        <v>#N/A Field Not Applicable</v>
      </c>
      <c r="L396" s="9">
        <f t="shared" si="51"/>
        <v>11.23</v>
      </c>
    </row>
    <row r="397" spans="1:12" x14ac:dyDescent="0.2">
      <c r="A397" t="s">
        <v>16</v>
      </c>
      <c r="B397" t="str">
        <f>LEFT(D397,FIND(" ",D397)-1)</f>
        <v>NFX</v>
      </c>
      <c r="C397" s="16" t="str">
        <f>IF(A397="STOCK",B397,REPLACE(B397,FIND("+",B397),1,"."))</f>
        <v>NFX</v>
      </c>
      <c r="D397" t="s">
        <v>276</v>
      </c>
      <c r="E397" t="str">
        <f>_xll.BDP($D397,E$40)</f>
        <v>#N/A N/A</v>
      </c>
      <c r="F397" t="str">
        <f>_xll.BDP($D397,F$40)</f>
        <v>#N/A N/A</v>
      </c>
      <c r="G397" t="str">
        <f>_xll.BDP($D397,G$40)</f>
        <v>#N/A N/A</v>
      </c>
      <c r="H397" s="9" t="str">
        <f>_xll.BDP($D397,H$40)</f>
        <v>#N/A Field Not Applicable</v>
      </c>
      <c r="L397" s="9" t="str">
        <f t="shared" si="51"/>
        <v>#N/A N/A</v>
      </c>
    </row>
    <row r="398" spans="1:12" x14ac:dyDescent="0.2">
      <c r="A398" t="s">
        <v>16</v>
      </c>
      <c r="B398" t="str">
        <f>LEFT(D398,FIND(" ",D398)-1)</f>
        <v>NFX</v>
      </c>
      <c r="C398" s="16" t="str">
        <f>IF(A398="STOCK",B398,REPLACE(B398,FIND("+",B398),1,"."))</f>
        <v>NFX</v>
      </c>
      <c r="D398" s="9" t="s">
        <v>276</v>
      </c>
      <c r="E398" t="str">
        <f>_xll.BDP($D398,E$40)</f>
        <v>#N/A N/A</v>
      </c>
      <c r="F398" t="str">
        <f>_xll.BDP($D398,F$40)</f>
        <v>#N/A N/A</v>
      </c>
      <c r="G398" t="str">
        <f>_xll.BDP($D398,G$40)</f>
        <v>#N/A N/A</v>
      </c>
      <c r="H398" s="9" t="str">
        <f>_xll.BDP($D398,H$40)</f>
        <v>#N/A Field Not Applicable</v>
      </c>
      <c r="L398" s="9" t="str">
        <f t="shared" si="51"/>
        <v>#N/A N/A</v>
      </c>
    </row>
    <row r="399" spans="1:12" s="9" customFormat="1" x14ac:dyDescent="0.2">
      <c r="A399" s="9" t="s">
        <v>16</v>
      </c>
      <c r="B399" s="9" t="s">
        <v>588</v>
      </c>
      <c r="C399" s="16" t="s">
        <v>588</v>
      </c>
      <c r="D399" s="9" t="s">
        <v>589</v>
      </c>
      <c r="E399" s="9">
        <f>_xll.BDP($D399,E$40)</f>
        <v>21.21</v>
      </c>
      <c r="F399" s="9">
        <f>_xll.BDP($D399,F$40)</f>
        <v>21.2</v>
      </c>
      <c r="G399" s="9">
        <f>_xll.BDP($D399,G$40)</f>
        <v>21.21</v>
      </c>
      <c r="H399" s="9" t="str">
        <f>_xll.BDP($D399,H$40)</f>
        <v>#N/A Field Not Applicable</v>
      </c>
      <c r="L399" s="9">
        <f t="shared" si="51"/>
        <v>21.21</v>
      </c>
    </row>
    <row r="400" spans="1:12" x14ac:dyDescent="0.2">
      <c r="A400" t="s">
        <v>16</v>
      </c>
      <c r="B400" s="23" t="s">
        <v>881</v>
      </c>
      <c r="C400" s="17" t="s">
        <v>881</v>
      </c>
      <c r="D400" s="22" t="s">
        <v>882</v>
      </c>
      <c r="E400" s="21" t="str">
        <f>_xll.BDP($D400,E$40)</f>
        <v>#N/A N/A</v>
      </c>
      <c r="F400" t="str">
        <f>_xll.BDP($D400,F$40)</f>
        <v>#N/A N/A</v>
      </c>
      <c r="G400" t="str">
        <f>_xll.BDP($D400,G$40)</f>
        <v>#N/A N/A</v>
      </c>
      <c r="H400" s="9" t="str">
        <f>_xll.BDP($D400,H$40)</f>
        <v>#N/A Field Not Applicable</v>
      </c>
      <c r="L400" s="9" t="str">
        <f t="shared" si="51"/>
        <v>#N/A N/A</v>
      </c>
    </row>
    <row r="401" spans="1:12" x14ac:dyDescent="0.2">
      <c r="A401" t="s">
        <v>16</v>
      </c>
      <c r="B401" t="str">
        <f>LEFT(D401,FIND(" ",D401)-1)</f>
        <v>WERN</v>
      </c>
      <c r="C401" s="16" t="str">
        <f>IF(A401="STOCK",B401,REPLACE(B401,FIND("+",B401),1,"."))</f>
        <v>WERN</v>
      </c>
      <c r="D401" t="s">
        <v>570</v>
      </c>
      <c r="E401">
        <f>_xll.BDP($D401,E$40)</f>
        <v>29.41</v>
      </c>
      <c r="F401">
        <f>_xll.BDP($D401,F$40)</f>
        <v>29.34</v>
      </c>
      <c r="G401">
        <f>_xll.BDP($D401,G$40)</f>
        <v>29.41</v>
      </c>
      <c r="H401" s="9" t="str">
        <f>_xll.BDP($D401,H$40)</f>
        <v>#N/A Field Not Applicable</v>
      </c>
      <c r="L401" s="9">
        <f t="shared" si="51"/>
        <v>29.41</v>
      </c>
    </row>
    <row r="402" spans="1:12" x14ac:dyDescent="0.2">
      <c r="A402" t="s">
        <v>16</v>
      </c>
      <c r="B402" t="str">
        <f>LEFT(D402,FIND(" ",D402)-1)</f>
        <v>MINI</v>
      </c>
      <c r="C402" s="16" t="str">
        <f>IF(A402="STOCK",B402,REPLACE(B402,FIND("+",B402),1,"."))</f>
        <v>MINI</v>
      </c>
      <c r="D402" s="9" t="s">
        <v>257</v>
      </c>
      <c r="E402">
        <f>_xll.BDP($D402,E$40)</f>
        <v>24.27</v>
      </c>
      <c r="F402">
        <f>_xll.BDP($D402,F$40)</f>
        <v>24.13</v>
      </c>
      <c r="G402">
        <f>_xll.BDP($D402,G$40)</f>
        <v>24.15</v>
      </c>
      <c r="H402" s="9" t="str">
        <f>_xll.BDP($D402,H$40)</f>
        <v>#N/A Field Not Applicable</v>
      </c>
      <c r="L402" s="9">
        <f t="shared" si="51"/>
        <v>24.27</v>
      </c>
    </row>
    <row r="403" spans="1:12" x14ac:dyDescent="0.2">
      <c r="A403" t="s">
        <v>16</v>
      </c>
      <c r="B403" s="23" t="s">
        <v>971</v>
      </c>
      <c r="C403" s="17" t="s">
        <v>971</v>
      </c>
      <c r="D403" s="22" t="s">
        <v>972</v>
      </c>
      <c r="E403" s="21">
        <f>_xll.BDP($D403,E$40)</f>
        <v>71.7</v>
      </c>
      <c r="F403">
        <f>_xll.BDP($D403,F$40)</f>
        <v>71.69</v>
      </c>
      <c r="G403">
        <f>_xll.BDP($D403,G$40)</f>
        <v>71.709999999999994</v>
      </c>
      <c r="H403" s="9" t="str">
        <f>_xll.BDP($D403,H$40)</f>
        <v>#N/A Field Not Applicable</v>
      </c>
      <c r="L403" s="9">
        <f t="shared" si="51"/>
        <v>71.7</v>
      </c>
    </row>
    <row r="404" spans="1:12" x14ac:dyDescent="0.2">
      <c r="A404" t="s">
        <v>16</v>
      </c>
      <c r="B404" t="str">
        <f>LEFT(D404,FIND(" ",D404)-1)</f>
        <v>MU</v>
      </c>
      <c r="C404" s="16" t="str">
        <f>IF(A404="STOCK",B404,REPLACE(B404,FIND("+",B404),1,"."))</f>
        <v>MU</v>
      </c>
      <c r="D404" t="s">
        <v>268</v>
      </c>
      <c r="E404">
        <f>_xll.BDP($D404,E$40)</f>
        <v>34.47</v>
      </c>
      <c r="F404">
        <f>_xll.BDP($D404,F$40)</f>
        <v>34.450000000000003</v>
      </c>
      <c r="G404">
        <f>_xll.BDP($D404,G$40)</f>
        <v>34.46</v>
      </c>
      <c r="H404" s="9" t="str">
        <f>_xll.BDP($D404,H$40)</f>
        <v>#N/A Field Not Applicable</v>
      </c>
      <c r="L404" s="9">
        <f t="shared" si="51"/>
        <v>34.47</v>
      </c>
    </row>
    <row r="405" spans="1:12" x14ac:dyDescent="0.2">
      <c r="A405" t="s">
        <v>16</v>
      </c>
      <c r="B405" t="str">
        <f>LEFT(D405,FIND(" ",D405)-1)</f>
        <v>MU</v>
      </c>
      <c r="C405" s="16" t="str">
        <f>IF(A405="STOCK",B405,REPLACE(B405,FIND("+",B405),1,"."))</f>
        <v>MU</v>
      </c>
      <c r="D405" t="s">
        <v>268</v>
      </c>
      <c r="E405">
        <f>_xll.BDP($D405,E$40)</f>
        <v>34.47</v>
      </c>
      <c r="F405">
        <f>_xll.BDP($D405,F$40)</f>
        <v>34.450000000000003</v>
      </c>
      <c r="G405">
        <f>_xll.BDP($D405,G$40)</f>
        <v>34.46</v>
      </c>
      <c r="H405" s="9" t="str">
        <f>_xll.BDP($D405,H$40)</f>
        <v>#N/A Field Not Applicable</v>
      </c>
      <c r="L405" s="9">
        <f t="shared" si="51"/>
        <v>34.47</v>
      </c>
    </row>
    <row r="406" spans="1:12" x14ac:dyDescent="0.2">
      <c r="A406" t="s">
        <v>16</v>
      </c>
      <c r="B406" s="23" t="s">
        <v>967</v>
      </c>
      <c r="C406" s="17" t="s">
        <v>967</v>
      </c>
      <c r="D406" s="22" t="s">
        <v>968</v>
      </c>
      <c r="E406" s="21">
        <f>_xll.BDP($D406,E$40)</f>
        <v>17.850000000000001</v>
      </c>
      <c r="F406">
        <f>_xll.BDP($D406,F$40)</f>
        <v>17.850000000000001</v>
      </c>
      <c r="G406">
        <f>_xll.BDP($D406,G$40)</f>
        <v>17.86</v>
      </c>
      <c r="H406" s="9" t="str">
        <f>_xll.BDP($D406,H$40)</f>
        <v>#N/A Field Not Applicable</v>
      </c>
      <c r="L406" s="9">
        <f t="shared" si="51"/>
        <v>17.850000000000001</v>
      </c>
    </row>
    <row r="407" spans="1:12" x14ac:dyDescent="0.2">
      <c r="A407" t="s">
        <v>16</v>
      </c>
      <c r="B407" t="str">
        <f>LEFT(D407,FIND(" ",D407)-1)</f>
        <v>HRB</v>
      </c>
      <c r="C407" s="16" t="str">
        <f>IF(A407="STOCK",B407,REPLACE(B407,FIND("+",B407),1,"."))</f>
        <v>HRB</v>
      </c>
      <c r="D407" t="s">
        <v>209</v>
      </c>
      <c r="E407">
        <f>_xll.BDP($D407,E$40)</f>
        <v>15.72</v>
      </c>
      <c r="F407">
        <f>_xll.BDP($D407,F$40)</f>
        <v>15.71</v>
      </c>
      <c r="G407">
        <f>_xll.BDP($D407,G$40)</f>
        <v>15.72</v>
      </c>
      <c r="H407" s="9" t="str">
        <f>_xll.BDP($D407,H$40)</f>
        <v>#N/A Field Not Applicable</v>
      </c>
      <c r="L407" s="9">
        <f t="shared" si="51"/>
        <v>15.72</v>
      </c>
    </row>
    <row r="408" spans="1:12" x14ac:dyDescent="0.2">
      <c r="A408" t="s">
        <v>16</v>
      </c>
      <c r="B408" t="str">
        <f>LEFT(D408,FIND(" ",D408)-1)</f>
        <v>BBBY</v>
      </c>
      <c r="C408" s="16" t="str">
        <f>IF(A408="STOCK",B408,REPLACE(B408,FIND("+",B408),1,"."))</f>
        <v>BBBY</v>
      </c>
      <c r="D408" t="s">
        <v>86</v>
      </c>
      <c r="E408">
        <f>_xll.BDP($D408,E$40)</f>
        <v>6.09</v>
      </c>
      <c r="F408">
        <f>_xll.BDP($D408,F$40)</f>
        <v>6.08</v>
      </c>
      <c r="G408">
        <f>_xll.BDP($D408,G$40)</f>
        <v>6.09</v>
      </c>
      <c r="H408" s="9" t="str">
        <f>_xll.BDP($D408,H$40)</f>
        <v>#N/A Field Not Applicable</v>
      </c>
      <c r="L408" s="9">
        <f t="shared" si="51"/>
        <v>6.09</v>
      </c>
    </row>
    <row r="409" spans="1:12" x14ac:dyDescent="0.2">
      <c r="A409" t="s">
        <v>16</v>
      </c>
      <c r="B409" t="str">
        <f>LEFT(D409,FIND(" ",D409)-1)</f>
        <v>OLN</v>
      </c>
      <c r="C409" s="16" t="str">
        <f>IF(A409="STOCK",B409,REPLACE(B409,FIND("+",B409),1,"."))</f>
        <v>OLN</v>
      </c>
      <c r="D409" t="s">
        <v>286</v>
      </c>
      <c r="E409">
        <f>_xll.BDP($D409,E$40)</f>
        <v>9.34</v>
      </c>
      <c r="F409">
        <f>_xll.BDP($D409,F$40)</f>
        <v>9.33</v>
      </c>
      <c r="G409">
        <f>_xll.BDP($D409,G$40)</f>
        <v>9.34</v>
      </c>
      <c r="H409" s="9" t="str">
        <f>_xll.BDP($D409,H$40)</f>
        <v>#N/A Field Not Applicable</v>
      </c>
      <c r="L409" s="9">
        <f t="shared" si="51"/>
        <v>9.34</v>
      </c>
    </row>
    <row r="410" spans="1:12" x14ac:dyDescent="0.2">
      <c r="A410" t="s">
        <v>16</v>
      </c>
      <c r="B410" s="23" t="s">
        <v>939</v>
      </c>
      <c r="C410" s="17" t="s">
        <v>939</v>
      </c>
      <c r="D410" s="22" t="s">
        <v>940</v>
      </c>
      <c r="E410" s="21">
        <f>_xll.BDP($D410,E$40)</f>
        <v>54.74</v>
      </c>
      <c r="F410">
        <f>_xll.BDP($D410,F$40)</f>
        <v>54.63</v>
      </c>
      <c r="G410">
        <f>_xll.BDP($D410,G$40)</f>
        <v>54.74</v>
      </c>
      <c r="H410" s="9" t="str">
        <f>_xll.BDP($D410,H$40)</f>
        <v>#N/A Field Not Applicable</v>
      </c>
      <c r="L410" s="9">
        <f t="shared" si="51"/>
        <v>54.74</v>
      </c>
    </row>
    <row r="411" spans="1:12" x14ac:dyDescent="0.2">
      <c r="A411" t="s">
        <v>16</v>
      </c>
      <c r="B411" t="str">
        <f>LEFT(D411,FIND(" ",D411)-1)</f>
        <v>CNQ</v>
      </c>
      <c r="C411" s="16" t="str">
        <f>IF(A411="STOCK",B411,REPLACE(B411,FIND("+",B411),1,"."))</f>
        <v>CNQ</v>
      </c>
      <c r="D411" t="s">
        <v>542</v>
      </c>
      <c r="E411">
        <f>_xll.BDP($D411,E$40)</f>
        <v>10.32</v>
      </c>
      <c r="F411">
        <f>_xll.BDP($D411,F$40)</f>
        <v>10.32</v>
      </c>
      <c r="G411">
        <f>_xll.BDP($D411,G$40)</f>
        <v>10.33</v>
      </c>
      <c r="H411" s="9" t="str">
        <f>_xll.BDP($D411,H$40)</f>
        <v>#N/A Field Not Applicable</v>
      </c>
      <c r="L411" s="9">
        <f t="shared" si="51"/>
        <v>10.32</v>
      </c>
    </row>
    <row r="412" spans="1:12" x14ac:dyDescent="0.2">
      <c r="A412" t="s">
        <v>16</v>
      </c>
      <c r="B412" t="str">
        <f>LEFT(D412,FIND(" ",D412)-1)</f>
        <v>MLI</v>
      </c>
      <c r="C412" s="16" t="str">
        <f>IF(A412="STOCK",B412,REPLACE(B412,FIND("+",B412),1,"."))</f>
        <v>MLI</v>
      </c>
      <c r="D412" t="s">
        <v>533</v>
      </c>
      <c r="E412">
        <f>_xll.BDP($D412,E$40)</f>
        <v>20.69</v>
      </c>
      <c r="F412">
        <f>_xll.BDP($D412,F$40)</f>
        <v>20.68</v>
      </c>
      <c r="G412">
        <f>_xll.BDP($D412,G$40)</f>
        <v>20.69</v>
      </c>
      <c r="H412" s="9" t="str">
        <f>_xll.BDP($D412,H$40)</f>
        <v>#N/A Field Not Applicable</v>
      </c>
      <c r="L412" s="9">
        <f t="shared" si="51"/>
        <v>20.69</v>
      </c>
    </row>
    <row r="413" spans="1:12" x14ac:dyDescent="0.2">
      <c r="A413" t="s">
        <v>16</v>
      </c>
      <c r="B413" t="s">
        <v>609</v>
      </c>
      <c r="C413" s="16" t="s">
        <v>609</v>
      </c>
      <c r="D413" t="s">
        <v>610</v>
      </c>
      <c r="E413">
        <f>_xll.BDP($D413,E$40)</f>
        <v>7.84</v>
      </c>
      <c r="F413">
        <f>_xll.BDP($D413,F$40)</f>
        <v>7.77</v>
      </c>
      <c r="G413">
        <f>_xll.BDP($D413,G$40)</f>
        <v>7.78</v>
      </c>
      <c r="H413" s="9" t="str">
        <f>_xll.BDP($D413,H$40)</f>
        <v>#N/A Field Not Applicable</v>
      </c>
      <c r="L413" s="9">
        <f t="shared" si="51"/>
        <v>7.84</v>
      </c>
    </row>
    <row r="414" spans="1:12" x14ac:dyDescent="0.2">
      <c r="A414" t="s">
        <v>16</v>
      </c>
      <c r="B414" t="str">
        <f>LEFT(D414,FIND(" ",D414)-1)</f>
        <v>CSCO</v>
      </c>
      <c r="C414" s="16" t="str">
        <f>IF(A414="STOCK",B414,REPLACE(B414,FIND("+",B414),1,"."))</f>
        <v>CSCO</v>
      </c>
      <c r="D414" t="s">
        <v>140</v>
      </c>
      <c r="E414">
        <f>_xll.BDP($D414,E$40)</f>
        <v>33.71</v>
      </c>
      <c r="F414">
        <f>_xll.BDP($D414,F$40)</f>
        <v>33.700000000000003</v>
      </c>
      <c r="G414">
        <f>_xll.BDP($D414,G$40)</f>
        <v>33.71</v>
      </c>
      <c r="H414" s="9" t="str">
        <f>_xll.BDP($D414,H$40)</f>
        <v>#N/A Field Not Applicable</v>
      </c>
      <c r="L414" s="9">
        <f t="shared" si="51"/>
        <v>33.71</v>
      </c>
    </row>
    <row r="415" spans="1:12" x14ac:dyDescent="0.2">
      <c r="A415" t="s">
        <v>16</v>
      </c>
      <c r="B415" t="str">
        <f>LEFT(D415,FIND(" ",D415)-1)</f>
        <v>MYRG</v>
      </c>
      <c r="C415" s="16" t="str">
        <f>IF(A415="STOCK",B415,REPLACE(B415,FIND("+",B415),1,"."))</f>
        <v>MYRG</v>
      </c>
      <c r="D415" t="s">
        <v>270</v>
      </c>
      <c r="E415">
        <f>_xll.BDP($D415,E$40)</f>
        <v>18.309999999999999</v>
      </c>
      <c r="F415">
        <f>_xll.BDP($D415,F$40)</f>
        <v>18.25</v>
      </c>
      <c r="G415">
        <f>_xll.BDP($D415,G$40)</f>
        <v>18.260000000000002</v>
      </c>
      <c r="H415" s="9" t="str">
        <f>_xll.BDP($D415,H$40)</f>
        <v>#N/A Field Not Applicable</v>
      </c>
      <c r="L415" s="9">
        <f t="shared" si="51"/>
        <v>18.309999999999999</v>
      </c>
    </row>
    <row r="416" spans="1:12" x14ac:dyDescent="0.2">
      <c r="A416" t="s">
        <v>16</v>
      </c>
      <c r="B416" s="23" t="s">
        <v>917</v>
      </c>
      <c r="C416" s="17" t="s">
        <v>917</v>
      </c>
      <c r="D416" s="22" t="s">
        <v>918</v>
      </c>
      <c r="E416" s="21">
        <f>_xll.BDP($D416,E$40)</f>
        <v>114.81</v>
      </c>
      <c r="F416">
        <f>_xll.BDP($D416,F$40)</f>
        <v>114.8</v>
      </c>
      <c r="G416">
        <f>_xll.BDP($D416,G$40)</f>
        <v>114.81</v>
      </c>
      <c r="H416" s="9" t="str">
        <f>_xll.BDP($D416,H$40)</f>
        <v>#N/A Field Not Applicable</v>
      </c>
      <c r="L416" s="9">
        <f t="shared" si="51"/>
        <v>114.81</v>
      </c>
    </row>
    <row r="417" spans="1:12" x14ac:dyDescent="0.2">
      <c r="A417" t="s">
        <v>16</v>
      </c>
      <c r="B417" t="str">
        <f>LEFT(D417,FIND(" ",D417)-1)</f>
        <v>WMB</v>
      </c>
      <c r="C417" s="16" t="str">
        <f>IF(A417="STOCK",B417,REPLACE(B417,FIND("+",B417),1,"."))</f>
        <v>WMB</v>
      </c>
      <c r="D417" t="s">
        <v>380</v>
      </c>
      <c r="E417">
        <f>_xll.BDP($D417,E$40)</f>
        <v>13.49</v>
      </c>
      <c r="F417">
        <f>_xll.BDP($D417,F$40)</f>
        <v>13.48</v>
      </c>
      <c r="G417">
        <f>_xll.BDP($D417,G$40)</f>
        <v>13.5</v>
      </c>
      <c r="H417" s="9" t="str">
        <f>_xll.BDP($D417,H$40)</f>
        <v>#N/A Field Not Applicable</v>
      </c>
      <c r="L417" s="9">
        <f t="shared" si="51"/>
        <v>13.49</v>
      </c>
    </row>
    <row r="418" spans="1:12" x14ac:dyDescent="0.2">
      <c r="A418" t="s">
        <v>16</v>
      </c>
      <c r="B418" s="23" t="s">
        <v>838</v>
      </c>
      <c r="C418" s="17" t="s">
        <v>838</v>
      </c>
      <c r="D418" s="22" t="s">
        <v>380</v>
      </c>
      <c r="E418" s="21">
        <f>_xll.BDP($D418,E$40)</f>
        <v>13.49</v>
      </c>
      <c r="F418">
        <f>_xll.BDP($D418,F$40)</f>
        <v>13.48</v>
      </c>
      <c r="G418">
        <f>_xll.BDP($D418,G$40)</f>
        <v>13.5</v>
      </c>
      <c r="H418" s="9" t="str">
        <f>_xll.BDP($D418,H$40)</f>
        <v>#N/A Field Not Applicable</v>
      </c>
      <c r="L418" s="9">
        <f t="shared" si="51"/>
        <v>13.49</v>
      </c>
    </row>
    <row r="419" spans="1:12" x14ac:dyDescent="0.2">
      <c r="A419" t="s">
        <v>16</v>
      </c>
      <c r="B419" t="str">
        <f>LEFT(D419,FIND(" ",D419)-1)</f>
        <v>GHDX</v>
      </c>
      <c r="C419" s="16" t="str">
        <f>IF(A419="STOCK",B419,REPLACE(B419,FIND("+",B419),1,"."))</f>
        <v>GHDX</v>
      </c>
      <c r="D419" t="s">
        <v>196</v>
      </c>
      <c r="E419" t="str">
        <f>_xll.BDP($D419,E$40)</f>
        <v>#N/A N/A</v>
      </c>
      <c r="F419" t="str">
        <f>_xll.BDP($D419,F$40)</f>
        <v>#N/A N/A</v>
      </c>
      <c r="G419" t="str">
        <f>_xll.BDP($D419,G$40)</f>
        <v>#N/A N/A</v>
      </c>
      <c r="H419" s="9" t="str">
        <f>_xll.BDP($D419,H$40)</f>
        <v>#N/A Field Not Applicable</v>
      </c>
      <c r="L419" s="9" t="str">
        <f t="shared" si="51"/>
        <v>#N/A N/A</v>
      </c>
    </row>
    <row r="420" spans="1:12" s="9" customFormat="1" x14ac:dyDescent="0.2">
      <c r="A420" s="9" t="s">
        <v>16</v>
      </c>
      <c r="B420" s="9" t="str">
        <f>LEFT(D420,FIND(" ",D420)-1)</f>
        <v>BA</v>
      </c>
      <c r="C420" s="16" t="str">
        <f>IF(A420="STOCK",B420,REPLACE(B420,FIND("+",B420),1,"."))</f>
        <v>BA</v>
      </c>
      <c r="D420" s="9" t="s">
        <v>1270</v>
      </c>
      <c r="E420" s="9">
        <f>_xll.BDP($D420,E$40)</f>
        <v>129.61000000000001</v>
      </c>
      <c r="F420" s="9">
        <f>_xll.BDP($D420,F$40)</f>
        <v>129.6</v>
      </c>
      <c r="G420" s="9">
        <f>_xll.BDP($D420,G$40)</f>
        <v>129.61000000000001</v>
      </c>
      <c r="H420" s="9" t="str">
        <f>_xll.BDP($D420,H$40)</f>
        <v>#N/A Field Not Applicable</v>
      </c>
      <c r="L420" s="9">
        <f t="shared" ref="L420" si="52">IF(A420="STOCK",E420,IF(A420="SOPTION",G420,IF(A420="LOPTION",F420,"")))</f>
        <v>129.61000000000001</v>
      </c>
    </row>
    <row r="421" spans="1:12" x14ac:dyDescent="0.2">
      <c r="A421" t="s">
        <v>16</v>
      </c>
      <c r="B421" t="str">
        <f>LEFT(D421,FIND(" ",D421)-1)</f>
        <v>FBC</v>
      </c>
      <c r="C421" s="16" t="str">
        <f>IF(A421="STOCK",B421,REPLACE(B421,FIND("+",B421),1,"."))</f>
        <v>FBC</v>
      </c>
      <c r="D421" t="s">
        <v>180</v>
      </c>
      <c r="E421">
        <f>_xll.BDP($D421,E$40)</f>
        <v>24.55</v>
      </c>
      <c r="F421">
        <f>_xll.BDP($D421,F$40)</f>
        <v>24.54</v>
      </c>
      <c r="G421">
        <f>_xll.BDP($D421,G$40)</f>
        <v>24.55</v>
      </c>
      <c r="H421" s="9" t="str">
        <f>_xll.BDP($D421,H$40)</f>
        <v>#N/A Field Not Applicable</v>
      </c>
      <c r="L421" s="9">
        <f t="shared" si="51"/>
        <v>24.55</v>
      </c>
    </row>
    <row r="422" spans="1:12" x14ac:dyDescent="0.2">
      <c r="A422" t="s">
        <v>16</v>
      </c>
      <c r="B422" t="str">
        <f>LEFT(D422,FIND(" ",D422)-1)</f>
        <v>STX</v>
      </c>
      <c r="C422" s="16" t="str">
        <f>IF(A422="STOCK",B422,REPLACE(B422,FIND("+",B422),1,"."))</f>
        <v>STX</v>
      </c>
      <c r="D422" t="s">
        <v>425</v>
      </c>
      <c r="E422">
        <f>_xll.BDP($D422,E$40)</f>
        <v>40.97</v>
      </c>
      <c r="F422">
        <f>_xll.BDP($D422,F$40)</f>
        <v>41.43</v>
      </c>
      <c r="G422">
        <f>_xll.BDP($D422,G$40)</f>
        <v>41.44</v>
      </c>
      <c r="H422" s="9" t="str">
        <f>_xll.BDP($D422,H$40)</f>
        <v>#N/A Field Not Applicable</v>
      </c>
      <c r="L422" s="9">
        <f t="shared" si="51"/>
        <v>40.97</v>
      </c>
    </row>
    <row r="423" spans="1:12" x14ac:dyDescent="0.2">
      <c r="A423" t="s">
        <v>16</v>
      </c>
      <c r="B423" t="s">
        <v>621</v>
      </c>
      <c r="C423" s="16" t="s">
        <v>621</v>
      </c>
      <c r="D423" t="s">
        <v>622</v>
      </c>
      <c r="E423">
        <f>_xll.BDP($D423,E$40)</f>
        <v>18.010000000000002</v>
      </c>
      <c r="F423">
        <f>_xll.BDP($D423,F$40)</f>
        <v>18</v>
      </c>
      <c r="G423">
        <f>_xll.BDP($D423,G$40)</f>
        <v>18.010000000000002</v>
      </c>
      <c r="H423" s="9" t="str">
        <f>_xll.BDP($D423,H$40)</f>
        <v>#N/A Field Not Applicable</v>
      </c>
      <c r="L423" s="9">
        <f t="shared" si="51"/>
        <v>18.010000000000002</v>
      </c>
    </row>
    <row r="424" spans="1:12" x14ac:dyDescent="0.2">
      <c r="A424" t="s">
        <v>16</v>
      </c>
      <c r="B424" s="23" t="s">
        <v>729</v>
      </c>
      <c r="C424" s="17" t="s">
        <v>729</v>
      </c>
      <c r="D424" s="22" t="s">
        <v>730</v>
      </c>
      <c r="E424" s="21">
        <f>_xll.BDP($D424,E$40)</f>
        <v>17.68</v>
      </c>
      <c r="F424">
        <f>_xll.BDP($D424,F$40)</f>
        <v>17.63</v>
      </c>
      <c r="G424">
        <f>_xll.BDP($D424,G$40)</f>
        <v>17.670000000000002</v>
      </c>
      <c r="H424" s="9" t="str">
        <f>_xll.BDP($D424,H$40)</f>
        <v>#N/A Field Not Applicable</v>
      </c>
      <c r="L424" s="9">
        <f t="shared" si="51"/>
        <v>17.68</v>
      </c>
    </row>
    <row r="425" spans="1:12" x14ac:dyDescent="0.2">
      <c r="A425" t="s">
        <v>16</v>
      </c>
      <c r="B425" t="str">
        <f>LEFT(D425,FIND(" ",D425)-1)</f>
        <v>CAR</v>
      </c>
      <c r="C425" s="16" t="str">
        <f>IF(A425="STOCK",B425,REPLACE(B425,FIND("+",B425),1,"."))</f>
        <v>CAR</v>
      </c>
      <c r="D425" t="s">
        <v>104</v>
      </c>
      <c r="E425">
        <f>_xll.BDP($D425,E$40)</f>
        <v>14.3</v>
      </c>
      <c r="F425">
        <f>_xll.BDP($D425,F$40)</f>
        <v>14.3</v>
      </c>
      <c r="G425">
        <f>_xll.BDP($D425,G$40)</f>
        <v>14.36</v>
      </c>
      <c r="H425" s="9" t="str">
        <f>_xll.BDP($D425,H$40)</f>
        <v>#N/A Field Not Applicable</v>
      </c>
      <c r="L425" s="9">
        <f t="shared" si="51"/>
        <v>14.3</v>
      </c>
    </row>
    <row r="426" spans="1:12" x14ac:dyDescent="0.2">
      <c r="A426" t="s">
        <v>16</v>
      </c>
      <c r="B426" t="s">
        <v>649</v>
      </c>
      <c r="C426" s="16" t="s">
        <v>649</v>
      </c>
      <c r="D426" s="9" t="s">
        <v>650</v>
      </c>
      <c r="E426">
        <f>_xll.BDP($D426,E$40)</f>
        <v>14.54</v>
      </c>
      <c r="F426">
        <f>_xll.BDP($D426,F$40)</f>
        <v>14.55</v>
      </c>
      <c r="G426">
        <f>_xll.BDP($D426,G$40)</f>
        <v>14.56</v>
      </c>
      <c r="H426" s="9" t="str">
        <f>_xll.BDP($D426,H$40)</f>
        <v>#N/A Field Not Applicable</v>
      </c>
      <c r="L426" s="9">
        <f t="shared" si="51"/>
        <v>14.54</v>
      </c>
    </row>
    <row r="427" spans="1:12" x14ac:dyDescent="0.2">
      <c r="A427" t="s">
        <v>16</v>
      </c>
      <c r="B427" s="23" t="s">
        <v>824</v>
      </c>
      <c r="C427" s="17" t="s">
        <v>824</v>
      </c>
      <c r="D427" s="22" t="s">
        <v>825</v>
      </c>
      <c r="E427" s="21">
        <f>_xll.BDP($D427,E$40)</f>
        <v>20.03</v>
      </c>
      <c r="F427">
        <f>_xll.BDP($D427,F$40)</f>
        <v>20.02</v>
      </c>
      <c r="G427">
        <f>_xll.BDP($D427,G$40)</f>
        <v>20.03</v>
      </c>
      <c r="H427" s="9" t="str">
        <f>_xll.BDP($D427,H$40)</f>
        <v>#N/A Field Not Applicable</v>
      </c>
      <c r="L427" s="9">
        <f t="shared" si="51"/>
        <v>20.03</v>
      </c>
    </row>
    <row r="428" spans="1:12" x14ac:dyDescent="0.2">
      <c r="A428" t="s">
        <v>16</v>
      </c>
      <c r="B428" t="str">
        <f>LEFT(D428,FIND(" ",D428)-1)</f>
        <v>MGM</v>
      </c>
      <c r="C428" s="16" t="str">
        <f>IF(A428="STOCK",B428,REPLACE(B428,FIND("+",B428),1,"."))</f>
        <v>MGM</v>
      </c>
      <c r="D428" t="s">
        <v>254</v>
      </c>
      <c r="E428">
        <f>_xll.BDP($D428,E$40)</f>
        <v>10.25</v>
      </c>
      <c r="F428">
        <f>_xll.BDP($D428,F$40)</f>
        <v>10.24</v>
      </c>
      <c r="G428">
        <f>_xll.BDP($D428,G$40)</f>
        <v>10.25</v>
      </c>
      <c r="H428" s="9" t="str">
        <f>_xll.BDP($D428,H$40)</f>
        <v>#N/A Field Not Applicable</v>
      </c>
      <c r="L428" s="9">
        <f t="shared" si="51"/>
        <v>10.25</v>
      </c>
    </row>
    <row r="429" spans="1:12" x14ac:dyDescent="0.2">
      <c r="A429" t="s">
        <v>16</v>
      </c>
      <c r="B429" t="str">
        <f>LEFT(D429,FIND(" ",D429)-1)</f>
        <v>DVN</v>
      </c>
      <c r="C429" s="16" t="str">
        <f>IF(A429="STOCK",B429,REPLACE(B429,FIND("+",B429),1,"."))</f>
        <v>DVN</v>
      </c>
      <c r="D429" t="s">
        <v>163</v>
      </c>
      <c r="E429">
        <f>_xll.BDP($D429,E$40)</f>
        <v>7.57</v>
      </c>
      <c r="F429">
        <f>_xll.BDP($D429,F$40)</f>
        <v>7.57</v>
      </c>
      <c r="G429">
        <f>_xll.BDP($D429,G$40)</f>
        <v>7.58</v>
      </c>
      <c r="H429" s="9" t="str">
        <f>_xll.BDP($D429,H$40)</f>
        <v>#N/A Field Not Applicable</v>
      </c>
      <c r="L429" s="9">
        <f t="shared" si="51"/>
        <v>7.57</v>
      </c>
    </row>
    <row r="430" spans="1:12" x14ac:dyDescent="0.2">
      <c r="A430" t="s">
        <v>16</v>
      </c>
      <c r="B430" t="str">
        <f>LEFT(D430,FIND(" ",D430)-1)</f>
        <v>HUBG</v>
      </c>
      <c r="C430" s="16" t="str">
        <f>IF(A430="STOCK",B430,REPLACE(B430,FIND("+",B430),1,"."))</f>
        <v>HUBG</v>
      </c>
      <c r="D430" t="s">
        <v>213</v>
      </c>
      <c r="E430">
        <f>_xll.BDP($D430,E$40)</f>
        <v>37.25</v>
      </c>
      <c r="F430">
        <f>_xll.BDP($D430,F$40)</f>
        <v>37.090000000000003</v>
      </c>
      <c r="G430">
        <f>_xll.BDP($D430,G$40)</f>
        <v>37.26</v>
      </c>
      <c r="H430" s="9" t="str">
        <f>_xll.BDP($D430,H$40)</f>
        <v>#N/A Field Not Applicable</v>
      </c>
      <c r="L430" s="9">
        <f t="shared" ref="L430:L489" si="53">IF(A430="STOCK",E430,IF(A430="SOPTION",G430,IF(A430="LOPTION",F430,"")))</f>
        <v>37.25</v>
      </c>
    </row>
    <row r="431" spans="1:12" x14ac:dyDescent="0.2">
      <c r="A431" t="s">
        <v>16</v>
      </c>
      <c r="B431" s="23" t="s">
        <v>987</v>
      </c>
      <c r="C431" s="17" t="s">
        <v>987</v>
      </c>
      <c r="D431" s="22" t="s">
        <v>988</v>
      </c>
      <c r="E431" s="21">
        <f>_xll.BDP($D431,E$40)</f>
        <v>63.84</v>
      </c>
      <c r="F431">
        <f>_xll.BDP($D431,F$40)</f>
        <v>63.83</v>
      </c>
      <c r="G431">
        <f>_xll.BDP($D431,G$40)</f>
        <v>63.84</v>
      </c>
      <c r="H431" s="9" t="str">
        <f>_xll.BDP($D431,H$40)</f>
        <v>#N/A Field Not Applicable</v>
      </c>
      <c r="L431" s="9">
        <f t="shared" si="53"/>
        <v>63.84</v>
      </c>
    </row>
    <row r="432" spans="1:12" x14ac:dyDescent="0.2">
      <c r="A432" t="s">
        <v>16</v>
      </c>
      <c r="B432" t="str">
        <f>LEFT(D432,FIND(" ",D432)-1)</f>
        <v>QGEN</v>
      </c>
      <c r="C432" s="16" t="str">
        <f>IF(A432="STOCK",B432,REPLACE(B432,FIND("+",B432),1,"."))</f>
        <v>QGEN</v>
      </c>
      <c r="D432" t="s">
        <v>308</v>
      </c>
      <c r="E432">
        <f>_xll.BDP($D432,E$40)</f>
        <v>39.46</v>
      </c>
      <c r="F432">
        <f>_xll.BDP($D432,F$40)</f>
        <v>39.44</v>
      </c>
      <c r="G432">
        <f>_xll.BDP($D432,G$40)</f>
        <v>39.46</v>
      </c>
      <c r="H432" s="9" t="str">
        <f>_xll.BDP($D432,H$40)</f>
        <v>#N/A Field Not Applicable</v>
      </c>
      <c r="L432" s="9">
        <f t="shared" si="53"/>
        <v>39.46</v>
      </c>
    </row>
    <row r="433" spans="1:12" x14ac:dyDescent="0.2">
      <c r="A433" t="s">
        <v>16</v>
      </c>
      <c r="B433" t="str">
        <f>LEFT(D433,FIND(" ",D433)-1)</f>
        <v>CAG</v>
      </c>
      <c r="C433" s="16" t="str">
        <f>IF(A433="STOCK",B433,REPLACE(B433,FIND("+",B433),1,"."))</f>
        <v>CAG</v>
      </c>
      <c r="D433" t="s">
        <v>101</v>
      </c>
      <c r="E433">
        <f>_xll.BDP($D433,E$40)</f>
        <v>27.21</v>
      </c>
      <c r="F433">
        <f>_xll.BDP($D433,F$40)</f>
        <v>27.18</v>
      </c>
      <c r="G433">
        <f>_xll.BDP($D433,G$40)</f>
        <v>27.19</v>
      </c>
      <c r="H433" s="9" t="str">
        <f>_xll.BDP($D433,H$40)</f>
        <v>#N/A Field Not Applicable</v>
      </c>
      <c r="L433" s="9">
        <f t="shared" si="53"/>
        <v>27.21</v>
      </c>
    </row>
    <row r="434" spans="1:12" x14ac:dyDescent="0.2">
      <c r="A434" t="s">
        <v>16</v>
      </c>
      <c r="B434" t="str">
        <f>LEFT(D434,FIND(" ",D434)-1)</f>
        <v>TER</v>
      </c>
      <c r="C434" s="16" t="str">
        <f>IF(A434="STOCK",B434,REPLACE(B434,FIND("+",B434),1,"."))</f>
        <v>TER</v>
      </c>
      <c r="D434" t="s">
        <v>343</v>
      </c>
      <c r="E434">
        <f>_xll.BDP($D434,E$40)</f>
        <v>48.15</v>
      </c>
      <c r="F434">
        <f>_xll.BDP($D434,F$40)</f>
        <v>48.15</v>
      </c>
      <c r="G434">
        <f>_xll.BDP($D434,G$40)</f>
        <v>48.16</v>
      </c>
      <c r="H434" s="9" t="str">
        <f>_xll.BDP($D434,H$40)</f>
        <v>#N/A Field Not Applicable</v>
      </c>
      <c r="L434" s="9">
        <f t="shared" si="53"/>
        <v>48.15</v>
      </c>
    </row>
    <row r="435" spans="1:12" x14ac:dyDescent="0.2">
      <c r="A435" t="s">
        <v>16</v>
      </c>
      <c r="B435" t="s">
        <v>607</v>
      </c>
      <c r="C435" s="16" t="s">
        <v>607</v>
      </c>
      <c r="D435" t="s">
        <v>608</v>
      </c>
      <c r="E435">
        <f>_xll.BDP($D435,E$40)</f>
        <v>8.75</v>
      </c>
      <c r="F435">
        <f>_xll.BDP($D435,F$40)</f>
        <v>8.74</v>
      </c>
      <c r="G435">
        <f>_xll.BDP($D435,G$40)</f>
        <v>8.75</v>
      </c>
      <c r="H435" s="9" t="str">
        <f>_xll.BDP($D435,H$40)</f>
        <v>#N/A Field Not Applicable</v>
      </c>
      <c r="L435" s="9">
        <f t="shared" si="53"/>
        <v>8.75</v>
      </c>
    </row>
    <row r="436" spans="1:12" s="9" customFormat="1" x14ac:dyDescent="0.2">
      <c r="A436" s="9" t="s">
        <v>16</v>
      </c>
      <c r="B436" s="9" t="str">
        <f>LEFT(D436,FIND(" ",D436)-1)</f>
        <v>MGRC</v>
      </c>
      <c r="C436" s="16" t="str">
        <f>IF(A436="STOCK",B436,REPLACE(B436,FIND("+",B436),1,"."))</f>
        <v>MGRC</v>
      </c>
      <c r="D436" s="9" t="s">
        <v>255</v>
      </c>
      <c r="E436" s="9">
        <f>_xll.BDP($D436,E$40)</f>
        <v>49.43</v>
      </c>
      <c r="F436" s="9">
        <f>_xll.BDP($D436,F$40)</f>
        <v>48.85</v>
      </c>
      <c r="G436" s="9">
        <f>_xll.BDP($D436,G$40)</f>
        <v>49.33</v>
      </c>
      <c r="H436" s="9" t="str">
        <f>_xll.BDP($D436,H$40)</f>
        <v>#N/A Field Not Applicable</v>
      </c>
      <c r="L436" s="9">
        <f t="shared" si="53"/>
        <v>49.43</v>
      </c>
    </row>
    <row r="437" spans="1:12" x14ac:dyDescent="0.2">
      <c r="A437" t="s">
        <v>16</v>
      </c>
      <c r="B437" t="str">
        <f>LEFT(D437,FIND(" ",D437)-1)</f>
        <v>INTC</v>
      </c>
      <c r="C437" s="16" t="str">
        <f>IF(A437="STOCK",B437,REPLACE(B437,FIND("+",B437),1,"."))</f>
        <v>INTC</v>
      </c>
      <c r="D437" t="s">
        <v>222</v>
      </c>
      <c r="E437">
        <f>_xll.BDP($D437,E$40)</f>
        <v>44.61</v>
      </c>
      <c r="F437">
        <f>_xll.BDP($D437,F$40)</f>
        <v>44.54</v>
      </c>
      <c r="G437">
        <f>_xll.BDP($D437,G$40)</f>
        <v>44.55</v>
      </c>
      <c r="H437" s="9" t="str">
        <f>_xll.BDP($D437,H$40)</f>
        <v>#N/A Field Not Applicable</v>
      </c>
      <c r="L437" s="9">
        <f t="shared" si="53"/>
        <v>44.61</v>
      </c>
    </row>
    <row r="438" spans="1:12" x14ac:dyDescent="0.2">
      <c r="A438" t="s">
        <v>16</v>
      </c>
      <c r="B438" s="23" t="s">
        <v>910</v>
      </c>
      <c r="C438" s="17" t="s">
        <v>910</v>
      </c>
      <c r="D438" s="22" t="s">
        <v>911</v>
      </c>
      <c r="E438" s="21">
        <f>_xll.BDP($D438,E$40)</f>
        <v>18.510000000000002</v>
      </c>
      <c r="F438">
        <f>_xll.BDP($D438,F$40)</f>
        <v>18.510000000000002</v>
      </c>
      <c r="G438">
        <f>_xll.BDP($D438,G$40)</f>
        <v>18.52</v>
      </c>
      <c r="H438" s="9" t="str">
        <f>_xll.BDP($D438,H$40)</f>
        <v>#N/A Field Not Applicable</v>
      </c>
      <c r="L438" s="9">
        <f t="shared" si="53"/>
        <v>18.510000000000002</v>
      </c>
    </row>
    <row r="439" spans="1:12" x14ac:dyDescent="0.2">
      <c r="A439" t="s">
        <v>16</v>
      </c>
      <c r="B439" s="23" t="s">
        <v>933</v>
      </c>
      <c r="C439" s="17" t="s">
        <v>933</v>
      </c>
      <c r="D439" s="22" t="s">
        <v>934</v>
      </c>
      <c r="E439" s="21">
        <f>_xll.BDP($D439,E$40)</f>
        <v>41.34</v>
      </c>
      <c r="F439">
        <f>_xll.BDP($D439,F$40)</f>
        <v>41.34</v>
      </c>
      <c r="G439">
        <f>_xll.BDP($D439,G$40)</f>
        <v>41.35</v>
      </c>
      <c r="H439" s="9" t="str">
        <f>_xll.BDP($D439,H$40)</f>
        <v>#N/A Field Not Applicable</v>
      </c>
      <c r="L439" s="9">
        <f t="shared" si="53"/>
        <v>41.34</v>
      </c>
    </row>
    <row r="440" spans="1:12" x14ac:dyDescent="0.2">
      <c r="A440" t="s">
        <v>16</v>
      </c>
      <c r="B440" t="str">
        <f t="shared" ref="B440:B446" si="54">LEFT(D440,FIND(" ",D440)-1)</f>
        <v>KNX</v>
      </c>
      <c r="C440" s="16" t="str">
        <f t="shared" ref="C440:C446" si="55">IF(A440="STOCK",B440,REPLACE(B440,FIND("+",B440),1,"."))</f>
        <v>KNX</v>
      </c>
      <c r="D440" t="s">
        <v>435</v>
      </c>
      <c r="E440">
        <f>_xll.BDP($D440,E$40)</f>
        <v>28.78</v>
      </c>
      <c r="F440">
        <f>_xll.BDP($D440,F$40)</f>
        <v>28.78</v>
      </c>
      <c r="G440">
        <f>_xll.BDP($D440,G$40)</f>
        <v>28.79</v>
      </c>
      <c r="H440" s="9" t="str">
        <f>_xll.BDP($D440,H$40)</f>
        <v>#N/A Field Not Applicable</v>
      </c>
      <c r="L440" s="9">
        <f t="shared" si="53"/>
        <v>28.78</v>
      </c>
    </row>
    <row r="441" spans="1:12" x14ac:dyDescent="0.2">
      <c r="A441" t="s">
        <v>16</v>
      </c>
      <c r="B441" t="str">
        <f t="shared" si="54"/>
        <v>GT</v>
      </c>
      <c r="C441" s="16" t="str">
        <f t="shared" si="55"/>
        <v>GT</v>
      </c>
      <c r="D441" t="s">
        <v>470</v>
      </c>
      <c r="E441">
        <f>_xll.BDP($D441,E$40)</f>
        <v>6.18</v>
      </c>
      <c r="F441">
        <f>_xll.BDP($D441,F$40)</f>
        <v>6.12</v>
      </c>
      <c r="G441">
        <f>_xll.BDP($D441,G$40)</f>
        <v>6.13</v>
      </c>
      <c r="H441" s="9" t="str">
        <f>_xll.BDP($D441,H$40)</f>
        <v>#N/A Field Not Applicable</v>
      </c>
      <c r="L441" s="9">
        <f t="shared" si="53"/>
        <v>6.18</v>
      </c>
    </row>
    <row r="442" spans="1:12" x14ac:dyDescent="0.2">
      <c r="A442" t="s">
        <v>16</v>
      </c>
      <c r="B442" t="str">
        <f t="shared" si="54"/>
        <v>SKYW</v>
      </c>
      <c r="C442" s="16" t="str">
        <f t="shared" si="55"/>
        <v>SKYW</v>
      </c>
      <c r="D442" t="s">
        <v>329</v>
      </c>
      <c r="E442">
        <f>_xll.BDP($D442,E$40)</f>
        <v>22.95</v>
      </c>
      <c r="F442">
        <f>_xll.BDP($D442,F$40)</f>
        <v>22.96</v>
      </c>
      <c r="G442">
        <f>_xll.BDP($D442,G$40)</f>
        <v>23.07</v>
      </c>
      <c r="H442" s="9" t="str">
        <f>_xll.BDP($D442,H$40)</f>
        <v>#N/A Field Not Applicable</v>
      </c>
      <c r="L442" s="9">
        <f t="shared" si="53"/>
        <v>22.95</v>
      </c>
    </row>
    <row r="443" spans="1:12" x14ac:dyDescent="0.2">
      <c r="A443" t="s">
        <v>16</v>
      </c>
      <c r="B443" t="str">
        <f t="shared" si="54"/>
        <v>ADUS</v>
      </c>
      <c r="C443" s="16" t="str">
        <f t="shared" si="55"/>
        <v>ADUS</v>
      </c>
      <c r="D443" t="s">
        <v>428</v>
      </c>
      <c r="E443">
        <f>_xll.BDP($D443,E$40)</f>
        <v>53</v>
      </c>
      <c r="F443">
        <f>_xll.BDP($D443,F$40)</f>
        <v>52.59</v>
      </c>
      <c r="G443">
        <f>_xll.BDP($D443,G$40)</f>
        <v>53</v>
      </c>
      <c r="H443" s="9" t="str">
        <f>_xll.BDP($D443,H$40)</f>
        <v>#N/A Field Not Applicable</v>
      </c>
      <c r="L443" s="9">
        <f t="shared" si="53"/>
        <v>53</v>
      </c>
    </row>
    <row r="444" spans="1:12" x14ac:dyDescent="0.2">
      <c r="A444" t="s">
        <v>16</v>
      </c>
      <c r="B444" t="str">
        <f t="shared" si="54"/>
        <v>ISCA</v>
      </c>
      <c r="C444" s="16" t="str">
        <f t="shared" si="55"/>
        <v>ISCA</v>
      </c>
      <c r="D444" s="4" t="s">
        <v>224</v>
      </c>
      <c r="E444" t="str">
        <f>_xll.BDP($D444,E$40)</f>
        <v>#N/A N/A</v>
      </c>
      <c r="F444" t="str">
        <f>_xll.BDP($D444,F$40)</f>
        <v>#N/A N/A</v>
      </c>
      <c r="G444" t="str">
        <f>_xll.BDP($D444,G$40)</f>
        <v>#N/A N/A</v>
      </c>
      <c r="H444" s="9" t="str">
        <f>_xll.BDP($D444,H$40)</f>
        <v>#N/A Field Not Applicable</v>
      </c>
      <c r="L444" s="9" t="str">
        <f t="shared" si="53"/>
        <v>#N/A N/A</v>
      </c>
    </row>
    <row r="445" spans="1:12" x14ac:dyDescent="0.2">
      <c r="A445" t="s">
        <v>16</v>
      </c>
      <c r="B445" t="str">
        <f t="shared" si="54"/>
        <v>ISCA</v>
      </c>
      <c r="C445" s="16" t="str">
        <f t="shared" si="55"/>
        <v>ISCA</v>
      </c>
      <c r="D445" t="s">
        <v>224</v>
      </c>
      <c r="E445" t="str">
        <f>_xll.BDP($D445,E$40)</f>
        <v>#N/A N/A</v>
      </c>
      <c r="F445" t="str">
        <f>_xll.BDP($D445,F$40)</f>
        <v>#N/A N/A</v>
      </c>
      <c r="G445" t="str">
        <f>_xll.BDP($D445,G$40)</f>
        <v>#N/A N/A</v>
      </c>
      <c r="H445" s="9" t="str">
        <f>_xll.BDP($D445,H$40)</f>
        <v>#N/A Field Not Applicable</v>
      </c>
      <c r="L445" s="9" t="str">
        <f t="shared" si="53"/>
        <v>#N/A N/A</v>
      </c>
    </row>
    <row r="446" spans="1:12" x14ac:dyDescent="0.2">
      <c r="A446" t="s">
        <v>16</v>
      </c>
      <c r="B446" t="str">
        <f t="shared" si="54"/>
        <v>LOGI</v>
      </c>
      <c r="C446" s="16" t="str">
        <f t="shared" si="55"/>
        <v>LOGI</v>
      </c>
      <c r="D446" t="s">
        <v>411</v>
      </c>
      <c r="E446">
        <f>_xll.BDP($D446,E$40)</f>
        <v>33.89</v>
      </c>
      <c r="F446">
        <f>_xll.BDP($D446,F$40)</f>
        <v>33.880000000000003</v>
      </c>
      <c r="G446">
        <f>_xll.BDP($D446,G$40)</f>
        <v>33.89</v>
      </c>
      <c r="H446" s="9" t="str">
        <f>_xll.BDP($D446,H$40)</f>
        <v>#N/A Field Not Applicable</v>
      </c>
      <c r="L446" s="9">
        <f t="shared" si="53"/>
        <v>33.89</v>
      </c>
    </row>
    <row r="447" spans="1:12" x14ac:dyDescent="0.2">
      <c r="A447" t="s">
        <v>16</v>
      </c>
      <c r="B447" t="str">
        <f>LEFT(D447,FIND(" ",D447)-1)</f>
        <v>GM</v>
      </c>
      <c r="C447" s="16" t="str">
        <f>IF(A447="STOCK",B447,REPLACE(B447,FIND("+",B447),1,"."))</f>
        <v>GM</v>
      </c>
      <c r="D447" t="s">
        <v>431</v>
      </c>
      <c r="E447">
        <f>_xll.BDP($D447,E$40)</f>
        <v>21</v>
      </c>
      <c r="F447">
        <f>_xll.BDP($D447,F$40)</f>
        <v>21</v>
      </c>
      <c r="G447">
        <f>_xll.BDP($D447,G$40)</f>
        <v>21.01</v>
      </c>
      <c r="H447" s="9" t="str">
        <f>_xll.BDP($D447,H$40)</f>
        <v>#N/A Field Not Applicable</v>
      </c>
      <c r="L447" s="9">
        <f t="shared" si="53"/>
        <v>21</v>
      </c>
    </row>
    <row r="448" spans="1:12" x14ac:dyDescent="0.2">
      <c r="A448" t="s">
        <v>16</v>
      </c>
      <c r="B448" t="str">
        <f>LEFT(D448,FIND(" ",D448)-1)</f>
        <v>QDEL</v>
      </c>
      <c r="C448" s="16" t="str">
        <f>IF(A448="STOCK",B448,REPLACE(B448,FIND("+",B448),1,"."))</f>
        <v>QDEL</v>
      </c>
      <c r="D448" t="s">
        <v>307</v>
      </c>
      <c r="E448">
        <f>_xll.BDP($D448,E$40)</f>
        <v>74.2</v>
      </c>
      <c r="F448">
        <f>_xll.BDP($D448,F$40)</f>
        <v>74.13</v>
      </c>
      <c r="G448">
        <f>_xll.BDP($D448,G$40)</f>
        <v>74.2</v>
      </c>
      <c r="H448" s="9" t="str">
        <f>_xll.BDP($D448,H$40)</f>
        <v>#N/A Field Not Applicable</v>
      </c>
      <c r="L448" s="9">
        <f t="shared" si="53"/>
        <v>74.2</v>
      </c>
    </row>
    <row r="449" spans="1:12" x14ac:dyDescent="0.2">
      <c r="A449" t="s">
        <v>16</v>
      </c>
      <c r="B449" t="str">
        <f>LEFT(D449,FIND(" ",D449)-1)</f>
        <v>EBAY</v>
      </c>
      <c r="C449" s="16" t="str">
        <f>IF(A449="STOCK",B449,REPLACE(B449,FIND("+",B449),1,"."))</f>
        <v>EBAY</v>
      </c>
      <c r="D449" t="s">
        <v>164</v>
      </c>
      <c r="E449">
        <f>_xll.BDP($D449,E$40)</f>
        <v>32.24</v>
      </c>
      <c r="F449">
        <f>_xll.BDP($D449,F$40)</f>
        <v>32.229999999999997</v>
      </c>
      <c r="G449">
        <f>_xll.BDP($D449,G$40)</f>
        <v>32.24</v>
      </c>
      <c r="H449" s="9" t="str">
        <f>_xll.BDP($D449,H$40)</f>
        <v>#N/A Field Not Applicable</v>
      </c>
      <c r="L449" s="9">
        <f t="shared" si="53"/>
        <v>32.24</v>
      </c>
    </row>
    <row r="450" spans="1:12" x14ac:dyDescent="0.2">
      <c r="A450" t="s">
        <v>16</v>
      </c>
      <c r="B450" s="23" t="s">
        <v>951</v>
      </c>
      <c r="C450" s="17" t="s">
        <v>951</v>
      </c>
      <c r="D450" s="22" t="s">
        <v>164</v>
      </c>
      <c r="E450" s="21">
        <f>_xll.BDP($D450,E$40)</f>
        <v>32.24</v>
      </c>
      <c r="F450">
        <f>_xll.BDP($D450,F$40)</f>
        <v>32.229999999999997</v>
      </c>
      <c r="G450">
        <f>_xll.BDP($D450,G$40)</f>
        <v>32.24</v>
      </c>
      <c r="H450" s="9" t="str">
        <f>_xll.BDP($D450,H$40)</f>
        <v>#N/A Field Not Applicable</v>
      </c>
      <c r="L450" s="9">
        <f t="shared" si="53"/>
        <v>32.24</v>
      </c>
    </row>
    <row r="451" spans="1:12" x14ac:dyDescent="0.2">
      <c r="A451" t="s">
        <v>16</v>
      </c>
      <c r="B451" t="str">
        <f>LEFT(D451,FIND(" ",D451)-1)</f>
        <v>AA</v>
      </c>
      <c r="C451" s="16" t="str">
        <f>IF(A451="STOCK",B451,REPLACE(B451,FIND("+",B451),1,"."))</f>
        <v>AA</v>
      </c>
      <c r="D451" s="9" t="s">
        <v>495</v>
      </c>
      <c r="E451">
        <f>_xll.BDP($D451,E$40)</f>
        <v>6.82</v>
      </c>
      <c r="F451">
        <f>_xll.BDP($D451,F$40)</f>
        <v>6.81</v>
      </c>
      <c r="G451">
        <f>_xll.BDP($D451,G$40)</f>
        <v>6.82</v>
      </c>
      <c r="H451" s="9" t="str">
        <f>_xll.BDP($D451,H$40)</f>
        <v>#N/A Field Not Applicable</v>
      </c>
      <c r="L451" s="9">
        <f t="shared" si="53"/>
        <v>6.82</v>
      </c>
    </row>
    <row r="452" spans="1:12" x14ac:dyDescent="0.2">
      <c r="A452" t="s">
        <v>16</v>
      </c>
      <c r="B452" t="str">
        <f>LEFT(D452,FIND(" ",D452)-1)</f>
        <v>SBGI</v>
      </c>
      <c r="C452" s="16" t="str">
        <f>IF(A452="STOCK",B452,REPLACE(B452,FIND("+",B452),1,"."))</f>
        <v>SBGI</v>
      </c>
      <c r="D452" t="s">
        <v>322</v>
      </c>
      <c r="E452">
        <f>_xll.BDP($D452,E$40)</f>
        <v>13.12</v>
      </c>
      <c r="F452">
        <f>_xll.BDP($D452,F$40)</f>
        <v>13.1</v>
      </c>
      <c r="G452">
        <f>_xll.BDP($D452,G$40)</f>
        <v>13.11</v>
      </c>
      <c r="H452" s="9" t="str">
        <f>_xll.BDP($D452,H$40)</f>
        <v>#N/A Field Not Applicable</v>
      </c>
      <c r="L452" s="9">
        <f t="shared" si="53"/>
        <v>13.12</v>
      </c>
    </row>
    <row r="453" spans="1:12" x14ac:dyDescent="0.2">
      <c r="A453" t="s">
        <v>16</v>
      </c>
      <c r="B453" t="str">
        <f>LEFT(D453,FIND(" ",D453)-1)</f>
        <v>SANM</v>
      </c>
      <c r="C453" s="16" t="str">
        <f>IF(A453="STOCK",B453,REPLACE(B453,FIND("+",B453),1,"."))</f>
        <v>SANM</v>
      </c>
      <c r="D453" t="s">
        <v>475</v>
      </c>
      <c r="E453">
        <f>_xll.BDP($D453,E$40)</f>
        <v>18.739999999999998</v>
      </c>
      <c r="F453">
        <f>_xll.BDP($D453,F$40)</f>
        <v>18.72</v>
      </c>
      <c r="G453">
        <f>_xll.BDP($D453,G$40)</f>
        <v>18.739999999999998</v>
      </c>
      <c r="H453" s="9" t="str">
        <f>_xll.BDP($D453,H$40)</f>
        <v>#N/A Field Not Applicable</v>
      </c>
      <c r="L453" s="9">
        <f t="shared" si="53"/>
        <v>18.739999999999998</v>
      </c>
    </row>
    <row r="454" spans="1:12" x14ac:dyDescent="0.2">
      <c r="A454" t="s">
        <v>16</v>
      </c>
      <c r="B454" t="str">
        <f>LEFT(D454,FIND(" ",D454)-1)</f>
        <v>DKS</v>
      </c>
      <c r="C454" s="16" t="str">
        <f>IF(A454="STOCK",B454,REPLACE(B454,FIND("+",B454),1,"."))</f>
        <v>DKS</v>
      </c>
      <c r="D454" t="s">
        <v>159</v>
      </c>
      <c r="E454">
        <f>_xll.BDP($D454,E$40)</f>
        <v>21.19</v>
      </c>
      <c r="F454">
        <f>_xll.BDP($D454,F$40)</f>
        <v>21.19</v>
      </c>
      <c r="G454">
        <f>_xll.BDP($D454,G$40)</f>
        <v>21.2</v>
      </c>
      <c r="H454" s="9" t="str">
        <f>_xll.BDP($D454,H$40)</f>
        <v>#N/A Field Not Applicable</v>
      </c>
      <c r="L454" s="9">
        <f t="shared" si="53"/>
        <v>21.19</v>
      </c>
    </row>
    <row r="455" spans="1:12" x14ac:dyDescent="0.2">
      <c r="A455" t="s">
        <v>16</v>
      </c>
      <c r="B455" s="23" t="s">
        <v>866</v>
      </c>
      <c r="C455" s="17" t="s">
        <v>866</v>
      </c>
      <c r="D455" s="22" t="s">
        <v>159</v>
      </c>
      <c r="E455" s="21">
        <f>_xll.BDP($D455,E$40)</f>
        <v>21.19</v>
      </c>
      <c r="F455">
        <f>_xll.BDP($D455,F$40)</f>
        <v>21.19</v>
      </c>
      <c r="G455">
        <f>_xll.BDP($D455,G$40)</f>
        <v>21.2</v>
      </c>
      <c r="H455" s="9" t="str">
        <f>_xll.BDP($D455,H$40)</f>
        <v>#N/A Field Not Applicable</v>
      </c>
      <c r="L455" s="9">
        <f t="shared" si="53"/>
        <v>21.19</v>
      </c>
    </row>
    <row r="456" spans="1:12" x14ac:dyDescent="0.2">
      <c r="A456" t="s">
        <v>16</v>
      </c>
      <c r="B456" t="str">
        <f>LEFT(D456,FIND(" ",D456)-1)</f>
        <v>ARII</v>
      </c>
      <c r="C456" s="16" t="str">
        <f>IF(A456="STOCK",B456,REPLACE(B456,FIND("+",B456),1,"."))</f>
        <v>ARII</v>
      </c>
      <c r="D456" t="s">
        <v>498</v>
      </c>
      <c r="E456" t="str">
        <f>_xll.BDP($D456,E$40)</f>
        <v>#N/A N/A</v>
      </c>
      <c r="F456" t="str">
        <f>_xll.BDP($D456,F$40)</f>
        <v>#N/A N/A</v>
      </c>
      <c r="G456" t="str">
        <f>_xll.BDP($D456,G$40)</f>
        <v>#N/A N/A</v>
      </c>
      <c r="H456" s="9" t="str">
        <f>_xll.BDP($D456,H$40)</f>
        <v>#N/A Field Not Applicable</v>
      </c>
      <c r="L456" s="9" t="str">
        <f t="shared" si="53"/>
        <v>#N/A N/A</v>
      </c>
    </row>
    <row r="457" spans="1:12" x14ac:dyDescent="0.2">
      <c r="A457" t="s">
        <v>16</v>
      </c>
      <c r="B457" t="str">
        <f>LEFT(D457,FIND(" ",D457)-1)</f>
        <v>CDNS</v>
      </c>
      <c r="C457" s="16" t="str">
        <f>IF(A457="STOCK",B457,REPLACE(B457,FIND("+",B457),1,"."))</f>
        <v>CDNS</v>
      </c>
      <c r="D457" t="s">
        <v>115</v>
      </c>
      <c r="E457">
        <f>_xll.BDP($D457,E$40)</f>
        <v>54.6</v>
      </c>
      <c r="F457">
        <f>_xll.BDP($D457,F$40)</f>
        <v>54.59</v>
      </c>
      <c r="G457">
        <f>_xll.BDP($D457,G$40)</f>
        <v>54.6</v>
      </c>
      <c r="H457" s="9" t="str">
        <f>_xll.BDP($D457,H$40)</f>
        <v>#N/A Field Not Applicable</v>
      </c>
      <c r="L457" s="9">
        <f t="shared" si="53"/>
        <v>54.6</v>
      </c>
    </row>
    <row r="458" spans="1:12" x14ac:dyDescent="0.2">
      <c r="A458" t="s">
        <v>16</v>
      </c>
      <c r="B458" t="str">
        <f>LEFT(D458,FIND(" ",D458)-1)</f>
        <v>BHLB</v>
      </c>
      <c r="C458" s="16" t="str">
        <f>IF(A458="STOCK",B458,REPLACE(B458,FIND("+",B458),1,"."))</f>
        <v>BHLB</v>
      </c>
      <c r="D458" t="s">
        <v>94</v>
      </c>
      <c r="E458">
        <f>_xll.BDP($D458,E$40)</f>
        <v>15.69</v>
      </c>
      <c r="F458">
        <f>_xll.BDP($D458,F$40)</f>
        <v>15.68</v>
      </c>
      <c r="G458">
        <f>_xll.BDP($D458,G$40)</f>
        <v>15.69</v>
      </c>
      <c r="H458" s="9" t="str">
        <f>_xll.BDP($D458,H$40)</f>
        <v>#N/A Field Not Applicable</v>
      </c>
      <c r="L458" s="9">
        <f t="shared" si="53"/>
        <v>15.69</v>
      </c>
    </row>
    <row r="459" spans="1:12" x14ac:dyDescent="0.2">
      <c r="A459" t="s">
        <v>16</v>
      </c>
      <c r="B459" t="s">
        <v>595</v>
      </c>
      <c r="C459" s="16" t="s">
        <v>595</v>
      </c>
      <c r="D459" t="s">
        <v>596</v>
      </c>
      <c r="E459">
        <f>_xll.BDP($D459,E$40)</f>
        <v>19.55</v>
      </c>
      <c r="F459">
        <f>_xll.BDP($D459,F$40)</f>
        <v>19.739999999999998</v>
      </c>
      <c r="G459">
        <f>_xll.BDP($D459,G$40)</f>
        <v>19.96</v>
      </c>
      <c r="H459" s="9" t="str">
        <f>_xll.BDP($D459,H$40)</f>
        <v>#N/A Field Not Applicable</v>
      </c>
      <c r="L459" s="9">
        <f t="shared" si="53"/>
        <v>19.55</v>
      </c>
    </row>
    <row r="460" spans="1:12" x14ac:dyDescent="0.2">
      <c r="A460" t="s">
        <v>16</v>
      </c>
      <c r="B460" t="s">
        <v>670</v>
      </c>
      <c r="C460" s="16" t="s">
        <v>670</v>
      </c>
      <c r="D460" t="s">
        <v>671</v>
      </c>
      <c r="E460">
        <f>_xll.BDP($D460,E$40)</f>
        <v>42.41</v>
      </c>
      <c r="F460">
        <f>_xll.BDP($D460,F$40)</f>
        <v>42.33</v>
      </c>
      <c r="G460">
        <f>_xll.BDP($D460,G$40)</f>
        <v>42.41</v>
      </c>
      <c r="H460" s="9" t="str">
        <f>_xll.BDP($D460,H$40)</f>
        <v>#N/A Field Not Applicable</v>
      </c>
      <c r="L460" s="9">
        <f t="shared" si="53"/>
        <v>42.41</v>
      </c>
    </row>
    <row r="461" spans="1:12" x14ac:dyDescent="0.2">
      <c r="A461" t="s">
        <v>16</v>
      </c>
      <c r="B461" t="s">
        <v>638</v>
      </c>
      <c r="C461" s="16" t="s">
        <v>638</v>
      </c>
      <c r="D461" t="s">
        <v>639</v>
      </c>
      <c r="E461">
        <f>_xll.BDP($D461,E$40)</f>
        <v>7.02</v>
      </c>
      <c r="F461">
        <f>_xll.BDP($D461,F$40)</f>
        <v>7.02</v>
      </c>
      <c r="G461">
        <f>_xll.BDP($D461,G$40)</f>
        <v>7.03</v>
      </c>
      <c r="H461" s="9" t="str">
        <f>_xll.BDP($D461,H$40)</f>
        <v>#N/A Field Not Applicable</v>
      </c>
      <c r="L461" s="9">
        <f t="shared" si="53"/>
        <v>7.02</v>
      </c>
    </row>
    <row r="462" spans="1:12" x14ac:dyDescent="0.2">
      <c r="A462" t="s">
        <v>16</v>
      </c>
      <c r="B462" s="23" t="s">
        <v>963</v>
      </c>
      <c r="C462" s="17" t="s">
        <v>963</v>
      </c>
      <c r="D462" s="22" t="s">
        <v>964</v>
      </c>
      <c r="E462" s="21">
        <f>_xll.BDP($D462,E$40)</f>
        <v>29.84</v>
      </c>
      <c r="F462">
        <f>_xll.BDP($D462,F$40)</f>
        <v>29.83</v>
      </c>
      <c r="G462">
        <f>_xll.BDP($D462,G$40)</f>
        <v>29.84</v>
      </c>
      <c r="H462" s="9" t="str">
        <f>_xll.BDP($D462,H$40)</f>
        <v>#N/A Field Not Applicable</v>
      </c>
      <c r="L462" s="9">
        <f t="shared" si="53"/>
        <v>29.84</v>
      </c>
    </row>
    <row r="463" spans="1:12" x14ac:dyDescent="0.2">
      <c r="A463" t="s">
        <v>16</v>
      </c>
      <c r="B463" s="23" t="s">
        <v>983</v>
      </c>
      <c r="C463" s="17" t="s">
        <v>983</v>
      </c>
      <c r="D463" s="22" t="s">
        <v>984</v>
      </c>
      <c r="E463" s="21">
        <f>_xll.BDP($D463,E$40)</f>
        <v>70.400000000000006</v>
      </c>
      <c r="F463">
        <f>_xll.BDP($D463,F$40)</f>
        <v>70.569999999999993</v>
      </c>
      <c r="G463">
        <f>_xll.BDP($D463,G$40)</f>
        <v>70.58</v>
      </c>
      <c r="H463" s="9" t="str">
        <f>_xll.BDP($D463,H$40)</f>
        <v>#N/A Field Not Applicable</v>
      </c>
      <c r="L463" s="9">
        <f t="shared" si="53"/>
        <v>70.400000000000006</v>
      </c>
    </row>
    <row r="464" spans="1:12" x14ac:dyDescent="0.2">
      <c r="A464" t="s">
        <v>16</v>
      </c>
      <c r="B464" t="s">
        <v>568</v>
      </c>
      <c r="C464" s="16" t="s">
        <v>568</v>
      </c>
      <c r="D464" t="s">
        <v>569</v>
      </c>
      <c r="E464">
        <f>_xll.BDP($D464,E$40)</f>
        <v>35.14</v>
      </c>
      <c r="F464">
        <f>_xll.BDP($D464,F$40)</f>
        <v>35.130000000000003</v>
      </c>
      <c r="G464">
        <f>_xll.BDP($D464,G$40)</f>
        <v>35.15</v>
      </c>
      <c r="H464" s="9" t="str">
        <f>_xll.BDP($D464,H$40)</f>
        <v>#N/A Field Not Applicable</v>
      </c>
      <c r="L464" s="9">
        <f t="shared" si="53"/>
        <v>35.14</v>
      </c>
    </row>
    <row r="465" spans="1:12" x14ac:dyDescent="0.2">
      <c r="A465" t="s">
        <v>16</v>
      </c>
      <c r="B465" t="str">
        <f>LEFT(D465,FIND(" ",D465)-1)</f>
        <v>UFS</v>
      </c>
      <c r="C465" s="16" t="str">
        <f>IF(A465="STOCK",B465,REPLACE(B465,FIND("+",B465),1,"."))</f>
        <v>UFS</v>
      </c>
      <c r="D465" t="s">
        <v>483</v>
      </c>
      <c r="E465">
        <f>_xll.BDP($D465,E$40)</f>
        <v>24.85</v>
      </c>
      <c r="F465">
        <f>_xll.BDP($D465,F$40)</f>
        <v>24.84</v>
      </c>
      <c r="G465">
        <f>_xll.BDP($D465,G$40)</f>
        <v>24.85</v>
      </c>
      <c r="H465" s="9" t="str">
        <f>_xll.BDP($D465,H$40)</f>
        <v>#N/A Field Not Applicable</v>
      </c>
      <c r="L465" s="9">
        <f t="shared" si="53"/>
        <v>24.85</v>
      </c>
    </row>
    <row r="466" spans="1:12" x14ac:dyDescent="0.2">
      <c r="A466" t="s">
        <v>16</v>
      </c>
      <c r="B466" t="s">
        <v>636</v>
      </c>
      <c r="C466" s="16" t="s">
        <v>636</v>
      </c>
      <c r="D466" t="s">
        <v>483</v>
      </c>
      <c r="E466">
        <f>_xll.BDP($D466,E$40)</f>
        <v>24.85</v>
      </c>
      <c r="F466">
        <f>_xll.BDP($D466,F$40)</f>
        <v>24.84</v>
      </c>
      <c r="G466">
        <f>_xll.BDP($D466,G$40)</f>
        <v>24.85</v>
      </c>
      <c r="H466" s="9" t="str">
        <f>_xll.BDP($D466,H$40)</f>
        <v>#N/A Field Not Applicable</v>
      </c>
      <c r="L466" s="9">
        <f t="shared" si="53"/>
        <v>24.85</v>
      </c>
    </row>
    <row r="467" spans="1:12" x14ac:dyDescent="0.2">
      <c r="A467" t="s">
        <v>16</v>
      </c>
      <c r="B467" s="23" t="s">
        <v>777</v>
      </c>
      <c r="C467" s="17" t="s">
        <v>777</v>
      </c>
      <c r="D467" s="22" t="s">
        <v>778</v>
      </c>
      <c r="E467" s="21">
        <f>_xll.BDP($D467,E$40)</f>
        <v>15.04</v>
      </c>
      <c r="F467">
        <f>_xll.BDP($D467,F$40)</f>
        <v>15.04</v>
      </c>
      <c r="G467">
        <f>_xll.BDP($D467,G$40)</f>
        <v>15.05</v>
      </c>
      <c r="H467" s="9" t="str">
        <f>_xll.BDP($D467,H$40)</f>
        <v>#N/A Field Not Applicable</v>
      </c>
      <c r="L467" s="9">
        <f t="shared" si="53"/>
        <v>15.04</v>
      </c>
    </row>
    <row r="468" spans="1:12" x14ac:dyDescent="0.2">
      <c r="A468" t="s">
        <v>16</v>
      </c>
      <c r="B468" t="str">
        <f>LEFT(D468,FIND(" ",D468)-1)</f>
        <v>TRIP</v>
      </c>
      <c r="C468" s="16" t="str">
        <f>IF(A468="STOCK",B468,REPLACE(B468,FIND("+",B468),1,"."))</f>
        <v>TRIP</v>
      </c>
      <c r="D468" t="s">
        <v>493</v>
      </c>
      <c r="E468">
        <f>_xll.BDP($D468,E$40)</f>
        <v>16.809999999999999</v>
      </c>
      <c r="F468">
        <f>_xll.BDP($D468,F$40)</f>
        <v>16.79</v>
      </c>
      <c r="G468">
        <f>_xll.BDP($D468,G$40)</f>
        <v>16.8</v>
      </c>
      <c r="H468" s="9" t="str">
        <f>_xll.BDP($D468,H$40)</f>
        <v>#N/A Field Not Applicable</v>
      </c>
      <c r="L468" s="9">
        <f t="shared" si="53"/>
        <v>16.809999999999999</v>
      </c>
    </row>
    <row r="469" spans="1:12" x14ac:dyDescent="0.2">
      <c r="A469" t="s">
        <v>16</v>
      </c>
      <c r="B469" t="str">
        <f>LEFT(D469,FIND(" ",D469)-1)</f>
        <v>TEX</v>
      </c>
      <c r="C469" s="16" t="s">
        <v>344</v>
      </c>
      <c r="D469" s="9" t="s">
        <v>345</v>
      </c>
      <c r="E469">
        <f>_xll.BDP($D469,E$40)</f>
        <v>14.34</v>
      </c>
      <c r="F469">
        <f>_xll.BDP($D469,F$40)</f>
        <v>14.33</v>
      </c>
      <c r="G469">
        <f>_xll.BDP($D469,G$40)</f>
        <v>14.34</v>
      </c>
      <c r="H469" s="9" t="str">
        <f>_xll.BDP($D469,H$40)</f>
        <v>#N/A Field Not Applicable</v>
      </c>
      <c r="L469" s="9">
        <f t="shared" si="53"/>
        <v>14.34</v>
      </c>
    </row>
    <row r="470" spans="1:12" x14ac:dyDescent="0.2">
      <c r="A470" t="s">
        <v>16</v>
      </c>
      <c r="B470" s="23" t="s">
        <v>344</v>
      </c>
      <c r="C470" s="17" t="s">
        <v>344</v>
      </c>
      <c r="D470" s="22" t="s">
        <v>345</v>
      </c>
      <c r="E470" s="21">
        <f>_xll.BDP($D470,E$40)</f>
        <v>14.34</v>
      </c>
      <c r="F470">
        <f>_xll.BDP($D470,F$40)</f>
        <v>14.33</v>
      </c>
      <c r="G470">
        <f>_xll.BDP($D470,G$40)</f>
        <v>14.34</v>
      </c>
      <c r="H470" s="9" t="str">
        <f>_xll.BDP($D470,H$40)</f>
        <v>#N/A Field Not Applicable</v>
      </c>
      <c r="L470" s="9">
        <f t="shared" si="53"/>
        <v>14.34</v>
      </c>
    </row>
    <row r="471" spans="1:12" x14ac:dyDescent="0.2">
      <c r="A471" t="s">
        <v>16</v>
      </c>
      <c r="B471" t="str">
        <f>LEFT(D471,FIND(" ",D471)-1)</f>
        <v>AVT</v>
      </c>
      <c r="C471" s="16" t="str">
        <f>IF(A471="STOCK",B471,REPLACE(B471,FIND("+",B471),1,"."))</f>
        <v>AVT</v>
      </c>
      <c r="D471" t="s">
        <v>82</v>
      </c>
      <c r="E471">
        <f>_xll.BDP($D471,E$40)</f>
        <v>23.56</v>
      </c>
      <c r="F471">
        <f>_xll.BDP($D471,F$40)</f>
        <v>23.54</v>
      </c>
      <c r="G471">
        <f>_xll.BDP($D471,G$40)</f>
        <v>23.55</v>
      </c>
      <c r="H471" s="9" t="str">
        <f>_xll.BDP($D471,H$40)</f>
        <v>#N/A Field Not Applicable</v>
      </c>
      <c r="L471" s="9">
        <f t="shared" si="53"/>
        <v>23.56</v>
      </c>
    </row>
    <row r="472" spans="1:12" x14ac:dyDescent="0.2">
      <c r="A472" t="s">
        <v>16</v>
      </c>
      <c r="B472" s="5" t="s">
        <v>713</v>
      </c>
      <c r="C472" s="16" t="s">
        <v>713</v>
      </c>
      <c r="D472" t="s">
        <v>714</v>
      </c>
      <c r="E472" s="21">
        <f>_xll.BDP($D472,E$40)</f>
        <v>50.63</v>
      </c>
      <c r="F472">
        <f>_xll.BDP($D472,F$40)</f>
        <v>50.62</v>
      </c>
      <c r="G472">
        <f>_xll.BDP($D472,G$40)</f>
        <v>50.63</v>
      </c>
      <c r="H472" s="9" t="str">
        <f>_xll.BDP($D472,H$40)</f>
        <v>#N/A Field Not Applicable</v>
      </c>
      <c r="L472" s="9">
        <f t="shared" si="53"/>
        <v>50.63</v>
      </c>
    </row>
    <row r="473" spans="1:12" x14ac:dyDescent="0.2">
      <c r="A473" t="s">
        <v>16</v>
      </c>
      <c r="B473" t="str">
        <f>LEFT(D473,FIND(" ",D473)-1)</f>
        <v>PRAA</v>
      </c>
      <c r="C473" s="16" t="str">
        <f>IF(A473="STOCK",B473,REPLACE(B473,FIND("+",B473),1,"."))</f>
        <v>PRAA</v>
      </c>
      <c r="D473" t="s">
        <v>301</v>
      </c>
      <c r="E473">
        <f>_xll.BDP($D473,E$40)</f>
        <v>29.62</v>
      </c>
      <c r="F473">
        <f>_xll.BDP($D473,F$40)</f>
        <v>29.57</v>
      </c>
      <c r="G473">
        <f>_xll.BDP($D473,G$40)</f>
        <v>29.62</v>
      </c>
      <c r="H473" s="9" t="str">
        <f>_xll.BDP($D473,H$40)</f>
        <v>#N/A Field Not Applicable</v>
      </c>
      <c r="L473" s="9">
        <f t="shared" si="53"/>
        <v>29.62</v>
      </c>
    </row>
    <row r="474" spans="1:12" x14ac:dyDescent="0.2">
      <c r="A474" s="9" t="s">
        <v>16</v>
      </c>
      <c r="B474" t="str">
        <f>LEFT(D474,FIND(" ",D474)-1)</f>
        <v>CRMT</v>
      </c>
      <c r="C474" s="16" t="str">
        <f>IF(A474="STOCK",B474,REPLACE(B474,FIND("+",B474),1,"."))</f>
        <v>CRMT</v>
      </c>
      <c r="D474" t="s">
        <v>138</v>
      </c>
      <c r="E474">
        <f>_xll.BDP($D474,E$40)</f>
        <v>65.52</v>
      </c>
      <c r="F474">
        <f>_xll.BDP($D474,F$40)</f>
        <v>65.52</v>
      </c>
      <c r="G474">
        <f>_xll.BDP($D474,G$40)</f>
        <v>66</v>
      </c>
      <c r="H474" s="9" t="str">
        <f>_xll.BDP($D474,H$40)</f>
        <v>#N/A Field Not Applicable</v>
      </c>
      <c r="L474" s="9">
        <f t="shared" si="53"/>
        <v>65.52</v>
      </c>
    </row>
    <row r="475" spans="1:12" x14ac:dyDescent="0.2">
      <c r="A475" t="s">
        <v>16</v>
      </c>
      <c r="B475" s="23" t="s">
        <v>965</v>
      </c>
      <c r="C475" s="17" t="s">
        <v>965</v>
      </c>
      <c r="D475" s="22" t="s">
        <v>966</v>
      </c>
      <c r="E475" s="21">
        <f>_xll.BDP($D475,E$40)</f>
        <v>3.16</v>
      </c>
      <c r="F475">
        <f>_xll.BDP($D475,F$40)</f>
        <v>3.15</v>
      </c>
      <c r="G475">
        <f>_xll.BDP($D475,G$40)</f>
        <v>3.16</v>
      </c>
      <c r="H475" s="9" t="str">
        <f>_xll.BDP($D475,H$40)</f>
        <v>#N/A Field Not Applicable</v>
      </c>
      <c r="L475" s="9">
        <f t="shared" si="53"/>
        <v>3.16</v>
      </c>
    </row>
    <row r="476" spans="1:12" x14ac:dyDescent="0.2">
      <c r="A476" t="s">
        <v>16</v>
      </c>
      <c r="B476" t="str">
        <f>LEFT(D476,FIND(" ",D476)-1)</f>
        <v>T</v>
      </c>
      <c r="C476" s="16" t="str">
        <f>IF(A476="STOCK",B476,REPLACE(B476,FIND("+",B476),1,"."))</f>
        <v>T</v>
      </c>
      <c r="D476" t="s">
        <v>339</v>
      </c>
      <c r="E476">
        <f>_xll.BDP($D476,E$40)</f>
        <v>31.81</v>
      </c>
      <c r="F476">
        <f>_xll.BDP($D476,F$40)</f>
        <v>31.8</v>
      </c>
      <c r="G476">
        <f>_xll.BDP($D476,G$40)</f>
        <v>31.81</v>
      </c>
      <c r="H476" s="9" t="str">
        <f>_xll.BDP($D476,H$40)</f>
        <v>#N/A Field Not Applicable</v>
      </c>
      <c r="L476" s="9">
        <f t="shared" si="53"/>
        <v>31.81</v>
      </c>
    </row>
    <row r="477" spans="1:12" x14ac:dyDescent="0.2">
      <c r="A477" t="s">
        <v>16</v>
      </c>
      <c r="B477" t="s">
        <v>617</v>
      </c>
      <c r="C477" s="16" t="s">
        <v>617</v>
      </c>
      <c r="D477" t="s">
        <v>339</v>
      </c>
      <c r="E477">
        <f>_xll.BDP($D477,E$40)</f>
        <v>31.81</v>
      </c>
      <c r="F477">
        <f>_xll.BDP($D477,F$40)</f>
        <v>31.8</v>
      </c>
      <c r="G477">
        <f>_xll.BDP($D477,G$40)</f>
        <v>31.81</v>
      </c>
      <c r="H477" s="9" t="str">
        <f>_xll.BDP($D477,H$40)</f>
        <v>#N/A Field Not Applicable</v>
      </c>
      <c r="L477" s="9">
        <f t="shared" si="53"/>
        <v>31.81</v>
      </c>
    </row>
    <row r="478" spans="1:12" x14ac:dyDescent="0.2">
      <c r="A478" t="s">
        <v>16</v>
      </c>
      <c r="B478" t="str">
        <f>LEFT(D478,FIND(" ",D478)-1)</f>
        <v>CMCSA</v>
      </c>
      <c r="C478" s="16" t="str">
        <f>IF(A478="STOCK",B478,REPLACE(B478,FIND("+",B478),1,"."))</f>
        <v>CMCSA</v>
      </c>
      <c r="D478" t="s">
        <v>127</v>
      </c>
      <c r="E478">
        <f>_xll.BDP($D478,E$40)</f>
        <v>36.04</v>
      </c>
      <c r="F478">
        <f>_xll.BDP($D478,F$40)</f>
        <v>36.020000000000003</v>
      </c>
      <c r="G478">
        <f>_xll.BDP($D478,G$40)</f>
        <v>36.03</v>
      </c>
      <c r="H478" s="9" t="str">
        <f>_xll.BDP($D478,H$40)</f>
        <v>#N/A Field Not Applicable</v>
      </c>
      <c r="L478" s="9">
        <f t="shared" si="53"/>
        <v>36.04</v>
      </c>
    </row>
    <row r="479" spans="1:12" x14ac:dyDescent="0.2">
      <c r="A479" t="s">
        <v>16</v>
      </c>
      <c r="B479" t="str">
        <f>LEFT(D479,FIND(" ",D479)-1)</f>
        <v>ECPG</v>
      </c>
      <c r="C479" s="16" t="str">
        <f>IF(A479="STOCK",B479,REPLACE(B479,FIND("+",B479),1,"."))</f>
        <v>ECPG</v>
      </c>
      <c r="D479" t="s">
        <v>165</v>
      </c>
      <c r="E479">
        <f>_xll.BDP($D479,E$40)</f>
        <v>34.5</v>
      </c>
      <c r="F479">
        <f>_xll.BDP($D479,F$40)</f>
        <v>34.520000000000003</v>
      </c>
      <c r="G479">
        <f>_xll.BDP($D479,G$40)</f>
        <v>34.58</v>
      </c>
      <c r="H479" s="9" t="str">
        <f>_xll.BDP($D479,H$40)</f>
        <v>#N/A Field Not Applicable</v>
      </c>
      <c r="L479" s="9">
        <f t="shared" si="53"/>
        <v>34.5</v>
      </c>
    </row>
    <row r="480" spans="1:12" x14ac:dyDescent="0.2">
      <c r="A480" t="s">
        <v>16</v>
      </c>
      <c r="B480" s="23" t="s">
        <v>744</v>
      </c>
      <c r="C480" s="17" t="s">
        <v>744</v>
      </c>
      <c r="D480" s="22" t="s">
        <v>745</v>
      </c>
      <c r="E480" s="21">
        <f>_xll.BDP($D480,E$40)</f>
        <v>27.23</v>
      </c>
      <c r="F480">
        <f>_xll.BDP($D480,F$40)</f>
        <v>27.22</v>
      </c>
      <c r="G480">
        <f>_xll.BDP($D480,G$40)</f>
        <v>27.23</v>
      </c>
      <c r="H480" s="9" t="str">
        <f>_xll.BDP($D480,H$40)</f>
        <v>#N/A Field Not Applicable</v>
      </c>
      <c r="L480" s="9">
        <f t="shared" si="53"/>
        <v>27.23</v>
      </c>
    </row>
    <row r="481" spans="1:12" x14ac:dyDescent="0.2">
      <c r="A481" t="s">
        <v>16</v>
      </c>
      <c r="B481" t="str">
        <f>LEFT(D481,FIND(" ",D481)-1)</f>
        <v>ETFC</v>
      </c>
      <c r="C481" s="16" t="str">
        <f>IF(A481="STOCK",B481,REPLACE(B481,FIND("+",B481),1,"."))</f>
        <v>ETFC</v>
      </c>
      <c r="D481" t="s">
        <v>173</v>
      </c>
      <c r="E481">
        <f>_xll.BDP($D481,E$40)</f>
        <v>29.5</v>
      </c>
      <c r="F481">
        <f>_xll.BDP($D481,F$40)</f>
        <v>29.53</v>
      </c>
      <c r="G481">
        <f>_xll.BDP($D481,G$40)</f>
        <v>29.56</v>
      </c>
      <c r="H481" s="9" t="str">
        <f>_xll.BDP($D481,H$40)</f>
        <v>#N/A Field Not Applicable</v>
      </c>
      <c r="L481" s="9">
        <f t="shared" si="53"/>
        <v>29.5</v>
      </c>
    </row>
    <row r="482" spans="1:12" x14ac:dyDescent="0.2">
      <c r="A482" t="s">
        <v>16</v>
      </c>
      <c r="B482" s="23" t="s">
        <v>879</v>
      </c>
      <c r="C482" s="17" t="s">
        <v>879</v>
      </c>
      <c r="D482" s="22" t="s">
        <v>173</v>
      </c>
      <c r="E482" s="21">
        <f>_xll.BDP($D482,E$40)</f>
        <v>29.5</v>
      </c>
      <c r="F482">
        <f>_xll.BDP($D482,F$40)</f>
        <v>29.53</v>
      </c>
      <c r="G482">
        <f>_xll.BDP($D482,G$40)</f>
        <v>29.56</v>
      </c>
      <c r="H482" s="9" t="str">
        <f>_xll.BDP($D482,H$40)</f>
        <v>#N/A Field Not Applicable</v>
      </c>
      <c r="L482" s="9">
        <f t="shared" si="53"/>
        <v>29.5</v>
      </c>
    </row>
    <row r="483" spans="1:12" x14ac:dyDescent="0.2">
      <c r="A483" t="s">
        <v>16</v>
      </c>
      <c r="B483" s="23" t="s">
        <v>738</v>
      </c>
      <c r="C483" s="17" t="s">
        <v>738</v>
      </c>
      <c r="D483" s="22" t="s">
        <v>739</v>
      </c>
      <c r="E483" s="21">
        <f>_xll.BDP($D483,E$40)</f>
        <v>26.49</v>
      </c>
      <c r="F483">
        <f>_xll.BDP($D483,F$40)</f>
        <v>26.46</v>
      </c>
      <c r="G483">
        <f>_xll.BDP($D483,G$40)</f>
        <v>26.49</v>
      </c>
      <c r="H483" s="9" t="str">
        <f>_xll.BDP($D483,H$40)</f>
        <v>#N/A Field Not Applicable</v>
      </c>
      <c r="L483" s="9">
        <f t="shared" si="53"/>
        <v>26.49</v>
      </c>
    </row>
    <row r="484" spans="1:12" x14ac:dyDescent="0.2">
      <c r="A484" t="s">
        <v>16</v>
      </c>
      <c r="B484" t="str">
        <f>LEFT(D484,FIND(" ",D484)-1)</f>
        <v>HA</v>
      </c>
      <c r="C484" s="16" t="str">
        <f>IF(A484="STOCK",B484,REPLACE(B484,FIND("+",B484),1,"."))</f>
        <v>HA</v>
      </c>
      <c r="D484" t="s">
        <v>204</v>
      </c>
      <c r="E484">
        <f>_xll.BDP($D484,E$40)</f>
        <v>13.16</v>
      </c>
      <c r="F484">
        <f>_xll.BDP($D484,F$40)</f>
        <v>13.16</v>
      </c>
      <c r="G484">
        <f>_xll.BDP($D484,G$40)</f>
        <v>13.21</v>
      </c>
      <c r="H484" s="9" t="str">
        <f>_xll.BDP($D484,H$40)</f>
        <v>#N/A Field Not Applicable</v>
      </c>
      <c r="L484" s="9">
        <f t="shared" si="53"/>
        <v>13.16</v>
      </c>
    </row>
    <row r="485" spans="1:12" x14ac:dyDescent="0.2">
      <c r="A485" t="s">
        <v>16</v>
      </c>
      <c r="B485" t="str">
        <f>LEFT(D485,FIND(" ",D485)-1)</f>
        <v>HA</v>
      </c>
      <c r="C485" s="16" t="str">
        <f>IF(A485="STOCK",B485,REPLACE(B485,FIND("+",B485),1,"."))</f>
        <v>HA</v>
      </c>
      <c r="D485" t="s">
        <v>204</v>
      </c>
      <c r="E485">
        <f>_xll.BDP($D485,E$40)</f>
        <v>13.16</v>
      </c>
      <c r="F485">
        <f>_xll.BDP($D485,F$40)</f>
        <v>13.16</v>
      </c>
      <c r="G485">
        <f>_xll.BDP($D485,G$40)</f>
        <v>13.21</v>
      </c>
      <c r="H485" s="9" t="str">
        <f>_xll.BDP($D485,H$40)</f>
        <v>#N/A Field Not Applicable</v>
      </c>
      <c r="L485" s="9">
        <f t="shared" si="53"/>
        <v>13.16</v>
      </c>
    </row>
    <row r="486" spans="1:12" x14ac:dyDescent="0.2">
      <c r="A486" t="s">
        <v>16</v>
      </c>
      <c r="B486" t="str">
        <f>LEFT(D486,FIND(" ",D486)-1)</f>
        <v>KSS</v>
      </c>
      <c r="C486" s="16" t="str">
        <f>IF(A486="STOCK",B486,REPLACE(B486,FIND("+",B486),1,"."))</f>
        <v>KSS</v>
      </c>
      <c r="D486" t="s">
        <v>239</v>
      </c>
      <c r="E486">
        <f>_xll.BDP($D486,E$40)</f>
        <v>19.71</v>
      </c>
      <c r="F486">
        <f>_xll.BDP($D486,F$40)</f>
        <v>19.7</v>
      </c>
      <c r="G486">
        <f>_xll.BDP($D486,G$40)</f>
        <v>19.71</v>
      </c>
      <c r="H486" s="9" t="str">
        <f>_xll.BDP($D486,H$40)</f>
        <v>#N/A Field Not Applicable</v>
      </c>
      <c r="L486" s="9">
        <f t="shared" si="53"/>
        <v>19.71</v>
      </c>
    </row>
    <row r="487" spans="1:12" x14ac:dyDescent="0.2">
      <c r="A487" t="s">
        <v>16</v>
      </c>
      <c r="B487" t="str">
        <f>LEFT(D487,FIND(" ",D487)-1)</f>
        <v>CSGS</v>
      </c>
      <c r="C487" s="16" t="str">
        <f>IF(A487="STOCK",B487,REPLACE(B487,FIND("+",B487),1,"."))</f>
        <v>CSGS</v>
      </c>
      <c r="D487" t="s">
        <v>141</v>
      </c>
      <c r="E487">
        <f>_xll.BDP($D487,E$40)</f>
        <v>40.32</v>
      </c>
      <c r="F487">
        <f>_xll.BDP($D487,F$40)</f>
        <v>40.31</v>
      </c>
      <c r="G487">
        <f>_xll.BDP($D487,G$40)</f>
        <v>40.369999999999997</v>
      </c>
      <c r="H487" s="9" t="str">
        <f>_xll.BDP($D487,H$40)</f>
        <v>#N/A Field Not Applicable</v>
      </c>
      <c r="L487" s="9">
        <f t="shared" si="53"/>
        <v>40.32</v>
      </c>
    </row>
    <row r="488" spans="1:12" x14ac:dyDescent="0.2">
      <c r="A488" t="s">
        <v>16</v>
      </c>
      <c r="B488" t="str">
        <f>LEFT(D488,FIND(" ",D488)-1)</f>
        <v>HURN</v>
      </c>
      <c r="C488" s="16" t="str">
        <f>IF(A488="STOCK",B488,REPLACE(B488,FIND("+",B488),1,"."))</f>
        <v>HURN</v>
      </c>
      <c r="D488" s="9" t="s">
        <v>214</v>
      </c>
      <c r="E488">
        <f>_xll.BDP($D488,E$40)</f>
        <v>40.909999999999997</v>
      </c>
      <c r="F488">
        <f>_xll.BDP($D488,F$40)</f>
        <v>40.6</v>
      </c>
      <c r="G488">
        <f>_xll.BDP($D488,G$40)</f>
        <v>40.909999999999997</v>
      </c>
      <c r="H488" s="9" t="str">
        <f>_xll.BDP($D488,H$40)</f>
        <v>#N/A Field Not Applicable</v>
      </c>
      <c r="L488" s="9">
        <f t="shared" si="53"/>
        <v>40.909999999999997</v>
      </c>
    </row>
    <row r="489" spans="1:12" x14ac:dyDescent="0.2">
      <c r="A489" t="s">
        <v>16</v>
      </c>
      <c r="B489" s="23" t="s">
        <v>981</v>
      </c>
      <c r="C489" s="17" t="s">
        <v>981</v>
      </c>
      <c r="D489" s="22" t="s">
        <v>982</v>
      </c>
      <c r="E489" s="21">
        <f>_xll.BDP($D489,E$40)</f>
        <v>27.51</v>
      </c>
      <c r="F489">
        <f>_xll.BDP($D489,F$40)</f>
        <v>27.5</v>
      </c>
      <c r="G489">
        <f>_xll.BDP($D489,G$40)</f>
        <v>27.51</v>
      </c>
      <c r="H489" s="9" t="str">
        <f>_xll.BDP($D489,H$40)</f>
        <v>#N/A Field Not Applicable</v>
      </c>
      <c r="L489" s="9">
        <f t="shared" si="53"/>
        <v>27.51</v>
      </c>
    </row>
    <row r="490" spans="1:12" x14ac:dyDescent="0.2">
      <c r="A490" t="s">
        <v>16</v>
      </c>
      <c r="B490" t="str">
        <f>LEFT(D490,FIND(" ",D490)-1)</f>
        <v>SCHW</v>
      </c>
      <c r="C490" s="16" t="str">
        <f>IF(A490="STOCK",B490,REPLACE(B490,FIND("+",B490),1,"."))</f>
        <v>SCHW</v>
      </c>
      <c r="D490" t="s">
        <v>324</v>
      </c>
      <c r="E490">
        <f>_xll.BDP($D490,E$40)</f>
        <v>30.56</v>
      </c>
      <c r="F490">
        <f>_xll.BDP($D490,F$40)</f>
        <v>30.57</v>
      </c>
      <c r="G490">
        <f>_xll.BDP($D490,G$40)</f>
        <v>30.58</v>
      </c>
      <c r="H490" s="9" t="str">
        <f>_xll.BDP($D490,H$40)</f>
        <v>#N/A Field Not Applicable</v>
      </c>
      <c r="L490" s="9">
        <f t="shared" ref="L490:L548" si="56">IF(A490="STOCK",E490,IF(A490="SOPTION",G490,IF(A490="LOPTION",F490,"")))</f>
        <v>30.56</v>
      </c>
    </row>
    <row r="491" spans="1:12" x14ac:dyDescent="0.2">
      <c r="A491" t="s">
        <v>16</v>
      </c>
      <c r="B491" s="23" t="s">
        <v>774</v>
      </c>
      <c r="C491" s="17" t="s">
        <v>774</v>
      </c>
      <c r="D491" s="22" t="s">
        <v>324</v>
      </c>
      <c r="E491" s="21">
        <f>_xll.BDP($D491,E$40)</f>
        <v>30.56</v>
      </c>
      <c r="F491">
        <f>_xll.BDP($D491,F$40)</f>
        <v>30.57</v>
      </c>
      <c r="G491">
        <f>_xll.BDP($D491,G$40)</f>
        <v>30.58</v>
      </c>
      <c r="H491" s="9" t="str">
        <f>_xll.BDP($D491,H$40)</f>
        <v>#N/A Field Not Applicable</v>
      </c>
      <c r="L491" s="9">
        <f t="shared" si="56"/>
        <v>30.56</v>
      </c>
    </row>
    <row r="492" spans="1:12" x14ac:dyDescent="0.2">
      <c r="A492" t="s">
        <v>16</v>
      </c>
      <c r="B492" t="str">
        <f>LEFT(D492,FIND(" ",D492)-1)</f>
        <v>OMCL</v>
      </c>
      <c r="C492" s="16" t="str">
        <f>IF(A492="STOCK",B492,REPLACE(B492,FIND("+",B492),1,"."))</f>
        <v>OMCL</v>
      </c>
      <c r="D492" t="s">
        <v>287</v>
      </c>
      <c r="E492">
        <f>_xll.BDP($D492,E$40)</f>
        <v>65.19</v>
      </c>
      <c r="F492">
        <f>_xll.BDP($D492,F$40)</f>
        <v>65.180000000000007</v>
      </c>
      <c r="G492">
        <f>_xll.BDP($D492,G$40)</f>
        <v>65.790000000000006</v>
      </c>
      <c r="H492" s="9" t="str">
        <f>_xll.BDP($D492,H$40)</f>
        <v>#N/A Field Not Applicable</v>
      </c>
      <c r="L492" s="9">
        <f t="shared" si="56"/>
        <v>65.19</v>
      </c>
    </row>
    <row r="493" spans="1:12" x14ac:dyDescent="0.2">
      <c r="A493" t="s">
        <v>16</v>
      </c>
      <c r="B493" t="str">
        <f>LEFT(D493,FIND(" ",D493)-1)</f>
        <v>HAL</v>
      </c>
      <c r="C493" s="16" t="str">
        <f>IF(A493="STOCK",B493,REPLACE(B493,FIND("+",B493),1,"."))</f>
        <v>HAL</v>
      </c>
      <c r="D493" t="s">
        <v>205</v>
      </c>
      <c r="E493">
        <f>_xll.BDP($D493,E$40)</f>
        <v>5.94</v>
      </c>
      <c r="F493">
        <f>_xll.BDP($D493,F$40)</f>
        <v>5.93</v>
      </c>
      <c r="G493">
        <f>_xll.BDP($D493,G$40)</f>
        <v>5.94</v>
      </c>
      <c r="H493" s="9" t="str">
        <f>_xll.BDP($D493,H$40)</f>
        <v>#N/A Field Not Applicable</v>
      </c>
      <c r="L493" s="9">
        <f t="shared" si="56"/>
        <v>5.94</v>
      </c>
    </row>
    <row r="494" spans="1:12" x14ac:dyDescent="0.2">
      <c r="A494" t="s">
        <v>16</v>
      </c>
      <c r="B494" s="23" t="s">
        <v>921</v>
      </c>
      <c r="C494" s="17" t="s">
        <v>921</v>
      </c>
      <c r="D494" s="22" t="s">
        <v>922</v>
      </c>
      <c r="E494" s="21">
        <f>_xll.BDP($D494,E$40)</f>
        <v>44.42</v>
      </c>
      <c r="F494">
        <f>_xll.BDP($D494,F$40)</f>
        <v>44.41</v>
      </c>
      <c r="G494">
        <f>_xll.BDP($D494,G$40)</f>
        <v>44.42</v>
      </c>
      <c r="H494" s="9" t="str">
        <f>_xll.BDP($D494,H$40)</f>
        <v>#N/A Field Not Applicable</v>
      </c>
      <c r="L494" s="9">
        <f t="shared" si="56"/>
        <v>44.42</v>
      </c>
    </row>
    <row r="495" spans="1:12" x14ac:dyDescent="0.2">
      <c r="A495" t="s">
        <v>16</v>
      </c>
      <c r="B495" t="str">
        <f>LEFT(D495,FIND(" ",D495)-1)</f>
        <v>RHI</v>
      </c>
      <c r="C495" s="16" t="str">
        <f>IF(A495="STOCK",B495,REPLACE(B495,FIND("+",B495),1,"."))</f>
        <v>RHI</v>
      </c>
      <c r="D495" t="s">
        <v>313</v>
      </c>
      <c r="E495">
        <f>_xll.BDP($D495,E$40)</f>
        <v>43.44</v>
      </c>
      <c r="F495">
        <f>_xll.BDP($D495,F$40)</f>
        <v>43.41</v>
      </c>
      <c r="G495">
        <f>_xll.BDP($D495,G$40)</f>
        <v>43.44</v>
      </c>
      <c r="H495" s="9" t="str">
        <f>_xll.BDP($D495,H$40)</f>
        <v>#N/A Field Not Applicable</v>
      </c>
      <c r="L495" s="9">
        <f t="shared" si="56"/>
        <v>43.44</v>
      </c>
    </row>
    <row r="496" spans="1:12" x14ac:dyDescent="0.2">
      <c r="A496" t="s">
        <v>16</v>
      </c>
      <c r="B496" s="23" t="s">
        <v>907</v>
      </c>
      <c r="C496" s="17" t="s">
        <v>907</v>
      </c>
      <c r="D496" s="22" t="s">
        <v>313</v>
      </c>
      <c r="E496" s="21">
        <f>_xll.BDP($D496,E$40)</f>
        <v>43.44</v>
      </c>
      <c r="F496">
        <f>_xll.BDP($D496,F$40)</f>
        <v>43.41</v>
      </c>
      <c r="G496">
        <f>_xll.BDP($D496,G$40)</f>
        <v>43.44</v>
      </c>
      <c r="H496" s="9" t="str">
        <f>_xll.BDP($D496,H$40)</f>
        <v>#N/A Field Not Applicable</v>
      </c>
      <c r="L496" s="9">
        <f t="shared" si="56"/>
        <v>43.44</v>
      </c>
    </row>
    <row r="497" spans="1:12" x14ac:dyDescent="0.2">
      <c r="A497" t="s">
        <v>16</v>
      </c>
      <c r="B497" t="str">
        <f>LEFT(D497,FIND(" ",D497)-1)</f>
        <v>AIV</v>
      </c>
      <c r="C497" s="16" t="str">
        <f>IF(A497="STOCK",B497,REPLACE(B497,FIND("+",B497),1,"."))</f>
        <v>AIV</v>
      </c>
      <c r="D497" t="s">
        <v>57</v>
      </c>
      <c r="E497">
        <f>_xll.BDP($D497,E$40)</f>
        <v>35.51</v>
      </c>
      <c r="F497">
        <f>_xll.BDP($D497,F$40)</f>
        <v>35.47</v>
      </c>
      <c r="G497">
        <f>_xll.BDP($D497,G$40)</f>
        <v>35.51</v>
      </c>
      <c r="H497" s="9" t="str">
        <f>_xll.BDP($D497,H$40)</f>
        <v>#N/A Field Not Applicable</v>
      </c>
      <c r="L497" s="9">
        <f t="shared" si="56"/>
        <v>35.51</v>
      </c>
    </row>
    <row r="498" spans="1:12" x14ac:dyDescent="0.2">
      <c r="A498" t="s">
        <v>16</v>
      </c>
      <c r="B498" t="str">
        <f>LEFT(D498,FIND(" ",D498)-1)</f>
        <v>CCOI</v>
      </c>
      <c r="C498" s="16" t="str">
        <f>IF(A498="STOCK",B498,REPLACE(B498,FIND("+",B498),1,"."))</f>
        <v>CCOI</v>
      </c>
      <c r="D498" s="9" t="s">
        <v>113</v>
      </c>
      <c r="E498">
        <f>_xll.BDP($D498,E$40)</f>
        <v>76.489999999999995</v>
      </c>
      <c r="F498">
        <f>_xll.BDP($D498,F$40)</f>
        <v>76.28</v>
      </c>
      <c r="G498">
        <f>_xll.BDP($D498,G$40)</f>
        <v>76.489999999999995</v>
      </c>
      <c r="H498" s="9" t="str">
        <f>_xll.BDP($D498,H$40)</f>
        <v>#N/A Field Not Applicable</v>
      </c>
      <c r="L498" s="9">
        <f t="shared" si="56"/>
        <v>76.489999999999995</v>
      </c>
    </row>
    <row r="499" spans="1:12" x14ac:dyDescent="0.2">
      <c r="A499" t="s">
        <v>16</v>
      </c>
      <c r="B499" t="s">
        <v>466</v>
      </c>
      <c r="C499" s="16" t="s">
        <v>466</v>
      </c>
      <c r="D499" t="s">
        <v>467</v>
      </c>
      <c r="E499">
        <f>_xll.BDP($D499,E$40)</f>
        <v>16.239999999999998</v>
      </c>
      <c r="F499">
        <f>_xll.BDP($D499,F$40)</f>
        <v>16.23</v>
      </c>
      <c r="G499">
        <f>_xll.BDP($D499,G$40)</f>
        <v>16.239999999999998</v>
      </c>
      <c r="H499" s="9" t="str">
        <f>_xll.BDP($D499,H$40)</f>
        <v>#N/A Field Not Applicable</v>
      </c>
      <c r="L499" s="9">
        <f t="shared" si="56"/>
        <v>16.239999999999998</v>
      </c>
    </row>
    <row r="500" spans="1:12" x14ac:dyDescent="0.2">
      <c r="A500" t="s">
        <v>16</v>
      </c>
      <c r="B500" s="23" t="s">
        <v>883</v>
      </c>
      <c r="C500" s="17" t="s">
        <v>883</v>
      </c>
      <c r="D500" s="22" t="s">
        <v>884</v>
      </c>
      <c r="E500" s="21">
        <f>_xll.BDP($D500,E$40)</f>
        <v>28.69</v>
      </c>
      <c r="F500">
        <f>_xll.BDP($D500,F$40)</f>
        <v>28.68</v>
      </c>
      <c r="G500">
        <f>_xll.BDP($D500,G$40)</f>
        <v>28.69</v>
      </c>
      <c r="H500" s="9" t="str">
        <f>_xll.BDP($D500,H$40)</f>
        <v>#N/A Field Not Applicable</v>
      </c>
      <c r="L500" s="9">
        <f t="shared" si="56"/>
        <v>28.69</v>
      </c>
    </row>
    <row r="501" spans="1:12" x14ac:dyDescent="0.2">
      <c r="A501" t="s">
        <v>16</v>
      </c>
      <c r="B501" t="str">
        <f>LEFT(D501,FIND(" ",D501)-1)</f>
        <v>COP</v>
      </c>
      <c r="C501" s="16" t="str">
        <f>IF(A501="STOCK",B501,REPLACE(B501,FIND("+",B501),1,"."))</f>
        <v>COP</v>
      </c>
      <c r="D501" t="s">
        <v>134</v>
      </c>
      <c r="E501">
        <f>_xll.BDP($D501,E$40)</f>
        <v>26.08</v>
      </c>
      <c r="F501">
        <f>_xll.BDP($D501,F$40)</f>
        <v>26.1</v>
      </c>
      <c r="G501">
        <f>_xll.BDP($D501,G$40)</f>
        <v>26.11</v>
      </c>
      <c r="H501" s="9" t="str">
        <f>_xll.BDP($D501,H$40)</f>
        <v>#N/A Field Not Applicable</v>
      </c>
      <c r="L501" s="9">
        <f t="shared" si="56"/>
        <v>26.08</v>
      </c>
    </row>
    <row r="502" spans="1:12" x14ac:dyDescent="0.2">
      <c r="A502" s="9" t="s">
        <v>16</v>
      </c>
      <c r="B502" t="str">
        <f>LEFT(D502,FIND(" ",D502)-1)</f>
        <v>SEE</v>
      </c>
      <c r="C502" s="16" t="str">
        <f>IF(A502="STOCK",B502,REPLACE(B502,FIND("+",B502),1,"."))</f>
        <v>SEE</v>
      </c>
      <c r="D502" s="9" t="s">
        <v>326</v>
      </c>
      <c r="E502">
        <f>_xll.BDP($D502,E$40)</f>
        <v>20.92</v>
      </c>
      <c r="F502">
        <f>_xll.BDP($D502,F$40)</f>
        <v>20.91</v>
      </c>
      <c r="G502">
        <f>_xll.BDP($D502,G$40)</f>
        <v>20.92</v>
      </c>
      <c r="H502" s="9" t="str">
        <f>_xll.BDP($D502,H$40)</f>
        <v>#N/A Field Not Applicable</v>
      </c>
      <c r="L502" s="9">
        <f t="shared" si="56"/>
        <v>20.92</v>
      </c>
    </row>
    <row r="503" spans="1:12" x14ac:dyDescent="0.2">
      <c r="A503" t="s">
        <v>16</v>
      </c>
      <c r="B503" s="23" t="s">
        <v>822</v>
      </c>
      <c r="C503" s="17" t="s">
        <v>822</v>
      </c>
      <c r="D503" s="22" t="s">
        <v>823</v>
      </c>
      <c r="E503" s="21">
        <f>_xll.BDP($D503,E$40)</f>
        <v>38.630000000000003</v>
      </c>
      <c r="F503">
        <f>_xll.BDP($D503,F$40)</f>
        <v>38.57</v>
      </c>
      <c r="G503">
        <f>_xll.BDP($D503,G$40)</f>
        <v>38.58</v>
      </c>
      <c r="H503" s="9" t="str">
        <f>_xll.BDP($D503,H$40)</f>
        <v>#N/A Field Not Applicable</v>
      </c>
      <c r="L503" s="9">
        <f t="shared" si="56"/>
        <v>38.630000000000003</v>
      </c>
    </row>
    <row r="504" spans="1:12" x14ac:dyDescent="0.2">
      <c r="A504" t="s">
        <v>16</v>
      </c>
      <c r="B504" t="str">
        <f>LEFT(D504,FIND(" ",D504)-1)</f>
        <v>FSLR</v>
      </c>
      <c r="C504" s="16" t="str">
        <f>IF(A504="STOCK",B504,REPLACE(B504,FIND("+",B504),1,"."))</f>
        <v>FSLR</v>
      </c>
      <c r="D504" t="s">
        <v>192</v>
      </c>
      <c r="E504">
        <f>_xll.BDP($D504,E$40)</f>
        <v>31.54</v>
      </c>
      <c r="F504">
        <f>_xll.BDP($D504,F$40)</f>
        <v>31.54</v>
      </c>
      <c r="G504">
        <f>_xll.BDP($D504,G$40)</f>
        <v>31.59</v>
      </c>
      <c r="H504" s="9" t="str">
        <f>_xll.BDP($D504,H$40)</f>
        <v>#N/A Field Not Applicable</v>
      </c>
      <c r="L504" s="9">
        <f t="shared" si="56"/>
        <v>31.54</v>
      </c>
    </row>
    <row r="505" spans="1:12" x14ac:dyDescent="0.2">
      <c r="A505" t="s">
        <v>16</v>
      </c>
      <c r="B505" t="str">
        <f>LEFT(D505,FIND(" ",D505)-1)</f>
        <v>Z</v>
      </c>
      <c r="C505" s="16" t="str">
        <f>IF(A505="STOCK",B505,REPLACE(B505,FIND("+",B505),1,"."))</f>
        <v>Z</v>
      </c>
      <c r="D505" t="s">
        <v>468</v>
      </c>
      <c r="E505">
        <f>_xll.BDP($D505,E$40)</f>
        <v>28.67</v>
      </c>
      <c r="F505">
        <f>_xll.BDP($D505,F$40)</f>
        <v>28.66</v>
      </c>
      <c r="G505">
        <f>_xll.BDP($D505,G$40)</f>
        <v>28.67</v>
      </c>
      <c r="H505" s="9" t="str">
        <f>_xll.BDP($D505,H$40)</f>
        <v>#N/A Field Not Applicable</v>
      </c>
      <c r="L505" s="9">
        <f t="shared" si="56"/>
        <v>28.67</v>
      </c>
    </row>
    <row r="506" spans="1:12" x14ac:dyDescent="0.2">
      <c r="A506" t="s">
        <v>16</v>
      </c>
      <c r="B506" s="23" t="s">
        <v>805</v>
      </c>
      <c r="C506" s="17" t="s">
        <v>805</v>
      </c>
      <c r="D506" s="22" t="s">
        <v>806</v>
      </c>
      <c r="E506" s="21">
        <f>_xll.BDP($D506,E$40)</f>
        <v>27.95</v>
      </c>
      <c r="F506">
        <f>_xll.BDP($D506,F$40)</f>
        <v>27.94</v>
      </c>
      <c r="G506">
        <f>_xll.BDP($D506,G$40)</f>
        <v>27.95</v>
      </c>
      <c r="H506" s="9" t="str">
        <f>_xll.BDP($D506,H$40)</f>
        <v>#N/A Field Not Applicable</v>
      </c>
      <c r="L506" s="9">
        <f t="shared" si="56"/>
        <v>27.95</v>
      </c>
    </row>
    <row r="507" spans="1:12" x14ac:dyDescent="0.2">
      <c r="A507" s="9" t="s">
        <v>16</v>
      </c>
      <c r="B507" t="str">
        <f>LEFT(D507,FIND(" ",D507)-1)</f>
        <v>ZION</v>
      </c>
      <c r="C507" s="16" t="str">
        <f>IF(A507="STOCK",B507,REPLACE(B507,FIND("+",B507),1,"."))</f>
        <v>ZION</v>
      </c>
      <c r="D507" t="s">
        <v>384</v>
      </c>
      <c r="E507">
        <f>_xll.BDP($D507,E$40)</f>
        <v>26.56</v>
      </c>
      <c r="F507">
        <f>_xll.BDP($D507,F$40)</f>
        <v>26.55</v>
      </c>
      <c r="G507">
        <f>_xll.BDP($D507,G$40)</f>
        <v>26.56</v>
      </c>
      <c r="H507" s="9" t="str">
        <f>_xll.BDP($D507,H$40)</f>
        <v>#N/A Field Not Applicable</v>
      </c>
      <c r="L507" s="9">
        <f t="shared" si="56"/>
        <v>26.56</v>
      </c>
    </row>
    <row r="508" spans="1:12" x14ac:dyDescent="0.2">
      <c r="A508" t="s">
        <v>16</v>
      </c>
      <c r="B508" s="23" t="s">
        <v>931</v>
      </c>
      <c r="C508" s="17" t="s">
        <v>931</v>
      </c>
      <c r="D508" s="22" t="s">
        <v>932</v>
      </c>
      <c r="E508" s="21">
        <f>_xll.BDP($D508,E$40)</f>
        <v>59.39</v>
      </c>
      <c r="F508">
        <f>_xll.BDP($D508,F$40)</f>
        <v>59.19</v>
      </c>
      <c r="G508">
        <f>_xll.BDP($D508,G$40)</f>
        <v>59.38</v>
      </c>
      <c r="H508" s="9" t="str">
        <f>_xll.BDP($D508,H$40)</f>
        <v>#N/A Field Not Applicable</v>
      </c>
      <c r="L508" s="9">
        <f t="shared" si="56"/>
        <v>59.39</v>
      </c>
    </row>
    <row r="509" spans="1:12" x14ac:dyDescent="0.2">
      <c r="A509" t="s">
        <v>16</v>
      </c>
      <c r="B509" t="str">
        <f>LEFT(D509,FIND(" ",D509)-1)</f>
        <v>MXIM</v>
      </c>
      <c r="C509" s="16" t="str">
        <f>IF(A509="STOCK",B509,REPLACE(B509,FIND("+",B509),1,"."))</f>
        <v>MXIM</v>
      </c>
      <c r="D509" t="s">
        <v>269</v>
      </c>
      <c r="E509">
        <f>_xll.BDP($D509,E$40)</f>
        <v>42.5</v>
      </c>
      <c r="F509">
        <f>_xll.BDP($D509,F$40)</f>
        <v>42.49</v>
      </c>
      <c r="G509">
        <f>_xll.BDP($D509,G$40)</f>
        <v>42.5</v>
      </c>
      <c r="H509" s="9" t="str">
        <f>_xll.BDP($D509,H$40)</f>
        <v>#N/A Field Not Applicable</v>
      </c>
      <c r="L509" s="9">
        <f t="shared" si="56"/>
        <v>42.5</v>
      </c>
    </row>
    <row r="510" spans="1:12" x14ac:dyDescent="0.2">
      <c r="A510" t="s">
        <v>16</v>
      </c>
      <c r="B510" s="23" t="s">
        <v>850</v>
      </c>
      <c r="C510" s="17" t="s">
        <v>850</v>
      </c>
      <c r="D510" s="22" t="s">
        <v>851</v>
      </c>
      <c r="E510" s="21">
        <f>_xll.BDP($D510,E$40)</f>
        <v>40.26</v>
      </c>
      <c r="F510">
        <f>_xll.BDP($D510,F$40)</f>
        <v>40.25</v>
      </c>
      <c r="G510">
        <f>_xll.BDP($D510,G$40)</f>
        <v>40.26</v>
      </c>
      <c r="H510" s="9" t="str">
        <f>_xll.BDP($D510,H$40)</f>
        <v>#N/A Field Not Applicable</v>
      </c>
      <c r="L510" s="9">
        <f t="shared" si="56"/>
        <v>40.26</v>
      </c>
    </row>
    <row r="511" spans="1:12" x14ac:dyDescent="0.2">
      <c r="A511" t="s">
        <v>16</v>
      </c>
      <c r="B511" s="23" t="s">
        <v>872</v>
      </c>
      <c r="C511" s="17" t="s">
        <v>872</v>
      </c>
      <c r="D511" s="22" t="s">
        <v>873</v>
      </c>
      <c r="E511" s="21">
        <f>_xll.BDP($D511,E$40)</f>
        <v>17.760000000000002</v>
      </c>
      <c r="F511">
        <f>_xll.BDP($D511,F$40)</f>
        <v>17.75</v>
      </c>
      <c r="G511">
        <f>_xll.BDP($D511,G$40)</f>
        <v>17.760000000000002</v>
      </c>
      <c r="H511" s="9" t="str">
        <f>_xll.BDP($D511,H$40)</f>
        <v>#N/A Field Not Applicable</v>
      </c>
      <c r="L511" s="9">
        <f t="shared" si="56"/>
        <v>17.760000000000002</v>
      </c>
    </row>
    <row r="512" spans="1:12" x14ac:dyDescent="0.2">
      <c r="A512" t="s">
        <v>16</v>
      </c>
      <c r="B512" t="str">
        <f>LEFT(D512,FIND(" ",D512)-1)</f>
        <v>AMTD</v>
      </c>
      <c r="C512" s="16" t="str">
        <f>IF(A512="STOCK",B512,REPLACE(B512,FIND("+",B512),1,"."))</f>
        <v>AMTD</v>
      </c>
      <c r="D512" s="4" t="s">
        <v>68</v>
      </c>
      <c r="E512">
        <f>_xll.BDP($D512,E$40)</f>
        <v>30</v>
      </c>
      <c r="F512">
        <f>_xll.BDP($D512,F$40)</f>
        <v>30</v>
      </c>
      <c r="G512">
        <f>_xll.BDP($D512,G$40)</f>
        <v>30.01</v>
      </c>
      <c r="H512" s="9" t="str">
        <f>_xll.BDP($D512,H$40)</f>
        <v>#N/A Field Not Applicable</v>
      </c>
      <c r="L512" s="9">
        <f t="shared" si="56"/>
        <v>30</v>
      </c>
    </row>
    <row r="513" spans="1:12" x14ac:dyDescent="0.2">
      <c r="A513" t="s">
        <v>16</v>
      </c>
      <c r="B513" t="str">
        <f>LEFT(D513,FIND(" ",D513)-1)</f>
        <v>AKAM</v>
      </c>
      <c r="C513" s="16" t="str">
        <f>IF(A513="STOCK",B513,REPLACE(B513,FIND("+",B513),1,"."))</f>
        <v>AKAM</v>
      </c>
      <c r="D513" t="s">
        <v>58</v>
      </c>
      <c r="E513">
        <f>_xll.BDP($D513,E$40)</f>
        <v>83.23</v>
      </c>
      <c r="F513">
        <f>_xll.BDP($D513,F$40)</f>
        <v>83.23</v>
      </c>
      <c r="G513">
        <f>_xll.BDP($D513,G$40)</f>
        <v>83.25</v>
      </c>
      <c r="H513" s="9" t="str">
        <f>_xll.BDP($D513,H$40)</f>
        <v>#N/A Field Not Applicable</v>
      </c>
      <c r="L513" s="9">
        <f t="shared" si="56"/>
        <v>83.23</v>
      </c>
    </row>
    <row r="514" spans="1:12" x14ac:dyDescent="0.2">
      <c r="A514" t="s">
        <v>16</v>
      </c>
      <c r="B514" t="str">
        <f>LEFT(D514,FIND(" ",D514)-1)</f>
        <v>AMAT</v>
      </c>
      <c r="C514" s="16" t="str">
        <f>IF(A514="STOCK",B514,REPLACE(B514,FIND("+",B514),1,"."))</f>
        <v>AMAT</v>
      </c>
      <c r="D514" t="s">
        <v>63</v>
      </c>
      <c r="E514">
        <f>_xll.BDP($D514,E$40)</f>
        <v>40.53</v>
      </c>
      <c r="F514">
        <f>_xll.BDP($D514,F$40)</f>
        <v>40.53</v>
      </c>
      <c r="G514">
        <f>_xll.BDP($D514,G$40)</f>
        <v>40.54</v>
      </c>
      <c r="H514" s="9" t="str">
        <f>_xll.BDP($D514,H$40)</f>
        <v>#N/A Field Not Applicable</v>
      </c>
      <c r="L514" s="9">
        <f t="shared" si="56"/>
        <v>40.53</v>
      </c>
    </row>
    <row r="515" spans="1:12" x14ac:dyDescent="0.2">
      <c r="A515" t="s">
        <v>16</v>
      </c>
      <c r="B515" s="23" t="s">
        <v>799</v>
      </c>
      <c r="C515" s="17" t="s">
        <v>799</v>
      </c>
      <c r="D515" s="22" t="s">
        <v>800</v>
      </c>
      <c r="E515" s="21">
        <f>_xll.BDP($D515,E$40)</f>
        <v>22.5</v>
      </c>
      <c r="F515">
        <f>_xll.BDP($D515,F$40)</f>
        <v>22.49</v>
      </c>
      <c r="G515">
        <f>_xll.BDP($D515,G$40)</f>
        <v>22.5</v>
      </c>
      <c r="H515" s="9" t="str">
        <f>_xll.BDP($D515,H$40)</f>
        <v>#N/A Field Not Applicable</v>
      </c>
      <c r="L515" s="9">
        <f t="shared" si="56"/>
        <v>22.5</v>
      </c>
    </row>
    <row r="516" spans="1:12" x14ac:dyDescent="0.2">
      <c r="A516" t="s">
        <v>16</v>
      </c>
      <c r="B516" t="str">
        <f>LEFT(D516,FIND(" ",D516)-1)</f>
        <v>WSM</v>
      </c>
      <c r="C516" s="16" t="str">
        <f>IF(A516="STOCK",B516,REPLACE(B516,FIND("+",B516),1,"."))</f>
        <v>WSM</v>
      </c>
      <c r="D516" t="s">
        <v>382</v>
      </c>
      <c r="E516">
        <f>_xll.BDP($D516,E$40)</f>
        <v>35.58</v>
      </c>
      <c r="F516">
        <f>_xll.BDP($D516,F$40)</f>
        <v>35.57</v>
      </c>
      <c r="G516">
        <f>_xll.BDP($D516,G$40)</f>
        <v>35.58</v>
      </c>
      <c r="H516" s="9" t="str">
        <f>_xll.BDP($D516,H$40)</f>
        <v>#N/A Field Not Applicable</v>
      </c>
      <c r="L516" s="9">
        <f t="shared" si="56"/>
        <v>35.58</v>
      </c>
    </row>
    <row r="517" spans="1:12" x14ac:dyDescent="0.2">
      <c r="A517" t="s">
        <v>16</v>
      </c>
      <c r="B517" s="23" t="s">
        <v>821</v>
      </c>
      <c r="C517" s="17" t="s">
        <v>821</v>
      </c>
      <c r="D517" s="22" t="s">
        <v>382</v>
      </c>
      <c r="E517" s="21">
        <f>_xll.BDP($D517,E$40)</f>
        <v>35.58</v>
      </c>
      <c r="F517">
        <f>_xll.BDP($D517,F$40)</f>
        <v>35.57</v>
      </c>
      <c r="G517">
        <f>_xll.BDP($D517,G$40)</f>
        <v>35.58</v>
      </c>
      <c r="H517" s="9" t="str">
        <f>_xll.BDP($D517,H$40)</f>
        <v>#N/A Field Not Applicable</v>
      </c>
      <c r="L517" s="9">
        <f t="shared" si="56"/>
        <v>35.58</v>
      </c>
    </row>
    <row r="518" spans="1:12" x14ac:dyDescent="0.2">
      <c r="A518" t="s">
        <v>16</v>
      </c>
      <c r="B518" s="23" t="s">
        <v>867</v>
      </c>
      <c r="C518" s="17" t="s">
        <v>867</v>
      </c>
      <c r="D518" s="22" t="s">
        <v>868</v>
      </c>
      <c r="E518" s="21">
        <f>_xll.BDP($D518,E$40)</f>
        <v>19.77</v>
      </c>
      <c r="F518">
        <f>_xll.BDP($D518,F$40)</f>
        <v>19.760000000000002</v>
      </c>
      <c r="G518">
        <f>_xll.BDP($D518,G$40)</f>
        <v>19.77</v>
      </c>
      <c r="H518" s="9" t="str">
        <f>_xll.BDP($D518,H$40)</f>
        <v>#N/A Field Not Applicable</v>
      </c>
      <c r="L518" s="9">
        <f t="shared" si="56"/>
        <v>19.77</v>
      </c>
    </row>
    <row r="519" spans="1:12" x14ac:dyDescent="0.2">
      <c r="A519" t="s">
        <v>16</v>
      </c>
      <c r="B519" t="str">
        <f>LEFT(D519,FIND(" ",D519)-1)</f>
        <v>BBT</v>
      </c>
      <c r="C519" s="16" t="str">
        <f>IF(A519="STOCK",B519,REPLACE(B519,FIND("+",B519),1,"."))</f>
        <v>BBT</v>
      </c>
      <c r="D519" t="s">
        <v>87</v>
      </c>
      <c r="E519" t="str">
        <f>_xll.BDP($D519,E$40)</f>
        <v>#N/A N/A</v>
      </c>
      <c r="F519" t="str">
        <f>_xll.BDP($D519,F$40)</f>
        <v>#N/A N/A</v>
      </c>
      <c r="G519" t="str">
        <f>_xll.BDP($D519,G$40)</f>
        <v>#N/A N/A</v>
      </c>
      <c r="H519" s="9" t="str">
        <f>_xll.BDP($D519,H$40)</f>
        <v>#N/A Field Not Applicable</v>
      </c>
      <c r="L519" s="9" t="str">
        <f t="shared" si="56"/>
        <v>#N/A N/A</v>
      </c>
    </row>
    <row r="520" spans="1:12" x14ac:dyDescent="0.2">
      <c r="A520" t="s">
        <v>16</v>
      </c>
      <c r="B520" t="s">
        <v>641</v>
      </c>
      <c r="C520" s="16" t="s">
        <v>641</v>
      </c>
      <c r="D520" t="s">
        <v>391</v>
      </c>
      <c r="E520">
        <f>_xll.BDP($D520,E$40)</f>
        <v>137.21</v>
      </c>
      <c r="F520">
        <f>_xll.BDP($D520,F$40)</f>
        <v>137.15</v>
      </c>
      <c r="G520">
        <f>_xll.BDP($D520,G$40)</f>
        <v>138.82</v>
      </c>
      <c r="H520" s="9" t="str">
        <f>_xll.BDP($D520,H$40)</f>
        <v>#N/A Field Not Applicable</v>
      </c>
      <c r="L520" s="9">
        <f t="shared" si="56"/>
        <v>137.21</v>
      </c>
    </row>
    <row r="521" spans="1:12" x14ac:dyDescent="0.2">
      <c r="A521" t="s">
        <v>16</v>
      </c>
      <c r="B521" t="s">
        <v>680</v>
      </c>
      <c r="C521" s="16" t="s">
        <v>680</v>
      </c>
      <c r="D521" t="s">
        <v>681</v>
      </c>
      <c r="E521" s="21">
        <f>_xll.BDP($D521,E$40)</f>
        <v>36.35</v>
      </c>
      <c r="F521">
        <f>_xll.BDP($D521,F$40)</f>
        <v>36.340000000000003</v>
      </c>
      <c r="G521">
        <f>_xll.BDP($D521,G$40)</f>
        <v>36.35</v>
      </c>
      <c r="H521" s="9" t="str">
        <f>_xll.BDP($D521,H$40)</f>
        <v>#N/A Field Not Applicable</v>
      </c>
      <c r="L521" s="9">
        <f t="shared" si="56"/>
        <v>36.35</v>
      </c>
    </row>
    <row r="522" spans="1:12" x14ac:dyDescent="0.2">
      <c r="A522" t="s">
        <v>16</v>
      </c>
      <c r="B522" t="str">
        <f>LEFT(D522,FIND(" ",D522)-1)</f>
        <v>MS</v>
      </c>
      <c r="C522" s="16" t="str">
        <f>IF(A522="STOCK",B522,REPLACE(B522,FIND("+",B522),1,"."))</f>
        <v>MS</v>
      </c>
      <c r="D522" t="s">
        <v>264</v>
      </c>
      <c r="E522">
        <f>_xll.BDP($D522,E$40)</f>
        <v>31.65</v>
      </c>
      <c r="F522">
        <f>_xll.BDP($D522,F$40)</f>
        <v>31.65</v>
      </c>
      <c r="G522">
        <f>_xll.BDP($D522,G$40)</f>
        <v>31.66</v>
      </c>
      <c r="H522" s="9" t="str">
        <f>_xll.BDP($D522,H$40)</f>
        <v>#N/A Field Not Applicable</v>
      </c>
      <c r="L522" s="9">
        <f t="shared" si="56"/>
        <v>31.65</v>
      </c>
    </row>
    <row r="523" spans="1:12" x14ac:dyDescent="0.2">
      <c r="A523" t="s">
        <v>16</v>
      </c>
      <c r="B523" t="str">
        <f>LEFT(D523,FIND(" ",D523)-1)</f>
        <v>FL</v>
      </c>
      <c r="C523" s="16" t="str">
        <f>IF(A523="STOCK",B523,REPLACE(B523,FIND("+",B523),1,"."))</f>
        <v>FL</v>
      </c>
      <c r="D523" t="s">
        <v>184</v>
      </c>
      <c r="E523">
        <f>_xll.BDP($D523,E$40)</f>
        <v>23.66</v>
      </c>
      <c r="F523">
        <f>_xll.BDP($D523,F$40)</f>
        <v>23.65</v>
      </c>
      <c r="G523">
        <f>_xll.BDP($D523,G$40)</f>
        <v>23.66</v>
      </c>
      <c r="H523" s="9" t="str">
        <f>_xll.BDP($D523,H$40)</f>
        <v>#N/A Field Not Applicable</v>
      </c>
      <c r="L523" s="9">
        <f t="shared" si="56"/>
        <v>23.66</v>
      </c>
    </row>
    <row r="524" spans="1:12" x14ac:dyDescent="0.2">
      <c r="A524" t="s">
        <v>16</v>
      </c>
      <c r="B524" t="s">
        <v>615</v>
      </c>
      <c r="C524" s="16" t="s">
        <v>615</v>
      </c>
      <c r="D524" t="s">
        <v>616</v>
      </c>
      <c r="E524" t="str">
        <f>_xll.BDP($D524,E$40)</f>
        <v>#N/A N/A</v>
      </c>
      <c r="F524" t="str">
        <f>_xll.BDP($D524,F$40)</f>
        <v>#N/A N/A</v>
      </c>
      <c r="G524" t="str">
        <f>_xll.BDP($D524,G$40)</f>
        <v>#N/A N/A</v>
      </c>
      <c r="H524" s="9" t="str">
        <f>_xll.BDP($D524,H$40)</f>
        <v>#N/A Field Not Applicable</v>
      </c>
      <c r="L524" s="9" t="str">
        <f t="shared" si="56"/>
        <v>#N/A N/A</v>
      </c>
    </row>
    <row r="525" spans="1:12" x14ac:dyDescent="0.2">
      <c r="A525" t="s">
        <v>16</v>
      </c>
      <c r="B525" t="str">
        <f t="shared" ref="B525:B530" si="57">LEFT(D525,FIND(" ",D525)-1)</f>
        <v>FNF</v>
      </c>
      <c r="C525" s="16" t="str">
        <f t="shared" ref="C525:C530" si="58">IF(A525="STOCK",B525,REPLACE(B525,FIND("+",B525),1,"."))</f>
        <v>FNF</v>
      </c>
      <c r="D525" t="s">
        <v>188</v>
      </c>
      <c r="E525">
        <f>_xll.BDP($D525,E$40)</f>
        <v>28.29</v>
      </c>
      <c r="F525">
        <f>_xll.BDP($D525,F$40)</f>
        <v>28.28</v>
      </c>
      <c r="G525">
        <f>_xll.BDP($D525,G$40)</f>
        <v>28.29</v>
      </c>
      <c r="H525" s="9" t="str">
        <f>_xll.BDP($D525,H$40)</f>
        <v>#N/A Field Not Applicable</v>
      </c>
      <c r="L525" s="9">
        <f t="shared" si="56"/>
        <v>28.29</v>
      </c>
    </row>
    <row r="526" spans="1:12" x14ac:dyDescent="0.2">
      <c r="A526" t="s">
        <v>16</v>
      </c>
      <c r="B526" t="str">
        <f t="shared" si="57"/>
        <v>VZ</v>
      </c>
      <c r="C526" s="16" t="str">
        <f t="shared" si="58"/>
        <v>VZ</v>
      </c>
      <c r="D526" t="s">
        <v>478</v>
      </c>
      <c r="E526">
        <f>_xll.BDP($D526,E$40)</f>
        <v>50.99</v>
      </c>
      <c r="F526">
        <f>_xll.BDP($D526,F$40)</f>
        <v>50.99</v>
      </c>
      <c r="G526">
        <f>_xll.BDP($D526,G$40)</f>
        <v>51.06</v>
      </c>
      <c r="H526" s="9" t="str">
        <f>_xll.BDP($D526,H$40)</f>
        <v>#N/A Field Not Applicable</v>
      </c>
      <c r="L526" s="9">
        <f t="shared" si="56"/>
        <v>50.99</v>
      </c>
    </row>
    <row r="527" spans="1:12" x14ac:dyDescent="0.2">
      <c r="A527" t="s">
        <v>16</v>
      </c>
      <c r="B527" t="str">
        <f t="shared" si="57"/>
        <v>CIT</v>
      </c>
      <c r="C527" s="16" t="str">
        <f t="shared" si="58"/>
        <v>CIT</v>
      </c>
      <c r="D527" t="s">
        <v>123</v>
      </c>
      <c r="E527">
        <f>_xll.BDP($D527,E$40)</f>
        <v>19.34</v>
      </c>
      <c r="F527">
        <f>_xll.BDP($D527,F$40)</f>
        <v>19.329999999999998</v>
      </c>
      <c r="G527">
        <f>_xll.BDP($D527,G$40)</f>
        <v>19.34</v>
      </c>
      <c r="H527" s="9" t="str">
        <f>_xll.BDP($D527,H$40)</f>
        <v>#N/A Field Not Applicable</v>
      </c>
      <c r="L527" s="9">
        <f t="shared" si="56"/>
        <v>19.34</v>
      </c>
    </row>
    <row r="528" spans="1:12" x14ac:dyDescent="0.2">
      <c r="A528" t="s">
        <v>16</v>
      </c>
      <c r="B528" t="str">
        <f t="shared" si="57"/>
        <v>TXT</v>
      </c>
      <c r="C528" s="16" t="str">
        <f t="shared" si="58"/>
        <v>TXT</v>
      </c>
      <c r="D528" t="s">
        <v>390</v>
      </c>
      <c r="E528">
        <f>_xll.BDP($D528,E$40)</f>
        <v>26.9</v>
      </c>
      <c r="F528">
        <f>_xll.BDP($D528,F$40)</f>
        <v>26.9</v>
      </c>
      <c r="G528">
        <f>_xll.BDP($D528,G$40)</f>
        <v>26.91</v>
      </c>
      <c r="H528" s="9" t="str">
        <f>_xll.BDP($D528,H$40)</f>
        <v>#N/A Field Not Applicable</v>
      </c>
      <c r="L528" s="9">
        <f t="shared" si="56"/>
        <v>26.9</v>
      </c>
    </row>
    <row r="529" spans="1:12" x14ac:dyDescent="0.2">
      <c r="A529" t="s">
        <v>16</v>
      </c>
      <c r="B529" t="str">
        <f t="shared" si="57"/>
        <v>NNI</v>
      </c>
      <c r="C529" s="16" t="str">
        <f t="shared" si="58"/>
        <v>NNI</v>
      </c>
      <c r="D529" t="s">
        <v>279</v>
      </c>
      <c r="E529">
        <f>_xll.BDP($D529,E$40)</f>
        <v>43.6</v>
      </c>
      <c r="F529">
        <f>_xll.BDP($D529,F$40)</f>
        <v>43.59</v>
      </c>
      <c r="G529">
        <f>_xll.BDP($D529,G$40)</f>
        <v>43.6</v>
      </c>
      <c r="H529" s="9" t="str">
        <f>_xll.BDP($D529,H$40)</f>
        <v>#N/A Field Not Applicable</v>
      </c>
      <c r="L529" s="9">
        <f t="shared" si="56"/>
        <v>43.6</v>
      </c>
    </row>
    <row r="530" spans="1:12" s="9" customFormat="1" x14ac:dyDescent="0.2">
      <c r="A530" s="9" t="s">
        <v>16</v>
      </c>
      <c r="B530" s="9" t="str">
        <f t="shared" si="57"/>
        <v>CNA</v>
      </c>
      <c r="C530" s="16" t="str">
        <f t="shared" si="58"/>
        <v>CNA</v>
      </c>
      <c r="D530" s="9" t="s">
        <v>130</v>
      </c>
      <c r="E530" s="9">
        <f>_xll.BDP($D530,E$40)</f>
        <v>30.27</v>
      </c>
      <c r="F530" s="9">
        <f>_xll.BDP($D530,F$40)</f>
        <v>30.26</v>
      </c>
      <c r="G530" s="9">
        <f>_xll.BDP($D530,G$40)</f>
        <v>30.36</v>
      </c>
      <c r="H530" s="9" t="str">
        <f>_xll.BDP($D530,H$40)</f>
        <v>#N/A Field Not Applicable</v>
      </c>
      <c r="L530" s="9">
        <f t="shared" si="56"/>
        <v>30.27</v>
      </c>
    </row>
    <row r="531" spans="1:12" s="9" customFormat="1" x14ac:dyDescent="0.2">
      <c r="A531" s="9" t="s">
        <v>16</v>
      </c>
      <c r="B531" s="23" t="s">
        <v>908</v>
      </c>
      <c r="C531" s="17" t="s">
        <v>908</v>
      </c>
      <c r="D531" s="22" t="s">
        <v>909</v>
      </c>
      <c r="E531" s="21">
        <f>_xll.BDP($D531,E$40)</f>
        <v>32.35</v>
      </c>
      <c r="F531" s="9">
        <f>_xll.BDP($D531,F$40)</f>
        <v>32.340000000000003</v>
      </c>
      <c r="G531" s="9">
        <f>_xll.BDP($D531,G$40)</f>
        <v>32.35</v>
      </c>
      <c r="H531" s="9" t="str">
        <f>_xll.BDP($D531,H$40)</f>
        <v>#N/A Field Not Applicable</v>
      </c>
      <c r="L531" s="9">
        <f t="shared" si="56"/>
        <v>32.35</v>
      </c>
    </row>
    <row r="532" spans="1:12" s="9" customFormat="1" x14ac:dyDescent="0.2">
      <c r="A532" s="9" t="s">
        <v>16</v>
      </c>
      <c r="B532" s="9" t="str">
        <f t="shared" ref="B532:B537" si="59">LEFT(D532,FIND(" ",D532)-1)</f>
        <v>CAKE</v>
      </c>
      <c r="C532" s="16" t="str">
        <f t="shared" ref="C532:C537" si="60">IF(A532="STOCK",B532,REPLACE(B532,FIND("+",B532),1,"."))</f>
        <v>CAKE</v>
      </c>
      <c r="D532" s="9" t="s">
        <v>103</v>
      </c>
      <c r="E532" s="9">
        <f>_xll.BDP($D532,E$40)</f>
        <v>16.91</v>
      </c>
      <c r="F532" s="9">
        <f>_xll.BDP($D532,F$40)</f>
        <v>16.91</v>
      </c>
      <c r="G532" s="9">
        <f>_xll.BDP($D532,G$40)</f>
        <v>16.920000000000002</v>
      </c>
      <c r="H532" s="9" t="str">
        <f>_xll.BDP($D532,H$40)</f>
        <v>#N/A Field Not Applicable</v>
      </c>
      <c r="L532" s="9">
        <f t="shared" si="56"/>
        <v>16.91</v>
      </c>
    </row>
    <row r="533" spans="1:12" s="9" customFormat="1" x14ac:dyDescent="0.2">
      <c r="A533" s="9" t="s">
        <v>16</v>
      </c>
      <c r="B533" s="9" t="str">
        <f t="shared" si="59"/>
        <v>JWN</v>
      </c>
      <c r="C533" s="16" t="str">
        <f t="shared" si="60"/>
        <v>JWN</v>
      </c>
      <c r="D533" s="9" t="s">
        <v>234</v>
      </c>
      <c r="E533" s="9">
        <f>_xll.BDP($D533,E$40)</f>
        <v>17.190000000000001</v>
      </c>
      <c r="F533" s="9">
        <f>_xll.BDP($D533,F$40)</f>
        <v>17.190000000000001</v>
      </c>
      <c r="G533" s="9">
        <f>_xll.BDP($D533,G$40)</f>
        <v>17.2</v>
      </c>
      <c r="H533" s="9" t="str">
        <f>_xll.BDP($D533,H$40)</f>
        <v>#N/A Field Not Applicable</v>
      </c>
      <c r="L533" s="9">
        <f t="shared" si="56"/>
        <v>17.190000000000001</v>
      </c>
    </row>
    <row r="534" spans="1:12" s="9" customFormat="1" x14ac:dyDescent="0.2">
      <c r="A534" s="9" t="s">
        <v>16</v>
      </c>
      <c r="B534" s="9" t="str">
        <f t="shared" si="59"/>
        <v>ACHC</v>
      </c>
      <c r="C534" s="16" t="str">
        <f t="shared" si="60"/>
        <v>ACHC</v>
      </c>
      <c r="D534" s="9" t="s">
        <v>492</v>
      </c>
      <c r="E534" s="9">
        <f>_xll.BDP($D534,E$40)</f>
        <v>17.18</v>
      </c>
      <c r="F534" s="9">
        <f>_xll.BDP($D534,F$40)</f>
        <v>17.149999999999999</v>
      </c>
      <c r="G534" s="9">
        <f>_xll.BDP($D534,G$40)</f>
        <v>17.18</v>
      </c>
      <c r="H534" s="9" t="str">
        <f>_xll.BDP($D534,H$40)</f>
        <v>#N/A Field Not Applicable</v>
      </c>
      <c r="L534" s="9">
        <f t="shared" si="56"/>
        <v>17.18</v>
      </c>
    </row>
    <row r="535" spans="1:12" s="9" customFormat="1" x14ac:dyDescent="0.2">
      <c r="A535" s="9" t="s">
        <v>16</v>
      </c>
      <c r="B535" s="9" t="str">
        <f t="shared" si="59"/>
        <v>SFLY</v>
      </c>
      <c r="C535" s="16" t="str">
        <f t="shared" si="60"/>
        <v>SFLY</v>
      </c>
      <c r="D535" s="9" t="s">
        <v>327</v>
      </c>
      <c r="E535" s="9" t="str">
        <f>_xll.BDP($D535,E$40)</f>
        <v>#N/A N/A</v>
      </c>
      <c r="F535" s="9" t="str">
        <f>_xll.BDP($D535,F$40)</f>
        <v>#N/A N/A</v>
      </c>
      <c r="G535" s="9" t="str">
        <f>_xll.BDP($D535,G$40)</f>
        <v>#N/A N/A</v>
      </c>
      <c r="H535" s="9" t="str">
        <f>_xll.BDP($D535,H$40)</f>
        <v>#N/A Field Not Applicable</v>
      </c>
      <c r="L535" s="9" t="str">
        <f t="shared" si="56"/>
        <v>#N/A N/A</v>
      </c>
    </row>
    <row r="536" spans="1:12" s="9" customFormat="1" x14ac:dyDescent="0.2">
      <c r="A536" s="9" t="s">
        <v>16</v>
      </c>
      <c r="B536" s="9" t="str">
        <f t="shared" si="59"/>
        <v>CL3</v>
      </c>
      <c r="C536" s="16" t="str">
        <f t="shared" si="60"/>
        <v>CL3</v>
      </c>
      <c r="D536" s="9" t="s">
        <v>124</v>
      </c>
      <c r="E536" s="9">
        <f>_xll.BDP($D536,E$40)</f>
        <v>29.48</v>
      </c>
      <c r="F536" s="9">
        <f>_xll.BDP($D536,F$40)</f>
        <v>29.47</v>
      </c>
      <c r="G536" s="9">
        <f>_xll.BDP($D536,G$40)</f>
        <v>29.490000000000002</v>
      </c>
      <c r="H536" s="9" t="str">
        <f>_xll.BDP($D536,H$40)</f>
        <v>#N/A Field Not Applicable</v>
      </c>
      <c r="L536" s="9">
        <f t="shared" si="56"/>
        <v>29.48</v>
      </c>
    </row>
    <row r="537" spans="1:12" s="9" customFormat="1" x14ac:dyDescent="0.2">
      <c r="A537" s="9" t="s">
        <v>16</v>
      </c>
      <c r="B537" s="9" t="str">
        <f t="shared" si="59"/>
        <v>SF</v>
      </c>
      <c r="C537" s="16" t="str">
        <f t="shared" si="60"/>
        <v>SF</v>
      </c>
      <c r="D537" s="9" t="s">
        <v>678</v>
      </c>
      <c r="E537" s="9">
        <f>_xll.BDP($D537,E$40)</f>
        <v>36.729999999999997</v>
      </c>
      <c r="F537" s="9">
        <f>_xll.BDP($D537,F$40)</f>
        <v>36.72</v>
      </c>
      <c r="G537" s="9">
        <f>_xll.BDP($D537,G$40)</f>
        <v>36.729999999999997</v>
      </c>
      <c r="H537" s="9" t="str">
        <f>_xll.BDP($D537,H$40)</f>
        <v>#N/A Field Not Applicable</v>
      </c>
      <c r="L537" s="9">
        <f t="shared" si="56"/>
        <v>36.729999999999997</v>
      </c>
    </row>
    <row r="538" spans="1:12" s="9" customFormat="1" x14ac:dyDescent="0.2">
      <c r="A538" s="9" t="s">
        <v>16</v>
      </c>
      <c r="B538" s="9" t="s">
        <v>679</v>
      </c>
      <c r="C538" s="16" t="s">
        <v>679</v>
      </c>
      <c r="D538" s="9" t="s">
        <v>678</v>
      </c>
      <c r="E538" s="21">
        <f>_xll.BDP($D538,E$40)</f>
        <v>36.729999999999997</v>
      </c>
      <c r="F538" s="9">
        <f>_xll.BDP($D538,F$40)</f>
        <v>36.72</v>
      </c>
      <c r="G538" s="9">
        <f>_xll.BDP($D538,G$40)</f>
        <v>36.729999999999997</v>
      </c>
      <c r="H538" s="9" t="str">
        <f>_xll.BDP($D538,H$40)</f>
        <v>#N/A Field Not Applicable</v>
      </c>
      <c r="L538" s="9">
        <f t="shared" si="56"/>
        <v>36.729999999999997</v>
      </c>
    </row>
    <row r="539" spans="1:12" s="9" customFormat="1" x14ac:dyDescent="0.2">
      <c r="A539" s="9" t="s">
        <v>16</v>
      </c>
      <c r="B539" s="9" t="str">
        <f>LEFT(D539,FIND(" ",D539)-1)</f>
        <v>WAL</v>
      </c>
      <c r="C539" s="16" t="str">
        <f>IF(A539="STOCK",B539,REPLACE(B539,FIND("+",B539),1,"."))</f>
        <v>WAL</v>
      </c>
      <c r="D539" s="9" t="s">
        <v>394</v>
      </c>
      <c r="E539" s="9">
        <f>_xll.BDP($D539,E$40)</f>
        <v>24.77</v>
      </c>
      <c r="F539" s="9">
        <f>_xll.BDP($D539,F$40)</f>
        <v>24.77</v>
      </c>
      <c r="G539" s="9">
        <f>_xll.BDP($D539,G$40)</f>
        <v>24.78</v>
      </c>
      <c r="H539" s="9" t="str">
        <f>_xll.BDP($D539,H$40)</f>
        <v>#N/A Field Not Applicable</v>
      </c>
      <c r="L539" s="9">
        <f t="shared" si="56"/>
        <v>24.77</v>
      </c>
    </row>
    <row r="540" spans="1:12" s="9" customFormat="1" x14ac:dyDescent="0.2">
      <c r="A540" s="9" t="s">
        <v>16</v>
      </c>
      <c r="B540" s="9" t="str">
        <f>LEFT(D540,FIND(" ",D540)-1)</f>
        <v>CSX</v>
      </c>
      <c r="C540" s="16" t="str">
        <f>IF(A540="STOCK",B540,REPLACE(B540,FIND("+",B540),1,"."))</f>
        <v>CSX</v>
      </c>
      <c r="D540" s="9" t="s">
        <v>142</v>
      </c>
      <c r="E540" s="9">
        <f>_xll.BDP($D540,E$40)</f>
        <v>48.93</v>
      </c>
      <c r="F540" s="9">
        <f>_xll.BDP($D540,F$40)</f>
        <v>48.87</v>
      </c>
      <c r="G540" s="9">
        <f>_xll.BDP($D540,G$40)</f>
        <v>48.93</v>
      </c>
      <c r="H540" s="9" t="str">
        <f>_xll.BDP($D540,H$40)</f>
        <v>#N/A Field Not Applicable</v>
      </c>
      <c r="L540" s="9">
        <f t="shared" si="56"/>
        <v>48.93</v>
      </c>
    </row>
    <row r="541" spans="1:12" s="9" customFormat="1" x14ac:dyDescent="0.2">
      <c r="A541" s="9" t="s">
        <v>16</v>
      </c>
      <c r="B541" s="9" t="s">
        <v>600</v>
      </c>
      <c r="C541" s="16" t="s">
        <v>600</v>
      </c>
      <c r="D541" s="9" t="s">
        <v>601</v>
      </c>
      <c r="E541" s="9">
        <f>_xll.BDP($D541,E$40)</f>
        <v>15.92</v>
      </c>
      <c r="F541" s="9">
        <f>_xll.BDP($D541,F$40)</f>
        <v>15.91</v>
      </c>
      <c r="G541" s="9">
        <f>_xll.BDP($D541,G$40)</f>
        <v>15.92</v>
      </c>
      <c r="H541" s="9" t="str">
        <f>_xll.BDP($D541,H$40)</f>
        <v>#N/A Field Not Applicable</v>
      </c>
      <c r="L541" s="9">
        <f t="shared" si="56"/>
        <v>15.92</v>
      </c>
    </row>
    <row r="542" spans="1:12" s="9" customFormat="1" x14ac:dyDescent="0.2">
      <c r="A542" s="9" t="s">
        <v>16</v>
      </c>
      <c r="B542" s="9" t="str">
        <f>LEFT(D542,FIND(" ",D542)-1)</f>
        <v>APA</v>
      </c>
      <c r="C542" s="16" t="str">
        <f>IF(A542="STOCK",B542,REPLACE(B542,FIND("+",B542),1,"."))</f>
        <v>APA</v>
      </c>
      <c r="D542" s="9" t="s">
        <v>558</v>
      </c>
      <c r="E542" s="9">
        <f>_xll.BDP($D542,E$40)</f>
        <v>5.46</v>
      </c>
      <c r="F542" s="9">
        <f>_xll.BDP($D542,F$40)</f>
        <v>5.45</v>
      </c>
      <c r="G542" s="9">
        <f>_xll.BDP($D542,G$40)</f>
        <v>5.46</v>
      </c>
      <c r="H542" s="9" t="str">
        <f>_xll.BDP($D542,H$40)</f>
        <v>#N/A Field Not Applicable</v>
      </c>
      <c r="L542" s="9">
        <f t="shared" si="56"/>
        <v>5.46</v>
      </c>
    </row>
    <row r="543" spans="1:12" s="9" customFormat="1" x14ac:dyDescent="0.2">
      <c r="A543" s="9" t="s">
        <v>16</v>
      </c>
      <c r="B543" s="9" t="str">
        <f>LEFT(D543,FIND(" ",D543)-1)</f>
        <v>ORCL</v>
      </c>
      <c r="C543" s="16" t="str">
        <f>IF(A543="STOCK",B543,REPLACE(B543,FIND("+",B543),1,"."))</f>
        <v>ORCL</v>
      </c>
      <c r="D543" s="9" t="s">
        <v>288</v>
      </c>
      <c r="E543" s="9">
        <f>_xll.BDP($D543,E$40)</f>
        <v>42.72</v>
      </c>
      <c r="F543" s="9">
        <f>_xll.BDP($D543,F$40)</f>
        <v>42.72</v>
      </c>
      <c r="G543" s="9">
        <f>_xll.BDP($D543,G$40)</f>
        <v>42.73</v>
      </c>
      <c r="H543" s="9" t="str">
        <f>_xll.BDP($D543,H$40)</f>
        <v>#N/A Field Not Applicable</v>
      </c>
      <c r="L543" s="9">
        <f t="shared" si="56"/>
        <v>42.72</v>
      </c>
    </row>
    <row r="544" spans="1:12" s="9" customFormat="1" x14ac:dyDescent="0.2">
      <c r="A544" s="9" t="s">
        <v>16</v>
      </c>
      <c r="B544" s="9" t="str">
        <f>LEFT(D544,FIND(" ",D544)-1)</f>
        <v>FWRD</v>
      </c>
      <c r="C544" s="16" t="str">
        <f>IF(A544="STOCK",B544,REPLACE(B544,FIND("+",B544),1,"."))</f>
        <v>FWRD</v>
      </c>
      <c r="D544" s="9" t="s">
        <v>406</v>
      </c>
      <c r="E544" s="9">
        <f>_xll.BDP($D544,E$40)</f>
        <v>46.92</v>
      </c>
      <c r="F544" s="9">
        <f>_xll.BDP($D544,F$40)</f>
        <v>46.73</v>
      </c>
      <c r="G544" s="9">
        <f>_xll.BDP($D544,G$40)</f>
        <v>46.91</v>
      </c>
      <c r="H544" s="9" t="str">
        <f>_xll.BDP($D544,H$40)</f>
        <v>#N/A Field Not Applicable</v>
      </c>
      <c r="L544" s="9">
        <f t="shared" si="56"/>
        <v>46.92</v>
      </c>
    </row>
    <row r="545" spans="1:12" s="9" customFormat="1" x14ac:dyDescent="0.2">
      <c r="A545" s="9" t="s">
        <v>16</v>
      </c>
      <c r="B545" s="9" t="str">
        <f>LEFT(D545,FIND(" ",D545)-1)</f>
        <v>HXL</v>
      </c>
      <c r="C545" s="16" t="str">
        <f>IF(A545="STOCK",B545,REPLACE(B545,FIND("+",B545),1,"."))</f>
        <v>HXL</v>
      </c>
      <c r="D545" s="9" t="s">
        <v>215</v>
      </c>
      <c r="E545" s="9">
        <f>_xll.BDP($D545,E$40)</f>
        <v>40.11</v>
      </c>
      <c r="F545" s="9">
        <f>_xll.BDP($D545,F$40)</f>
        <v>40.1</v>
      </c>
      <c r="G545" s="9">
        <f>_xll.BDP($D545,G$40)</f>
        <v>40.11</v>
      </c>
      <c r="H545" s="9" t="str">
        <f>_xll.BDP($D545,H$40)</f>
        <v>#N/A Field Not Applicable</v>
      </c>
      <c r="L545" s="9">
        <f t="shared" si="56"/>
        <v>40.11</v>
      </c>
    </row>
    <row r="546" spans="1:12" s="9" customFormat="1" x14ac:dyDescent="0.2">
      <c r="A546" s="9" t="s">
        <v>16</v>
      </c>
      <c r="B546" s="9" t="str">
        <f>LEFT(D546,FIND(" ",D546)-1)</f>
        <v>PRSC</v>
      </c>
      <c r="C546" s="16" t="str">
        <f>IF(A546="STOCK",B546,REPLACE(B546,FIND("+",B546),1,"."))</f>
        <v>PRSC</v>
      </c>
      <c r="D546" s="9" t="s">
        <v>302</v>
      </c>
      <c r="E546" s="9">
        <f>_xll.BDP($D546,E$40)</f>
        <v>46.57</v>
      </c>
      <c r="F546" s="9">
        <f>_xll.BDP($D546,F$40)</f>
        <v>46.56</v>
      </c>
      <c r="G546" s="9">
        <f>_xll.BDP($D546,G$40)</f>
        <v>46.95</v>
      </c>
      <c r="H546" s="9" t="str">
        <f>_xll.BDP($D546,H$40)</f>
        <v>#N/A Field Not Applicable</v>
      </c>
      <c r="L546" s="9">
        <f t="shared" si="56"/>
        <v>46.57</v>
      </c>
    </row>
    <row r="547" spans="1:12" s="9" customFormat="1" x14ac:dyDescent="0.2">
      <c r="A547" s="9" t="s">
        <v>16</v>
      </c>
      <c r="B547" s="9" t="s">
        <v>632</v>
      </c>
      <c r="C547" s="16" t="s">
        <v>632</v>
      </c>
      <c r="D547" s="9" t="s">
        <v>302</v>
      </c>
      <c r="E547" s="9">
        <f>_xll.BDP($D547,E$40)</f>
        <v>46.57</v>
      </c>
      <c r="F547" s="9">
        <f>_xll.BDP($D547,F$40)</f>
        <v>46.56</v>
      </c>
      <c r="G547" s="9">
        <f>_xll.BDP($D547,G$40)</f>
        <v>46.95</v>
      </c>
      <c r="H547" s="9" t="str">
        <f>_xll.BDP($D547,H$40)</f>
        <v>#N/A Field Not Applicable</v>
      </c>
      <c r="L547" s="9">
        <f t="shared" si="56"/>
        <v>46.57</v>
      </c>
    </row>
    <row r="548" spans="1:12" s="9" customFormat="1" x14ac:dyDescent="0.2">
      <c r="A548" s="9" t="s">
        <v>16</v>
      </c>
      <c r="B548" s="9" t="str">
        <f>LEFT(D548,FIND(" ",D548)-1)</f>
        <v>SAIA</v>
      </c>
      <c r="C548" s="16" t="str">
        <f>IF(A548="STOCK",B548,REPLACE(B548,FIND("+",B548),1,"."))</f>
        <v>SAIA</v>
      </c>
      <c r="D548" s="9" t="s">
        <v>398</v>
      </c>
      <c r="E548" s="9">
        <f>_xll.BDP($D548,E$40)</f>
        <v>67.849999999999994</v>
      </c>
      <c r="F548" s="9">
        <f>_xll.BDP($D548,F$40)</f>
        <v>67.66</v>
      </c>
      <c r="G548" s="9">
        <f>_xll.BDP($D548,G$40)</f>
        <v>67.87</v>
      </c>
      <c r="H548" s="9" t="str">
        <f>_xll.BDP($D548,H$40)</f>
        <v>#N/A Field Not Applicable</v>
      </c>
      <c r="L548" s="9">
        <f t="shared" si="56"/>
        <v>67.849999999999994</v>
      </c>
    </row>
    <row r="549" spans="1:12" s="9" customFormat="1" x14ac:dyDescent="0.2">
      <c r="A549" s="9" t="s">
        <v>16</v>
      </c>
      <c r="B549" s="9" t="str">
        <f>LEFT(D549,FIND(" ",D549)-1)</f>
        <v>ASTE</v>
      </c>
      <c r="C549" s="16" t="str">
        <f>IF(A549="STOCK",B549,REPLACE(B549,FIND("+",B549),1,"."))</f>
        <v>ASTE</v>
      </c>
      <c r="D549" s="9" t="s">
        <v>76</v>
      </c>
      <c r="E549" s="9">
        <f>_xll.BDP($D549,E$40)</f>
        <v>27.54</v>
      </c>
      <c r="F549" s="9">
        <f>_xll.BDP($D549,F$40)</f>
        <v>27.53</v>
      </c>
      <c r="G549" s="9">
        <f>_xll.BDP($D549,G$40)</f>
        <v>27.82</v>
      </c>
      <c r="H549" s="9" t="str">
        <f>_xll.BDP($D549,H$40)</f>
        <v>#N/A Field Not Applicable</v>
      </c>
      <c r="L549" s="9">
        <f t="shared" ref="L549:L607" si="61">IF(A549="STOCK",E549,IF(A549="SOPTION",G549,IF(A549="LOPTION",F549,"")))</f>
        <v>27.54</v>
      </c>
    </row>
    <row r="550" spans="1:12" s="9" customFormat="1" x14ac:dyDescent="0.2">
      <c r="A550" s="9" t="s">
        <v>16</v>
      </c>
      <c r="B550" s="9" t="str">
        <f>LEFT(D550,FIND(" ",D550)-1)</f>
        <v>RPM</v>
      </c>
      <c r="C550" s="16" t="str">
        <f>IF(A550="STOCK",B550,REPLACE(B550,FIND("+",B550),1,"."))</f>
        <v>RPM</v>
      </c>
      <c r="D550" s="9" t="s">
        <v>316</v>
      </c>
      <c r="E550" s="9">
        <f>_xll.BDP($D550,E$40)</f>
        <v>57.83</v>
      </c>
      <c r="F550" s="9">
        <f>_xll.BDP($D550,F$40)</f>
        <v>57.82</v>
      </c>
      <c r="G550" s="9">
        <f>_xll.BDP($D550,G$40)</f>
        <v>57.83</v>
      </c>
      <c r="H550" s="9" t="str">
        <f>_xll.BDP($D550,H$40)</f>
        <v>#N/A Field Not Applicable</v>
      </c>
      <c r="L550" s="9">
        <f t="shared" si="61"/>
        <v>57.83</v>
      </c>
    </row>
    <row r="551" spans="1:12" s="9" customFormat="1" x14ac:dyDescent="0.2">
      <c r="A551" s="9" t="s">
        <v>16</v>
      </c>
      <c r="B551" s="9" t="str">
        <f>LEFT(D551,FIND(" ",D551)-1)</f>
        <v>NWL</v>
      </c>
      <c r="C551" s="16" t="str">
        <f>IF(A551="STOCK",B551,REPLACE(B551,FIND("+",B551),1,"."))</f>
        <v>NWL</v>
      </c>
      <c r="D551" s="9" t="s">
        <v>281</v>
      </c>
      <c r="E551" s="9">
        <f>_xll.BDP($D551,E$40)</f>
        <v>12.28</v>
      </c>
      <c r="F551" s="9">
        <f>_xll.BDP($D551,F$40)</f>
        <v>12.27</v>
      </c>
      <c r="G551" s="9">
        <f>_xll.BDP($D551,G$40)</f>
        <v>12.28</v>
      </c>
      <c r="H551" s="9" t="str">
        <f>_xll.BDP($D551,H$40)</f>
        <v>#N/A Field Not Applicable</v>
      </c>
      <c r="L551" s="9">
        <f t="shared" si="61"/>
        <v>12.28</v>
      </c>
    </row>
    <row r="552" spans="1:12" s="9" customFormat="1" x14ac:dyDescent="0.2">
      <c r="A552" s="9" t="s">
        <v>16</v>
      </c>
      <c r="B552" s="23" t="s">
        <v>809</v>
      </c>
      <c r="C552" s="17" t="s">
        <v>809</v>
      </c>
      <c r="D552" s="22" t="s">
        <v>810</v>
      </c>
      <c r="E552" s="21">
        <f>_xll.BDP($D552,E$40)</f>
        <v>23.71</v>
      </c>
      <c r="F552" s="9">
        <f>_xll.BDP($D552,F$40)</f>
        <v>23.7</v>
      </c>
      <c r="G552" s="9">
        <f>_xll.BDP($D552,G$40)</f>
        <v>23.71</v>
      </c>
      <c r="H552" s="9" t="str">
        <f>_xll.BDP($D552,H$40)</f>
        <v>#N/A Field Not Applicable</v>
      </c>
      <c r="L552" s="9">
        <f t="shared" si="61"/>
        <v>23.71</v>
      </c>
    </row>
    <row r="553" spans="1:12" s="9" customFormat="1" x14ac:dyDescent="0.2">
      <c r="A553" s="9" t="s">
        <v>16</v>
      </c>
      <c r="B553" s="9" t="str">
        <f>LEFT(D553,FIND(" ",D553)-1)</f>
        <v>USB</v>
      </c>
      <c r="C553" s="16" t="str">
        <f>IF(A553="STOCK",B553,REPLACE(B553,FIND("+",B553),1,"."))</f>
        <v>USB</v>
      </c>
      <c r="D553" s="9" t="s">
        <v>365</v>
      </c>
      <c r="E553" s="9">
        <f>_xll.BDP($D553,E$40)</f>
        <v>32.57</v>
      </c>
      <c r="F553" s="9">
        <f>_xll.BDP($D553,F$40)</f>
        <v>32.56</v>
      </c>
      <c r="G553" s="9">
        <f>_xll.BDP($D553,G$40)</f>
        <v>32.57</v>
      </c>
      <c r="H553" s="9" t="str">
        <f>_xll.BDP($D553,H$40)</f>
        <v>#N/A Field Not Applicable</v>
      </c>
      <c r="L553" s="9">
        <f t="shared" si="61"/>
        <v>32.57</v>
      </c>
    </row>
    <row r="554" spans="1:12" s="9" customFormat="1" x14ac:dyDescent="0.2">
      <c r="A554" s="9" t="s">
        <v>16</v>
      </c>
      <c r="B554" s="23" t="s">
        <v>898</v>
      </c>
      <c r="C554" s="17" t="s">
        <v>898</v>
      </c>
      <c r="D554" s="22" t="s">
        <v>899</v>
      </c>
      <c r="E554" s="21">
        <f>_xll.BDP($D554,E$40)</f>
        <v>32.57</v>
      </c>
      <c r="F554" s="9">
        <f>_xll.BDP($D554,F$40)</f>
        <v>32.56</v>
      </c>
      <c r="G554" s="9">
        <f>_xll.BDP($D554,G$40)</f>
        <v>32.57</v>
      </c>
      <c r="H554" s="9" t="str">
        <f>_xll.BDP($D554,H$40)</f>
        <v>#N/A Field Not Applicable</v>
      </c>
      <c r="L554" s="9">
        <f t="shared" si="61"/>
        <v>32.57</v>
      </c>
    </row>
    <row r="555" spans="1:12" s="9" customFormat="1" x14ac:dyDescent="0.2">
      <c r="A555" s="9" t="s">
        <v>16</v>
      </c>
      <c r="B555" s="9" t="str">
        <f>LEFT(D555,FIND(" ",D555)-1)</f>
        <v>QCOM</v>
      </c>
      <c r="C555" s="16" t="str">
        <f>IF(A555="STOCK",B555,REPLACE(B555,FIND("+",B555),1,"."))</f>
        <v>QCOM</v>
      </c>
      <c r="D555" s="9" t="s">
        <v>306</v>
      </c>
      <c r="E555" s="9">
        <f>_xll.BDP($D555,E$40)</f>
        <v>64.48</v>
      </c>
      <c r="F555" s="9">
        <f>_xll.BDP($D555,F$40)</f>
        <v>64.5</v>
      </c>
      <c r="G555" s="9">
        <f>_xll.BDP($D555,G$40)</f>
        <v>64.510000000000005</v>
      </c>
      <c r="H555" s="9" t="str">
        <f>_xll.BDP($D555,H$40)</f>
        <v>#N/A Field Not Applicable</v>
      </c>
      <c r="L555" s="9">
        <f t="shared" si="61"/>
        <v>64.48</v>
      </c>
    </row>
    <row r="556" spans="1:12" s="9" customFormat="1" x14ac:dyDescent="0.2">
      <c r="A556" s="9" t="s">
        <v>16</v>
      </c>
      <c r="B556" s="23" t="s">
        <v>973</v>
      </c>
      <c r="C556" s="17" t="s">
        <v>973</v>
      </c>
      <c r="D556" s="22" t="s">
        <v>974</v>
      </c>
      <c r="E556" s="21">
        <f>_xll.BDP($D556,E$40)</f>
        <v>54.65</v>
      </c>
      <c r="F556" s="9">
        <f>_xll.BDP($D556,F$40)</f>
        <v>54.64</v>
      </c>
      <c r="G556" s="9">
        <f>_xll.BDP($D556,G$40)</f>
        <v>54.65</v>
      </c>
      <c r="H556" s="9" t="str">
        <f>_xll.BDP($D556,H$40)</f>
        <v>#N/A Field Not Applicable</v>
      </c>
      <c r="L556" s="9">
        <f t="shared" si="61"/>
        <v>54.65</v>
      </c>
    </row>
    <row r="557" spans="1:12" s="9" customFormat="1" x14ac:dyDescent="0.2">
      <c r="A557" s="9" t="s">
        <v>16</v>
      </c>
      <c r="B557" s="9" t="str">
        <f>LEFT(D557,FIND(" ",D557)-1)</f>
        <v>LEN</v>
      </c>
      <c r="C557" s="16" t="str">
        <f>IF(A557="STOCK",B557,REPLACE(B557,FIND("+",B557),1,"."))</f>
        <v>LEN</v>
      </c>
      <c r="D557" s="9" t="s">
        <v>241</v>
      </c>
      <c r="E557" s="9">
        <f>_xll.BDP($D557,E$40)</f>
        <v>36.72</v>
      </c>
      <c r="F557" s="9">
        <f>_xll.BDP($D557,F$40)</f>
        <v>36.71</v>
      </c>
      <c r="G557" s="9">
        <f>_xll.BDP($D557,G$40)</f>
        <v>36.72</v>
      </c>
      <c r="H557" s="9" t="str">
        <f>_xll.BDP($D557,H$40)</f>
        <v>#N/A Field Not Applicable</v>
      </c>
      <c r="L557" s="9">
        <f t="shared" si="61"/>
        <v>36.72</v>
      </c>
    </row>
    <row r="558" spans="1:12" s="9" customFormat="1" x14ac:dyDescent="0.2">
      <c r="A558" s="9" t="s">
        <v>16</v>
      </c>
      <c r="B558" s="23" t="s">
        <v>871</v>
      </c>
      <c r="C558" s="17" t="s">
        <v>871</v>
      </c>
      <c r="D558" s="22" t="s">
        <v>50</v>
      </c>
      <c r="E558" s="21">
        <f>_xll.BDP($D558,E$40)</f>
        <v>46.39</v>
      </c>
      <c r="F558" s="9">
        <f>_xll.BDP($D558,F$40)</f>
        <v>46.38</v>
      </c>
      <c r="G558" s="9">
        <f>_xll.BDP($D558,G$40)</f>
        <v>46.44</v>
      </c>
      <c r="H558" s="9" t="str">
        <f>_xll.BDP($D558,H$40)</f>
        <v>#N/A Field Not Applicable</v>
      </c>
      <c r="L558" s="9">
        <f t="shared" si="61"/>
        <v>46.39</v>
      </c>
    </row>
    <row r="559" spans="1:12" s="9" customFormat="1" x14ac:dyDescent="0.2">
      <c r="A559" s="9" t="s">
        <v>16</v>
      </c>
      <c r="B559" s="9" t="str">
        <f>LEFT(D559,FIND(" ",D559)-1)</f>
        <v>TCX</v>
      </c>
      <c r="C559" s="16" t="str">
        <f>IF(A559="STOCK",B559,REPLACE(B559,FIND("+",B559),1,"."))</f>
        <v>TCX</v>
      </c>
      <c r="D559" s="9" t="s">
        <v>341</v>
      </c>
      <c r="E559" s="9">
        <f>_xll.BDP($D559,E$40)</f>
        <v>46.61</v>
      </c>
      <c r="F559" s="9">
        <f>_xll.BDP($D559,F$40)</f>
        <v>46.59</v>
      </c>
      <c r="G559" s="9">
        <f>_xll.BDP($D559,G$40)</f>
        <v>46.8</v>
      </c>
      <c r="H559" s="9" t="str">
        <f>_xll.BDP($D559,H$40)</f>
        <v>#N/A Field Not Applicable</v>
      </c>
      <c r="L559" s="9">
        <f t="shared" si="61"/>
        <v>46.61</v>
      </c>
    </row>
    <row r="560" spans="1:12" s="9" customFormat="1" x14ac:dyDescent="0.2">
      <c r="A560" s="9" t="s">
        <v>16</v>
      </c>
      <c r="B560" s="9" t="str">
        <f>LEFT(D560,FIND(" ",D560)-1)</f>
        <v>CBT</v>
      </c>
      <c r="C560" s="16" t="str">
        <f>IF(A560="STOCK",B560,REPLACE(B560,FIND("+",B560),1,"."))</f>
        <v>CBT</v>
      </c>
      <c r="D560" s="9" t="s">
        <v>107</v>
      </c>
      <c r="E560" s="9">
        <f>_xll.BDP($D560,E$40)</f>
        <v>26.12</v>
      </c>
      <c r="F560" s="9">
        <f>_xll.BDP($D560,F$40)</f>
        <v>26.09</v>
      </c>
      <c r="G560" s="9">
        <f>_xll.BDP($D560,G$40)</f>
        <v>26.1</v>
      </c>
      <c r="H560" s="9" t="str">
        <f>_xll.BDP($D560,H$40)</f>
        <v>#N/A Field Not Applicable</v>
      </c>
      <c r="L560" s="9">
        <f t="shared" si="61"/>
        <v>26.12</v>
      </c>
    </row>
    <row r="561" spans="1:12" s="9" customFormat="1" x14ac:dyDescent="0.2">
      <c r="A561" s="9" t="s">
        <v>16</v>
      </c>
      <c r="B561" s="9" t="str">
        <f>LEFT(D561,FIND(" ",D561)-1)</f>
        <v>WFC</v>
      </c>
      <c r="C561" s="16" t="str">
        <f>IF(A561="STOCK",B561,REPLACE(B561,FIND("+",B561),1,"."))</f>
        <v>WFC</v>
      </c>
      <c r="D561" s="9" t="s">
        <v>377</v>
      </c>
      <c r="E561" s="9">
        <f>_xll.BDP($D561,E$40)</f>
        <v>26.5</v>
      </c>
      <c r="F561" s="9">
        <f>_xll.BDP($D561,F$40)</f>
        <v>26.45</v>
      </c>
      <c r="G561" s="9">
        <f>_xll.BDP($D561,G$40)</f>
        <v>26.46</v>
      </c>
      <c r="H561" s="9" t="str">
        <f>_xll.BDP($D561,H$40)</f>
        <v>#N/A Field Not Applicable</v>
      </c>
      <c r="L561" s="9">
        <f t="shared" si="61"/>
        <v>26.5</v>
      </c>
    </row>
    <row r="562" spans="1:12" s="9" customFormat="1" x14ac:dyDescent="0.2">
      <c r="A562" s="9" t="s">
        <v>16</v>
      </c>
      <c r="B562" s="9" t="str">
        <f>LEFT(D562,FIND(" ",D562)-1)</f>
        <v>H</v>
      </c>
      <c r="C562" s="16" t="str">
        <f>IF(A562="STOCK",B562,REPLACE(B562,FIND("+",B562),1,"."))</f>
        <v>H</v>
      </c>
      <c r="D562" s="9" t="s">
        <v>490</v>
      </c>
      <c r="E562" s="9">
        <f>_xll.BDP($D562,E$40)</f>
        <v>49.61</v>
      </c>
      <c r="F562" s="9">
        <f>_xll.BDP($D562,F$40)</f>
        <v>49.59</v>
      </c>
      <c r="G562" s="9">
        <f>_xll.BDP($D562,G$40)</f>
        <v>49.6</v>
      </c>
      <c r="H562" s="9" t="str">
        <f>_xll.BDP($D562,H$40)</f>
        <v>#N/A Field Not Applicable</v>
      </c>
      <c r="L562" s="9">
        <f t="shared" si="61"/>
        <v>49.61</v>
      </c>
    </row>
    <row r="563" spans="1:12" s="9" customFormat="1" x14ac:dyDescent="0.2">
      <c r="A563" s="9" t="s">
        <v>16</v>
      </c>
      <c r="B563" s="23" t="s">
        <v>880</v>
      </c>
      <c r="C563" s="17" t="s">
        <v>880</v>
      </c>
      <c r="D563" s="22" t="s">
        <v>490</v>
      </c>
      <c r="E563" s="21">
        <f>_xll.BDP($D563,E$40)</f>
        <v>49.61</v>
      </c>
      <c r="F563" s="9">
        <f>_xll.BDP($D563,F$40)</f>
        <v>49.59</v>
      </c>
      <c r="G563" s="9">
        <f>_xll.BDP($D563,G$40)</f>
        <v>49.6</v>
      </c>
      <c r="H563" s="9" t="str">
        <f>_xll.BDP($D563,H$40)</f>
        <v>#N/A Field Not Applicable</v>
      </c>
      <c r="L563" s="9">
        <f t="shared" si="61"/>
        <v>49.61</v>
      </c>
    </row>
    <row r="564" spans="1:12" s="9" customFormat="1" x14ac:dyDescent="0.2">
      <c r="A564" s="9" t="s">
        <v>16</v>
      </c>
      <c r="B564" s="23" t="s">
        <v>719</v>
      </c>
      <c r="C564" s="17" t="s">
        <v>719</v>
      </c>
      <c r="D564" s="22" t="s">
        <v>720</v>
      </c>
      <c r="E564" s="21">
        <f>_xll.BDP($D564,E$40)</f>
        <v>45.44</v>
      </c>
      <c r="F564" s="9">
        <f>_xll.BDP($D564,F$40)</f>
        <v>45.44</v>
      </c>
      <c r="G564" s="9">
        <f>_xll.BDP($D564,G$40)</f>
        <v>45.55</v>
      </c>
      <c r="H564" s="9" t="str">
        <f>_xll.BDP($D564,H$40)</f>
        <v>#N/A Field Not Applicable</v>
      </c>
      <c r="L564" s="9">
        <f t="shared" si="61"/>
        <v>45.44</v>
      </c>
    </row>
    <row r="565" spans="1:12" s="9" customFormat="1" x14ac:dyDescent="0.2">
      <c r="A565" s="9" t="s">
        <v>16</v>
      </c>
      <c r="B565" s="9" t="str">
        <f t="shared" ref="B565:B570" si="62">LEFT(D565,FIND(" ",D565)-1)</f>
        <v>TGT</v>
      </c>
      <c r="C565" s="16" t="str">
        <f t="shared" ref="C565:C570" si="63">IF(A565="STOCK",B565,REPLACE(B565,FIND("+",B565),1,"."))</f>
        <v>TGT</v>
      </c>
      <c r="D565" s="9" t="s">
        <v>346</v>
      </c>
      <c r="E565" s="9">
        <f>_xll.BDP($D565,E$40)</f>
        <v>93.79</v>
      </c>
      <c r="F565" s="9">
        <f>_xll.BDP($D565,F$40)</f>
        <v>93.79</v>
      </c>
      <c r="G565" s="9">
        <f>_xll.BDP($D565,G$40)</f>
        <v>93.81</v>
      </c>
      <c r="H565" s="9" t="str">
        <f>_xll.BDP($D565,H$40)</f>
        <v>#N/A Field Not Applicable</v>
      </c>
      <c r="L565" s="9">
        <f t="shared" si="61"/>
        <v>93.79</v>
      </c>
    </row>
    <row r="566" spans="1:12" s="9" customFormat="1" x14ac:dyDescent="0.2">
      <c r="A566" s="9" t="s">
        <v>16</v>
      </c>
      <c r="B566" s="9" t="str">
        <f t="shared" si="62"/>
        <v>SYNA</v>
      </c>
      <c r="C566" s="16" t="str">
        <f t="shared" si="63"/>
        <v>SYNA</v>
      </c>
      <c r="D566" s="9" t="s">
        <v>337</v>
      </c>
      <c r="E566" s="9">
        <f>_xll.BDP($D566,E$40)</f>
        <v>54.12</v>
      </c>
      <c r="F566" s="9">
        <f>_xll.BDP($D566,F$40)</f>
        <v>54.11</v>
      </c>
      <c r="G566" s="9">
        <f>_xll.BDP($D566,G$40)</f>
        <v>54.12</v>
      </c>
      <c r="H566" s="9" t="str">
        <f>_xll.BDP($D566,H$40)</f>
        <v>#N/A Field Not Applicable</v>
      </c>
      <c r="L566" s="9">
        <f t="shared" si="61"/>
        <v>54.12</v>
      </c>
    </row>
    <row r="567" spans="1:12" s="9" customFormat="1" x14ac:dyDescent="0.2">
      <c r="A567" s="9" t="s">
        <v>16</v>
      </c>
      <c r="B567" s="9" t="str">
        <f t="shared" si="62"/>
        <v>LUV</v>
      </c>
      <c r="C567" s="16" t="str">
        <f t="shared" si="63"/>
        <v>LUV</v>
      </c>
      <c r="D567" s="4" t="s">
        <v>247</v>
      </c>
      <c r="E567" s="9">
        <f>_xll.BDP($D567,E$40)</f>
        <v>37.520000000000003</v>
      </c>
      <c r="F567" s="9">
        <f>_xll.BDP($D567,F$40)</f>
        <v>37.51</v>
      </c>
      <c r="G567" s="9">
        <f>_xll.BDP($D567,G$40)</f>
        <v>37.520000000000003</v>
      </c>
      <c r="H567" s="9" t="str">
        <f>_xll.BDP($D567,H$40)</f>
        <v>#N/A Field Not Applicable</v>
      </c>
      <c r="L567" s="9">
        <f t="shared" si="61"/>
        <v>37.520000000000003</v>
      </c>
    </row>
    <row r="568" spans="1:12" s="9" customFormat="1" x14ac:dyDescent="0.2">
      <c r="A568" s="9" t="s">
        <v>16</v>
      </c>
      <c r="B568" s="9" t="str">
        <f t="shared" si="62"/>
        <v>BC</v>
      </c>
      <c r="C568" s="16" t="str">
        <f t="shared" si="63"/>
        <v>BC</v>
      </c>
      <c r="D568" s="9" t="s">
        <v>90</v>
      </c>
      <c r="E568" s="9">
        <f>_xll.BDP($D568,E$40)</f>
        <v>32.9</v>
      </c>
      <c r="F568" s="9">
        <f>_xll.BDP($D568,F$40)</f>
        <v>32.89</v>
      </c>
      <c r="G568" s="9">
        <f>_xll.BDP($D568,G$40)</f>
        <v>32.9</v>
      </c>
      <c r="H568" s="9" t="str">
        <f>_xll.BDP($D568,H$40)</f>
        <v>#N/A Field Not Applicable</v>
      </c>
      <c r="L568" s="9">
        <f t="shared" si="61"/>
        <v>32.9</v>
      </c>
    </row>
    <row r="569" spans="1:12" s="9" customFormat="1" x14ac:dyDescent="0.2">
      <c r="A569" s="9" t="s">
        <v>16</v>
      </c>
      <c r="B569" s="9" t="str">
        <f t="shared" si="62"/>
        <v>IHG</v>
      </c>
      <c r="C569" s="16" t="str">
        <f t="shared" si="63"/>
        <v>IHG</v>
      </c>
      <c r="D569" s="9" t="s">
        <v>405</v>
      </c>
      <c r="E569" s="9">
        <f>_xll.BDP($D569,E$40)</f>
        <v>35.549999999999997</v>
      </c>
      <c r="F569" s="9">
        <f>_xll.BDP($D569,F$40)</f>
        <v>35.520000000000003</v>
      </c>
      <c r="G569" s="9">
        <f>_xll.BDP($D569,G$40)</f>
        <v>35.57</v>
      </c>
      <c r="H569" s="9" t="str">
        <f>_xll.BDP($D569,H$40)</f>
        <v>#N/A Field Not Applicable</v>
      </c>
      <c r="L569" s="9">
        <f t="shared" si="61"/>
        <v>35.549999999999997</v>
      </c>
    </row>
    <row r="570" spans="1:12" s="9" customFormat="1" x14ac:dyDescent="0.2">
      <c r="A570" s="9" t="s">
        <v>16</v>
      </c>
      <c r="B570" s="9" t="str">
        <f t="shared" si="62"/>
        <v>BBY</v>
      </c>
      <c r="C570" s="16" t="str">
        <f t="shared" si="63"/>
        <v>BBY</v>
      </c>
      <c r="D570" s="9" t="s">
        <v>89</v>
      </c>
      <c r="E570" s="9">
        <f>_xll.BDP($D570,E$40)</f>
        <v>57.3</v>
      </c>
      <c r="F570" s="9">
        <f>_xll.BDP($D570,F$40)</f>
        <v>57.29</v>
      </c>
      <c r="G570" s="9">
        <f>_xll.BDP($D570,G$40)</f>
        <v>57.32</v>
      </c>
      <c r="H570" s="9" t="str">
        <f>_xll.BDP($D570,H$40)</f>
        <v>#N/A Field Not Applicable</v>
      </c>
      <c r="L570" s="9">
        <f t="shared" si="61"/>
        <v>57.3</v>
      </c>
    </row>
    <row r="571" spans="1:12" s="9" customFormat="1" x14ac:dyDescent="0.2">
      <c r="A571" s="9" t="s">
        <v>16</v>
      </c>
      <c r="B571" s="23" t="s">
        <v>876</v>
      </c>
      <c r="C571" s="17" t="s">
        <v>876</v>
      </c>
      <c r="D571" s="22" t="s">
        <v>89</v>
      </c>
      <c r="E571" s="21">
        <f>_xll.BDP($D571,E$40)</f>
        <v>57.3</v>
      </c>
      <c r="F571" s="9">
        <f>_xll.BDP($D571,F$40)</f>
        <v>57.29</v>
      </c>
      <c r="G571" s="9">
        <f>_xll.BDP($D571,G$40)</f>
        <v>57.32</v>
      </c>
      <c r="H571" s="9" t="str">
        <f>_xll.BDP($D571,H$40)</f>
        <v>#N/A Field Not Applicable</v>
      </c>
      <c r="L571" s="9">
        <f t="shared" si="61"/>
        <v>57.3</v>
      </c>
    </row>
    <row r="572" spans="1:12" s="9" customFormat="1" x14ac:dyDescent="0.2">
      <c r="A572" s="9" t="s">
        <v>16</v>
      </c>
      <c r="B572" s="23" t="s">
        <v>733</v>
      </c>
      <c r="C572" s="17" t="s">
        <v>733</v>
      </c>
      <c r="D572" s="22" t="s">
        <v>734</v>
      </c>
      <c r="E572" s="21">
        <f>_xll.BDP($D572,E$40)</f>
        <v>44.98</v>
      </c>
      <c r="F572" s="9">
        <f>_xll.BDP($D572,F$40)</f>
        <v>44.97</v>
      </c>
      <c r="G572" s="9">
        <f>_xll.BDP($D572,G$40)</f>
        <v>44.98</v>
      </c>
      <c r="H572" s="9" t="str">
        <f>_xll.BDP($D572,H$40)</f>
        <v>#N/A Field Not Applicable</v>
      </c>
      <c r="L572" s="9">
        <f t="shared" si="61"/>
        <v>44.98</v>
      </c>
    </row>
    <row r="573" spans="1:12" s="9" customFormat="1" x14ac:dyDescent="0.2">
      <c r="A573" s="9" t="s">
        <v>16</v>
      </c>
      <c r="B573" s="9" t="str">
        <f>LEFT(D573,FIND(" ",D573)-1)</f>
        <v>TSCO</v>
      </c>
      <c r="C573" s="16" t="str">
        <f>IF(A573="STOCK",B573,REPLACE(B573,FIND("+",B573),1,"."))</f>
        <v>TSCO</v>
      </c>
      <c r="D573" s="9" t="s">
        <v>354</v>
      </c>
      <c r="E573" s="9">
        <f>_xll.BDP($D573,E$40)</f>
        <v>67.36</v>
      </c>
      <c r="F573" s="9">
        <f>_xll.BDP($D573,F$40)</f>
        <v>67.349999999999994</v>
      </c>
      <c r="G573" s="9">
        <f>_xll.BDP($D573,G$40)</f>
        <v>67.459999999999994</v>
      </c>
      <c r="H573" s="9" t="str">
        <f>_xll.BDP($D573,H$40)</f>
        <v>#N/A Field Not Applicable</v>
      </c>
      <c r="L573" s="9">
        <f t="shared" si="61"/>
        <v>67.36</v>
      </c>
    </row>
    <row r="574" spans="1:12" s="9" customFormat="1" x14ac:dyDescent="0.2">
      <c r="A574" s="9" t="s">
        <v>16</v>
      </c>
      <c r="B574" s="9" t="str">
        <f>LEFT(D574,FIND(" ",D574)-1)</f>
        <v>LHCG</v>
      </c>
      <c r="C574" s="16" t="str">
        <f>IF(A574="STOCK",B574,REPLACE(B574,FIND("+",B574),1,"."))</f>
        <v>LHCG</v>
      </c>
      <c r="D574" s="9" t="s">
        <v>243</v>
      </c>
      <c r="E574" s="9">
        <f>_xll.BDP($D574,E$40)</f>
        <v>104.81</v>
      </c>
      <c r="F574" s="9">
        <f>_xll.BDP($D574,F$40)</f>
        <v>104.93</v>
      </c>
      <c r="G574" s="9">
        <f>_xll.BDP($D574,G$40)</f>
        <v>105.45</v>
      </c>
      <c r="H574" s="9" t="str">
        <f>_xll.BDP($D574,H$40)</f>
        <v>#N/A Field Not Applicable</v>
      </c>
      <c r="L574" s="9">
        <f t="shared" si="61"/>
        <v>104.81</v>
      </c>
    </row>
    <row r="575" spans="1:12" s="9" customFormat="1" x14ac:dyDescent="0.2">
      <c r="A575" s="9" t="s">
        <v>16</v>
      </c>
      <c r="B575" s="9" t="str">
        <f>LEFT(D575,FIND(" ",D575)-1)</f>
        <v>LHCG</v>
      </c>
      <c r="C575" s="16" t="str">
        <f>IF(A575="STOCK",B575,REPLACE(B575,FIND("+",B575),1,"."))</f>
        <v>LHCG</v>
      </c>
      <c r="D575" s="9" t="s">
        <v>243</v>
      </c>
      <c r="E575" s="9">
        <f>_xll.BDP($D575,E$40)</f>
        <v>104.81</v>
      </c>
      <c r="F575" s="9">
        <f>_xll.BDP($D575,F$40)</f>
        <v>104.93</v>
      </c>
      <c r="G575" s="9">
        <f>_xll.BDP($D575,G$40)</f>
        <v>105.45</v>
      </c>
      <c r="H575" s="9" t="str">
        <f>_xll.BDP($D575,H$40)</f>
        <v>#N/A Field Not Applicable</v>
      </c>
      <c r="L575" s="9">
        <f t="shared" si="61"/>
        <v>104.81</v>
      </c>
    </row>
    <row r="576" spans="1:12" s="9" customFormat="1" x14ac:dyDescent="0.2">
      <c r="A576" s="9" t="s">
        <v>16</v>
      </c>
      <c r="B576" s="9" t="str">
        <f>LEFT(D576,FIND(" ",D576)-1)</f>
        <v>EXPD</v>
      </c>
      <c r="C576" s="16" t="str">
        <f>IF(A576="STOCK",B576,REPLACE(B576,FIND("+",B576),1,"."))</f>
        <v>EXPD</v>
      </c>
      <c r="D576" s="9" t="s">
        <v>177</v>
      </c>
      <c r="E576" s="9">
        <f>_xll.BDP($D576,E$40)</f>
        <v>58.74</v>
      </c>
      <c r="F576" s="9">
        <f>_xll.BDP($D576,F$40)</f>
        <v>58.78</v>
      </c>
      <c r="G576" s="9">
        <f>_xll.BDP($D576,G$40)</f>
        <v>58.79</v>
      </c>
      <c r="H576" s="9" t="str">
        <f>_xll.BDP($D576,H$40)</f>
        <v>#N/A Field Not Applicable</v>
      </c>
      <c r="L576" s="9">
        <f t="shared" si="61"/>
        <v>58.74</v>
      </c>
    </row>
    <row r="577" spans="1:12" s="9" customFormat="1" x14ac:dyDescent="0.2">
      <c r="A577" s="9" t="s">
        <v>16</v>
      </c>
      <c r="B577" s="9" t="str">
        <f>LEFT(D577,FIND(" ",D577)-1)</f>
        <v>CTRP</v>
      </c>
      <c r="C577" s="16" t="str">
        <f>IF(A577="STOCK",B577,REPLACE(B577,FIND("+",B577),1,"."))</f>
        <v>CTRP</v>
      </c>
      <c r="D577" s="9" t="s">
        <v>145</v>
      </c>
      <c r="E577" s="9" t="str">
        <f>_xll.BDP($D577,E$40)</f>
        <v>#N/A N/A</v>
      </c>
      <c r="F577" s="9" t="str">
        <f>_xll.BDP($D577,F$40)</f>
        <v>#N/A N/A</v>
      </c>
      <c r="G577" s="9" t="str">
        <f>_xll.BDP($D577,G$40)</f>
        <v>#N/A N/A</v>
      </c>
      <c r="H577" s="9" t="str">
        <f>_xll.BDP($D577,H$40)</f>
        <v>#N/A Field Not Applicable</v>
      </c>
      <c r="L577" s="9" t="str">
        <f t="shared" si="61"/>
        <v>#N/A N/A</v>
      </c>
    </row>
    <row r="578" spans="1:12" s="9" customFormat="1" x14ac:dyDescent="0.2">
      <c r="A578" s="9" t="s">
        <v>16</v>
      </c>
      <c r="B578" s="23" t="s">
        <v>737</v>
      </c>
      <c r="C578" s="17" t="s">
        <v>737</v>
      </c>
      <c r="D578" s="22" t="s">
        <v>145</v>
      </c>
      <c r="E578" s="21" t="str">
        <f>_xll.BDP($D578,E$40)</f>
        <v>#N/A N/A</v>
      </c>
      <c r="F578" s="9" t="str">
        <f>_xll.BDP($D578,F$40)</f>
        <v>#N/A N/A</v>
      </c>
      <c r="G578" s="9" t="str">
        <f>_xll.BDP($D578,G$40)</f>
        <v>#N/A N/A</v>
      </c>
      <c r="H578" s="9" t="str">
        <f>_xll.BDP($D578,H$40)</f>
        <v>#N/A Field Not Applicable</v>
      </c>
      <c r="L578" s="9" t="str">
        <f t="shared" si="61"/>
        <v>#N/A N/A</v>
      </c>
    </row>
    <row r="579" spans="1:12" s="9" customFormat="1" x14ac:dyDescent="0.2">
      <c r="A579" s="9" t="s">
        <v>16</v>
      </c>
      <c r="B579" s="9" t="str">
        <f>LEFT(D579,FIND(" ",D579)-1)</f>
        <v>FCFS</v>
      </c>
      <c r="C579" s="16" t="str">
        <f>IF(A579="STOCK",B579,REPLACE(B579,FIND("+",B579),1,"."))</f>
        <v>FCFS</v>
      </c>
      <c r="D579" s="9" t="s">
        <v>183</v>
      </c>
      <c r="E579" s="9">
        <f>_xll.BDP($D579,E$40)</f>
        <v>71.92</v>
      </c>
      <c r="F579" s="9">
        <f>_xll.BDP($D579,F$40)</f>
        <v>71.91</v>
      </c>
      <c r="G579" s="9">
        <f>_xll.BDP($D579,G$40)</f>
        <v>72.05</v>
      </c>
      <c r="H579" s="9" t="str">
        <f>_xll.BDP($D579,H$40)</f>
        <v>#N/A Field Not Applicable</v>
      </c>
      <c r="L579" s="9">
        <f t="shared" si="61"/>
        <v>71.92</v>
      </c>
    </row>
    <row r="580" spans="1:12" s="9" customFormat="1" x14ac:dyDescent="0.2">
      <c r="A580" s="9" t="s">
        <v>16</v>
      </c>
      <c r="B580" s="9" t="str">
        <f>LEFT(D580,FIND(" ",D580)-1)</f>
        <v>CCK</v>
      </c>
      <c r="C580" s="16" t="str">
        <f>IF(A580="STOCK",B580,REPLACE(B580,FIND("+",B580),1,"."))</f>
        <v>CCK</v>
      </c>
      <c r="D580" s="9" t="s">
        <v>108</v>
      </c>
      <c r="E580" s="9">
        <f>_xll.BDP($D580,E$40)</f>
        <v>48.96</v>
      </c>
      <c r="F580" s="9">
        <f>_xll.BDP($D580,F$40)</f>
        <v>48.95</v>
      </c>
      <c r="G580" s="9">
        <f>_xll.BDP($D580,G$40)</f>
        <v>49</v>
      </c>
      <c r="H580" s="9" t="str">
        <f>_xll.BDP($D580,H$40)</f>
        <v>#N/A Field Not Applicable</v>
      </c>
      <c r="L580" s="9">
        <f t="shared" si="61"/>
        <v>48.96</v>
      </c>
    </row>
    <row r="581" spans="1:12" s="9" customFormat="1" x14ac:dyDescent="0.2">
      <c r="A581" s="9" t="s">
        <v>16</v>
      </c>
      <c r="B581" s="23" t="s">
        <v>864</v>
      </c>
      <c r="C581" s="17" t="s">
        <v>864</v>
      </c>
      <c r="D581" s="22" t="s">
        <v>865</v>
      </c>
      <c r="E581" s="21">
        <f>_xll.BDP($D581,E$40)</f>
        <v>54.87</v>
      </c>
      <c r="F581" s="9">
        <f>_xll.BDP($D581,F$40)</f>
        <v>54.48</v>
      </c>
      <c r="G581" s="9">
        <f>_xll.BDP($D581,G$40)</f>
        <v>55.08</v>
      </c>
      <c r="H581" s="9" t="str">
        <f>_xll.BDP($D581,H$40)</f>
        <v>#N/A Field Not Applicable</v>
      </c>
      <c r="L581" s="9">
        <f t="shared" si="61"/>
        <v>54.87</v>
      </c>
    </row>
    <row r="582" spans="1:12" s="9" customFormat="1" x14ac:dyDescent="0.2">
      <c r="A582" s="9" t="s">
        <v>16</v>
      </c>
      <c r="B582" s="23" t="s">
        <v>945</v>
      </c>
      <c r="C582" s="17" t="s">
        <v>945</v>
      </c>
      <c r="D582" s="22" t="s">
        <v>946</v>
      </c>
      <c r="E582" s="21">
        <f>_xll.BDP($D582,E$40)</f>
        <v>57.62</v>
      </c>
      <c r="F582" s="9">
        <f>_xll.BDP($D582,F$40)</f>
        <v>57.62</v>
      </c>
      <c r="G582" s="9">
        <f>_xll.BDP($D582,G$40)</f>
        <v>57.63</v>
      </c>
      <c r="H582" s="9" t="str">
        <f>_xll.BDP($D582,H$40)</f>
        <v>#N/A Field Not Applicable</v>
      </c>
      <c r="L582" s="9">
        <f t="shared" si="61"/>
        <v>57.62</v>
      </c>
    </row>
    <row r="583" spans="1:12" s="9" customFormat="1" x14ac:dyDescent="0.2">
      <c r="A583" s="9" t="s">
        <v>16</v>
      </c>
      <c r="B583" s="23" t="s">
        <v>869</v>
      </c>
      <c r="C583" s="17" t="s">
        <v>869</v>
      </c>
      <c r="D583" s="22" t="s">
        <v>870</v>
      </c>
      <c r="E583" s="21">
        <f>_xll.BDP($D583,E$40)</f>
        <v>92.72</v>
      </c>
      <c r="F583" s="9">
        <f>_xll.BDP($D583,F$40)</f>
        <v>92.17</v>
      </c>
      <c r="G583" s="9">
        <f>_xll.BDP($D583,G$40)</f>
        <v>92.18</v>
      </c>
      <c r="H583" s="9" t="str">
        <f>_xll.BDP($D583,H$40)</f>
        <v>#N/A Field Not Applicable</v>
      </c>
      <c r="L583" s="9">
        <f t="shared" si="61"/>
        <v>92.72</v>
      </c>
    </row>
    <row r="584" spans="1:12" s="9" customFormat="1" x14ac:dyDescent="0.2">
      <c r="A584" s="9" t="s">
        <v>16</v>
      </c>
      <c r="B584" s="9" t="str">
        <f>LEFT(D584,FIND(" ",D584)-1)</f>
        <v>SPLK</v>
      </c>
      <c r="C584" s="16" t="str">
        <f>IF(A584="STOCK",B584,REPLACE(B584,FIND("+",B584),1,"."))</f>
        <v>SPLK</v>
      </c>
      <c r="D584" s="9" t="s">
        <v>509</v>
      </c>
      <c r="E584" s="9">
        <f>_xll.BDP($D584,E$40)</f>
        <v>95.71</v>
      </c>
      <c r="F584" s="9">
        <f>_xll.BDP($D584,F$40)</f>
        <v>95.7</v>
      </c>
      <c r="G584" s="9">
        <f>_xll.BDP($D584,G$40)</f>
        <v>95.71</v>
      </c>
      <c r="H584" s="9" t="str">
        <f>_xll.BDP($D584,H$40)</f>
        <v>#N/A Field Not Applicable</v>
      </c>
      <c r="L584" s="9">
        <f t="shared" si="61"/>
        <v>95.71</v>
      </c>
    </row>
    <row r="585" spans="1:12" s="9" customFormat="1" x14ac:dyDescent="0.2">
      <c r="A585" s="9" t="s">
        <v>16</v>
      </c>
      <c r="B585" s="9" t="str">
        <f>LEFT(D585,FIND(" ",D585)-1)</f>
        <v>DFS</v>
      </c>
      <c r="C585" s="16" t="str">
        <f>IF(A585="STOCK",B585,REPLACE(B585,FIND("+",B585),1,"."))</f>
        <v>DFS</v>
      </c>
      <c r="D585" s="9" t="s">
        <v>154</v>
      </c>
      <c r="E585" s="9">
        <f>_xll.BDP($D585,E$40)</f>
        <v>37.869999999999997</v>
      </c>
      <c r="F585" s="9">
        <f>_xll.BDP($D585,F$40)</f>
        <v>37.86</v>
      </c>
      <c r="G585" s="9">
        <f>_xll.BDP($D585,G$40)</f>
        <v>37.869999999999997</v>
      </c>
      <c r="H585" s="9" t="str">
        <f>_xll.BDP($D585,H$40)</f>
        <v>#N/A Field Not Applicable</v>
      </c>
      <c r="L585" s="9">
        <f t="shared" si="61"/>
        <v>37.869999999999997</v>
      </c>
    </row>
    <row r="586" spans="1:12" s="9" customFormat="1" x14ac:dyDescent="0.2">
      <c r="A586" s="9" t="s">
        <v>16</v>
      </c>
      <c r="B586" s="9" t="str">
        <f>LEFT(D586,FIND(" ",D586)-1)</f>
        <v>GPI</v>
      </c>
      <c r="C586" s="16" t="str">
        <f>IF(A586="STOCK",B586,REPLACE(B586,FIND("+",B586),1,"."))</f>
        <v>GPI</v>
      </c>
      <c r="D586" s="9" t="s">
        <v>201</v>
      </c>
      <c r="E586" s="9">
        <f>_xll.BDP($D586,E$40)</f>
        <v>40.51</v>
      </c>
      <c r="F586" s="9">
        <f>_xll.BDP($D586,F$40)</f>
        <v>40.5</v>
      </c>
      <c r="G586" s="9">
        <f>_xll.BDP($D586,G$40)</f>
        <v>40.51</v>
      </c>
      <c r="H586" s="9" t="str">
        <f>_xll.BDP($D586,H$40)</f>
        <v>#N/A Field Not Applicable</v>
      </c>
      <c r="L586" s="9">
        <f t="shared" si="61"/>
        <v>40.51</v>
      </c>
    </row>
    <row r="587" spans="1:12" s="9" customFormat="1" x14ac:dyDescent="0.2">
      <c r="A587" s="9" t="s">
        <v>16</v>
      </c>
      <c r="B587" s="23" t="s">
        <v>958</v>
      </c>
      <c r="C587" s="17" t="s">
        <v>958</v>
      </c>
      <c r="D587" s="22" t="s">
        <v>201</v>
      </c>
      <c r="E587" s="21">
        <f>_xll.BDP($D587,E$40)</f>
        <v>40.51</v>
      </c>
      <c r="F587" s="9">
        <f>_xll.BDP($D587,F$40)</f>
        <v>40.5</v>
      </c>
      <c r="G587" s="9">
        <f>_xll.BDP($D587,G$40)</f>
        <v>40.51</v>
      </c>
      <c r="H587" s="9" t="str">
        <f>_xll.BDP($D587,H$40)</f>
        <v>#N/A Field Not Applicable</v>
      </c>
      <c r="L587" s="9">
        <f t="shared" si="61"/>
        <v>40.51</v>
      </c>
    </row>
    <row r="588" spans="1:12" s="9" customFormat="1" x14ac:dyDescent="0.2">
      <c r="A588" s="9" t="s">
        <v>16</v>
      </c>
      <c r="B588" s="9" t="str">
        <f>LEFT(D588,FIND(" ",D588)-1)</f>
        <v>SATS</v>
      </c>
      <c r="C588" s="16" t="str">
        <f>IF(A588="STOCK",B588,REPLACE(B588,FIND("+",B588),1,"."))</f>
        <v>SATS</v>
      </c>
      <c r="D588" s="9" t="s">
        <v>321</v>
      </c>
      <c r="E588" s="9">
        <f>_xll.BDP($D588,E$40)</f>
        <v>28.33</v>
      </c>
      <c r="F588" s="9">
        <f>_xll.BDP($D588,F$40)</f>
        <v>28.32</v>
      </c>
      <c r="G588" s="9">
        <f>_xll.BDP($D588,G$40)</f>
        <v>28.33</v>
      </c>
      <c r="H588" s="9" t="str">
        <f>_xll.BDP($D588,H$40)</f>
        <v>#N/A Field Not Applicable</v>
      </c>
      <c r="L588" s="9">
        <f t="shared" si="61"/>
        <v>28.33</v>
      </c>
    </row>
    <row r="589" spans="1:12" s="9" customFormat="1" x14ac:dyDescent="0.2">
      <c r="A589" s="9" t="s">
        <v>16</v>
      </c>
      <c r="B589" s="9" t="str">
        <f>LEFT(D589,FIND(" ",D589)-1)</f>
        <v>ATVI</v>
      </c>
      <c r="C589" s="16" t="str">
        <f>IF(A589="STOCK",B589,REPLACE(B589,FIND("+",B589),1,"."))</f>
        <v>ATVI</v>
      </c>
      <c r="D589" s="9" t="s">
        <v>80</v>
      </c>
      <c r="E589" s="9">
        <f>_xll.BDP($D589,E$40)</f>
        <v>52.76</v>
      </c>
      <c r="F589" s="9">
        <f>_xll.BDP($D589,F$40)</f>
        <v>52.75</v>
      </c>
      <c r="G589" s="9">
        <f>_xll.BDP($D589,G$40)</f>
        <v>52.76</v>
      </c>
      <c r="H589" s="9" t="str">
        <f>_xll.BDP($D589,H$40)</f>
        <v>#N/A Field Not Applicable</v>
      </c>
      <c r="L589" s="9">
        <f t="shared" si="61"/>
        <v>52.76</v>
      </c>
    </row>
    <row r="590" spans="1:12" s="9" customFormat="1" x14ac:dyDescent="0.2">
      <c r="A590" s="9" t="s">
        <v>16</v>
      </c>
      <c r="B590" s="23" t="s">
        <v>843</v>
      </c>
      <c r="C590" s="17" t="s">
        <v>843</v>
      </c>
      <c r="D590" s="22" t="s">
        <v>351</v>
      </c>
      <c r="E590" s="21">
        <f>_xll.BDP($D590,E$40)</f>
        <v>39.36</v>
      </c>
      <c r="F590" s="9">
        <f>_xll.BDP($D590,F$40)</f>
        <v>39.35</v>
      </c>
      <c r="G590" s="9">
        <f>_xll.BDP($D590,G$40)</f>
        <v>39.36</v>
      </c>
      <c r="H590" s="9" t="str">
        <f>_xll.BDP($D590,H$40)</f>
        <v>#N/A Field Not Applicable</v>
      </c>
      <c r="L590" s="9">
        <f t="shared" si="61"/>
        <v>39.36</v>
      </c>
    </row>
    <row r="591" spans="1:12" s="9" customFormat="1" x14ac:dyDescent="0.2">
      <c r="A591" s="9" t="s">
        <v>16</v>
      </c>
      <c r="B591" s="9" t="str">
        <f>LEFT(D591,FIND(" ",D591)-1)</f>
        <v>KEX</v>
      </c>
      <c r="C591" s="16" t="str">
        <f>IF(A591="STOCK",B591,REPLACE(B591,FIND("+",B591),1,"."))</f>
        <v>KEX</v>
      </c>
      <c r="D591" s="9" t="s">
        <v>403</v>
      </c>
      <c r="E591" s="9">
        <f>_xll.BDP($D591,E$40)</f>
        <v>36.700000000000003</v>
      </c>
      <c r="F591" s="9">
        <f>_xll.BDP($D591,F$40)</f>
        <v>36.700000000000003</v>
      </c>
      <c r="G591" s="9">
        <f>_xll.BDP($D591,G$40)</f>
        <v>36.71</v>
      </c>
      <c r="H591" s="9" t="str">
        <f>_xll.BDP($D591,H$40)</f>
        <v>#N/A Field Not Applicable</v>
      </c>
      <c r="L591" s="9">
        <f t="shared" si="61"/>
        <v>36.700000000000003</v>
      </c>
    </row>
    <row r="592" spans="1:12" s="9" customFormat="1" x14ac:dyDescent="0.2">
      <c r="A592" s="9" t="s">
        <v>16</v>
      </c>
      <c r="B592" s="9" t="str">
        <f>LEFT(D592,FIND(" ",D592)-1)</f>
        <v>EGBN</v>
      </c>
      <c r="C592" s="16" t="str">
        <f>IF(A592="STOCK",B592,REPLACE(B592,FIND("+",B592),1,"."))</f>
        <v>EGBN</v>
      </c>
      <c r="D592" s="9" t="s">
        <v>393</v>
      </c>
      <c r="E592" s="9">
        <f>_xll.BDP($D592,E$40)</f>
        <v>25.68</v>
      </c>
      <c r="F592" s="9">
        <f>_xll.BDP($D592,F$40)</f>
        <v>25.6</v>
      </c>
      <c r="G592" s="9">
        <f>_xll.BDP($D592,G$40)</f>
        <v>25.67</v>
      </c>
      <c r="H592" s="9" t="str">
        <f>_xll.BDP($D592,H$40)</f>
        <v>#N/A Field Not Applicable</v>
      </c>
      <c r="L592" s="9">
        <f t="shared" si="61"/>
        <v>25.68</v>
      </c>
    </row>
    <row r="593" spans="1:12" s="9" customFormat="1" x14ac:dyDescent="0.2">
      <c r="A593" s="9" t="s">
        <v>16</v>
      </c>
      <c r="B593" s="9" t="s">
        <v>563</v>
      </c>
      <c r="C593" s="16" t="s">
        <v>563</v>
      </c>
      <c r="D593" s="9" t="s">
        <v>564</v>
      </c>
      <c r="E593" s="9">
        <f>_xll.BDP($D593,E$40)</f>
        <v>24.09</v>
      </c>
      <c r="F593" s="9">
        <f>_xll.BDP($D593,F$40)</f>
        <v>24.08</v>
      </c>
      <c r="G593" s="9">
        <f>_xll.BDP($D593,G$40)</f>
        <v>24.09</v>
      </c>
      <c r="H593" s="9" t="str">
        <f>_xll.BDP($D593,H$40)</f>
        <v>#N/A Field Not Applicable</v>
      </c>
      <c r="L593" s="9">
        <f t="shared" si="61"/>
        <v>24.09</v>
      </c>
    </row>
    <row r="594" spans="1:12" s="9" customFormat="1" x14ac:dyDescent="0.2">
      <c r="A594" s="9" t="s">
        <v>16</v>
      </c>
      <c r="B594" s="9" t="str">
        <f>LEFT(D594,FIND(" ",D594)-1)</f>
        <v>LVS</v>
      </c>
      <c r="C594" s="16" t="str">
        <f>IF(A594="STOCK",B594,REPLACE(B594,FIND("+",B594),1,"."))</f>
        <v>LVS</v>
      </c>
      <c r="D594" s="9" t="s">
        <v>248</v>
      </c>
      <c r="E594" s="9">
        <f>_xll.BDP($D594,E$40)</f>
        <v>40.39</v>
      </c>
      <c r="F594" s="9">
        <f>_xll.BDP($D594,F$40)</f>
        <v>40.380000000000003</v>
      </c>
      <c r="G594" s="9">
        <f>_xll.BDP($D594,G$40)</f>
        <v>40.39</v>
      </c>
      <c r="H594" s="9" t="str">
        <f>_xll.BDP($D594,H$40)</f>
        <v>#N/A Field Not Applicable</v>
      </c>
      <c r="L594" s="9">
        <f t="shared" si="61"/>
        <v>40.39</v>
      </c>
    </row>
    <row r="595" spans="1:12" s="9" customFormat="1" x14ac:dyDescent="0.2">
      <c r="A595" s="9" t="s">
        <v>16</v>
      </c>
      <c r="B595" s="9" t="s">
        <v>655</v>
      </c>
      <c r="C595" s="16" t="s">
        <v>655</v>
      </c>
      <c r="D595" s="9" t="s">
        <v>248</v>
      </c>
      <c r="E595" s="9">
        <f>_xll.BDP($D595,E$40)</f>
        <v>40.39</v>
      </c>
      <c r="F595" s="9">
        <f>_xll.BDP($D595,F$40)</f>
        <v>40.380000000000003</v>
      </c>
      <c r="G595" s="9">
        <f>_xll.BDP($D595,G$40)</f>
        <v>40.39</v>
      </c>
      <c r="H595" s="9" t="str">
        <f>_xll.BDP($D595,H$40)</f>
        <v>#N/A Field Not Applicable</v>
      </c>
      <c r="L595" s="9">
        <f t="shared" si="61"/>
        <v>40.39</v>
      </c>
    </row>
    <row r="596" spans="1:12" s="9" customFormat="1" x14ac:dyDescent="0.2">
      <c r="A596" s="9" t="s">
        <v>16</v>
      </c>
      <c r="B596" s="9" t="str">
        <f>LEFT(D596,FIND(" ",D596)-1)</f>
        <v>ESRX</v>
      </c>
      <c r="C596" s="16" t="str">
        <f>IF(A596="STOCK",B596,REPLACE(B596,FIND("+",B596),1,"."))</f>
        <v>ESRX</v>
      </c>
      <c r="D596" s="9" t="s">
        <v>477</v>
      </c>
      <c r="E596" s="9" t="str">
        <f>_xll.BDP($D596,E$40)</f>
        <v>#N/A N/A</v>
      </c>
      <c r="F596" s="9" t="str">
        <f>_xll.BDP($D596,F$40)</f>
        <v>#N/A N/A</v>
      </c>
      <c r="G596" s="9" t="str">
        <f>_xll.BDP($D596,G$40)</f>
        <v>#N/A N/A</v>
      </c>
      <c r="H596" s="9" t="str">
        <f>_xll.BDP($D596,H$40)</f>
        <v>#N/A Field Not Applicable</v>
      </c>
      <c r="L596" s="9" t="str">
        <f t="shared" si="61"/>
        <v>#N/A N/A</v>
      </c>
    </row>
    <row r="597" spans="1:12" s="9" customFormat="1" x14ac:dyDescent="0.2">
      <c r="A597" s="9" t="s">
        <v>16</v>
      </c>
      <c r="B597" s="23" t="s">
        <v>827</v>
      </c>
      <c r="C597" s="17" t="s">
        <v>827</v>
      </c>
      <c r="D597" s="22" t="s">
        <v>828</v>
      </c>
      <c r="E597" s="21">
        <f>_xll.BDP($D597,E$40)</f>
        <v>10.56</v>
      </c>
      <c r="F597" s="9">
        <f>_xll.BDP($D597,F$40)</f>
        <v>10.55</v>
      </c>
      <c r="G597" s="9">
        <f>_xll.BDP($D597,G$40)</f>
        <v>10.56</v>
      </c>
      <c r="H597" s="9" t="str">
        <f>_xll.BDP($D597,H$40)</f>
        <v>#N/A Field Not Applicable</v>
      </c>
      <c r="L597" s="9">
        <f t="shared" si="61"/>
        <v>10.56</v>
      </c>
    </row>
    <row r="598" spans="1:12" s="9" customFormat="1" x14ac:dyDescent="0.2">
      <c r="A598" s="9" t="s">
        <v>16</v>
      </c>
      <c r="B598" s="9" t="str">
        <f t="shared" ref="B598:B604" si="64">LEFT(D598,FIND(" ",D598)-1)</f>
        <v>PRTA</v>
      </c>
      <c r="C598" s="16" t="str">
        <f t="shared" ref="C598:C604" si="65">IF(A598="STOCK",B598,REPLACE(B598,FIND("+",B598),1,"."))</f>
        <v>PRTA</v>
      </c>
      <c r="D598" s="9" t="s">
        <v>527</v>
      </c>
      <c r="E598" s="9">
        <f>_xll.BDP($D598,E$40)</f>
        <v>8.1</v>
      </c>
      <c r="F598" s="9">
        <f>_xll.BDP($D598,F$40)</f>
        <v>8.09</v>
      </c>
      <c r="G598" s="9">
        <f>_xll.BDP($D598,G$40)</f>
        <v>8.1199999999999992</v>
      </c>
      <c r="H598" s="9" t="str">
        <f>_xll.BDP($D598,H$40)</f>
        <v>#N/A Field Not Applicable</v>
      </c>
      <c r="L598" s="9">
        <f t="shared" si="61"/>
        <v>8.1</v>
      </c>
    </row>
    <row r="599" spans="1:12" s="9" customFormat="1" x14ac:dyDescent="0.2">
      <c r="A599" s="9" t="s">
        <v>16</v>
      </c>
      <c r="B599" s="9" t="str">
        <f t="shared" si="64"/>
        <v>CRUS</v>
      </c>
      <c r="C599" s="16" t="str">
        <f t="shared" si="65"/>
        <v>CRUS</v>
      </c>
      <c r="D599" s="9" t="s">
        <v>514</v>
      </c>
      <c r="E599" s="9">
        <f>_xll.BDP($D599,E$40)</f>
        <v>51.27</v>
      </c>
      <c r="F599" s="9">
        <f>_xll.BDP($D599,F$40)</f>
        <v>51.27</v>
      </c>
      <c r="G599" s="9">
        <f>_xll.BDP($D599,G$40)</f>
        <v>51.35</v>
      </c>
      <c r="H599" s="9" t="str">
        <f>_xll.BDP($D599,H$40)</f>
        <v>#N/A Field Not Applicable</v>
      </c>
      <c r="L599" s="9">
        <f t="shared" si="61"/>
        <v>51.27</v>
      </c>
    </row>
    <row r="600" spans="1:12" s="9" customFormat="1" x14ac:dyDescent="0.2">
      <c r="A600" s="9" t="s">
        <v>16</v>
      </c>
      <c r="B600" s="9" t="str">
        <f t="shared" si="64"/>
        <v>CERN</v>
      </c>
      <c r="C600" s="16" t="str">
        <f t="shared" si="65"/>
        <v>CERN</v>
      </c>
      <c r="D600" s="9" t="s">
        <v>118</v>
      </c>
      <c r="E600" s="9">
        <f>_xll.BDP($D600,E$40)</f>
        <v>60.53</v>
      </c>
      <c r="F600" s="9">
        <f>_xll.BDP($D600,F$40)</f>
        <v>60.52</v>
      </c>
      <c r="G600" s="9">
        <f>_xll.BDP($D600,G$40)</f>
        <v>60.62</v>
      </c>
      <c r="H600" s="9" t="str">
        <f>_xll.BDP($D600,H$40)</f>
        <v>#N/A Field Not Applicable</v>
      </c>
      <c r="L600" s="9">
        <f t="shared" si="61"/>
        <v>60.53</v>
      </c>
    </row>
    <row r="601" spans="1:12" s="9" customFormat="1" x14ac:dyDescent="0.2">
      <c r="A601" s="9" t="s">
        <v>16</v>
      </c>
      <c r="B601" s="9" t="str">
        <f t="shared" si="64"/>
        <v>DISH</v>
      </c>
      <c r="C601" s="16" t="str">
        <f t="shared" si="65"/>
        <v>DISH</v>
      </c>
      <c r="D601" s="4" t="s">
        <v>158</v>
      </c>
      <c r="E601" s="9">
        <f>_xll.BDP($D601,E$40)</f>
        <v>18.79</v>
      </c>
      <c r="F601" s="9">
        <f>_xll.BDP($D601,F$40)</f>
        <v>18.79</v>
      </c>
      <c r="G601" s="9">
        <f>_xll.BDP($D601,G$40)</f>
        <v>18.8</v>
      </c>
      <c r="H601" s="9" t="str">
        <f>_xll.BDP($D601,H$40)</f>
        <v>#N/A Field Not Applicable</v>
      </c>
      <c r="L601" s="9">
        <f t="shared" si="61"/>
        <v>18.79</v>
      </c>
    </row>
    <row r="602" spans="1:12" s="9" customFormat="1" x14ac:dyDescent="0.2">
      <c r="A602" s="9" t="s">
        <v>16</v>
      </c>
      <c r="B602" s="9" t="str">
        <f t="shared" si="64"/>
        <v>DECK</v>
      </c>
      <c r="C602" s="16" t="str">
        <f t="shared" si="65"/>
        <v>DECK</v>
      </c>
      <c r="D602" s="9" t="s">
        <v>153</v>
      </c>
      <c r="E602" s="9">
        <f>_xll.BDP($D602,E$40)</f>
        <v>111.34</v>
      </c>
      <c r="F602" s="9">
        <f>_xll.BDP($D602,F$40)</f>
        <v>111.33</v>
      </c>
      <c r="G602" s="9">
        <f>_xll.BDP($D602,G$40)</f>
        <v>111.34</v>
      </c>
      <c r="H602" s="9" t="str">
        <f>_xll.BDP($D602,H$40)</f>
        <v>#N/A Field Not Applicable</v>
      </c>
      <c r="L602" s="9">
        <f t="shared" si="61"/>
        <v>111.34</v>
      </c>
    </row>
    <row r="603" spans="1:12" s="9" customFormat="1" x14ac:dyDescent="0.2">
      <c r="A603" s="9" t="s">
        <v>16</v>
      </c>
      <c r="B603" s="9" t="str">
        <f t="shared" si="64"/>
        <v>PJC</v>
      </c>
      <c r="C603" s="16" t="str">
        <f t="shared" si="65"/>
        <v>PJC</v>
      </c>
      <c r="D603" s="9" t="s">
        <v>297</v>
      </c>
      <c r="E603" s="9" t="str">
        <f>_xll.BDP($D603,E$40)</f>
        <v>#N/A N/A</v>
      </c>
      <c r="F603" s="9" t="str">
        <f>_xll.BDP($D603,F$40)</f>
        <v>#N/A N/A</v>
      </c>
      <c r="G603" s="9" t="str">
        <f>_xll.BDP($D603,G$40)</f>
        <v>#N/A N/A</v>
      </c>
      <c r="H603" s="9" t="str">
        <f>_xll.BDP($D603,H$40)</f>
        <v>#N/A Field Not Applicable</v>
      </c>
      <c r="L603" s="9" t="str">
        <f t="shared" si="61"/>
        <v>#N/A N/A</v>
      </c>
    </row>
    <row r="604" spans="1:12" s="9" customFormat="1" x14ac:dyDescent="0.2">
      <c r="A604" s="9" t="s">
        <v>16</v>
      </c>
      <c r="B604" s="9" t="str">
        <f t="shared" si="64"/>
        <v>PTR</v>
      </c>
      <c r="C604" s="16" t="str">
        <f t="shared" si="65"/>
        <v>PTR</v>
      </c>
      <c r="D604" s="9" t="s">
        <v>304</v>
      </c>
      <c r="E604" s="9">
        <f>_xll.BDP($D604,E$40)</f>
        <v>30.64</v>
      </c>
      <c r="F604" s="9">
        <f>_xll.BDP($D604,F$40)</f>
        <v>30.63</v>
      </c>
      <c r="G604" s="9">
        <f>_xll.BDP($D604,G$40)</f>
        <v>30.64</v>
      </c>
      <c r="H604" s="9" t="str">
        <f>_xll.BDP($D604,H$40)</f>
        <v>#N/A Field Not Applicable</v>
      </c>
      <c r="L604" s="9">
        <f t="shared" si="61"/>
        <v>30.64</v>
      </c>
    </row>
    <row r="605" spans="1:12" s="9" customFormat="1" x14ac:dyDescent="0.2">
      <c r="A605" s="9" t="s">
        <v>16</v>
      </c>
      <c r="B605" s="23" t="s">
        <v>817</v>
      </c>
      <c r="C605" s="17" t="s">
        <v>817</v>
      </c>
      <c r="D605" s="22" t="s">
        <v>818</v>
      </c>
      <c r="E605" s="21">
        <f>_xll.BDP($D605,E$40)</f>
        <v>71.739999999999995</v>
      </c>
      <c r="F605" s="9">
        <f>_xll.BDP($D605,F$40)</f>
        <v>71.73</v>
      </c>
      <c r="G605" s="9">
        <f>_xll.BDP($D605,G$40)</f>
        <v>71.739999999999995</v>
      </c>
      <c r="H605" s="9" t="str">
        <f>_xll.BDP($D605,H$40)</f>
        <v>#N/A Field Not Applicable</v>
      </c>
      <c r="L605" s="9">
        <f t="shared" si="61"/>
        <v>71.739999999999995</v>
      </c>
    </row>
    <row r="606" spans="1:12" s="9" customFormat="1" x14ac:dyDescent="0.2">
      <c r="A606" s="9" t="s">
        <v>16</v>
      </c>
      <c r="B606" s="9" t="str">
        <f>LEFT(D606,FIND(" ",D606)-1)</f>
        <v>GWR</v>
      </c>
      <c r="C606" s="16" t="str">
        <f>IF(A606="STOCK",B606,REPLACE(B606,FIND("+",B606),1,"."))</f>
        <v>GWR</v>
      </c>
      <c r="D606" s="9" t="s">
        <v>388</v>
      </c>
      <c r="E606" s="9" t="str">
        <f>_xll.BDP($D606,E$40)</f>
        <v>#N/A N/A</v>
      </c>
      <c r="F606" s="9" t="str">
        <f>_xll.BDP($D606,F$40)</f>
        <v>#N/A N/A</v>
      </c>
      <c r="G606" s="9" t="str">
        <f>_xll.BDP($D606,G$40)</f>
        <v>#N/A N/A</v>
      </c>
      <c r="H606" s="9" t="str">
        <f>_xll.BDP($D606,H$40)</f>
        <v>#N/A Field Not Applicable</v>
      </c>
      <c r="L606" s="9" t="str">
        <f t="shared" si="61"/>
        <v>#N/A N/A</v>
      </c>
    </row>
    <row r="607" spans="1:12" s="9" customFormat="1" x14ac:dyDescent="0.2">
      <c r="A607" s="9" t="s">
        <v>16</v>
      </c>
      <c r="B607" s="9" t="str">
        <f>LEFT(D607,FIND(" ",D607)-1)</f>
        <v>CHRW</v>
      </c>
      <c r="C607" s="16" t="str">
        <f>IF(A607="STOCK",B607,REPLACE(B607,FIND("+",B607),1,"."))</f>
        <v>CHRW</v>
      </c>
      <c r="D607" s="9" t="s">
        <v>121</v>
      </c>
      <c r="E607" s="9">
        <f>_xll.BDP($D607,E$40)</f>
        <v>61.06</v>
      </c>
      <c r="F607" s="9">
        <f>_xll.BDP($D607,F$40)</f>
        <v>60.77</v>
      </c>
      <c r="G607" s="9">
        <f>_xll.BDP($D607,G$40)</f>
        <v>61.18</v>
      </c>
      <c r="H607" s="9" t="str">
        <f>_xll.BDP($D607,H$40)</f>
        <v>#N/A Field Not Applicable</v>
      </c>
      <c r="L607" s="9">
        <f t="shared" si="61"/>
        <v>61.06</v>
      </c>
    </row>
    <row r="608" spans="1:12" s="9" customFormat="1" x14ac:dyDescent="0.2">
      <c r="A608" s="9" t="s">
        <v>16</v>
      </c>
      <c r="B608" s="9" t="s">
        <v>590</v>
      </c>
      <c r="C608" s="16" t="s">
        <v>590</v>
      </c>
      <c r="D608" s="9" t="s">
        <v>121</v>
      </c>
      <c r="E608" s="9">
        <f>_xll.BDP($D608,E$40)</f>
        <v>61.06</v>
      </c>
      <c r="F608" s="9">
        <f>_xll.BDP($D608,F$40)</f>
        <v>60.77</v>
      </c>
      <c r="G608" s="9">
        <f>_xll.BDP($D608,G$40)</f>
        <v>61.18</v>
      </c>
      <c r="H608" s="9" t="str">
        <f>_xll.BDP($D608,H$40)</f>
        <v>#N/A Field Not Applicable</v>
      </c>
      <c r="L608" s="9">
        <f t="shared" ref="L608:L668" si="66">IF(A608="STOCK",E608,IF(A608="SOPTION",G608,IF(A608="LOPTION",F608,"")))</f>
        <v>61.06</v>
      </c>
    </row>
    <row r="609" spans="1:12" s="9" customFormat="1" x14ac:dyDescent="0.2">
      <c r="A609" s="9" t="s">
        <v>16</v>
      </c>
      <c r="B609" s="9" t="s">
        <v>605</v>
      </c>
      <c r="C609" s="16" t="s">
        <v>605</v>
      </c>
      <c r="D609" s="9" t="s">
        <v>606</v>
      </c>
      <c r="E609" s="9">
        <f>_xll.BDP($D609,E$40)</f>
        <v>74.13</v>
      </c>
      <c r="F609" s="9">
        <f>_xll.BDP($D609,F$40)</f>
        <v>74.13</v>
      </c>
      <c r="G609" s="9">
        <f>_xll.BDP($D609,G$40)</f>
        <v>74.14</v>
      </c>
      <c r="H609" s="9" t="str">
        <f>_xll.BDP($D609,H$40)</f>
        <v>#N/A Field Not Applicable</v>
      </c>
      <c r="L609" s="9">
        <f t="shared" si="66"/>
        <v>74.13</v>
      </c>
    </row>
    <row r="610" spans="1:12" s="9" customFormat="1" x14ac:dyDescent="0.2">
      <c r="A610" s="9" t="s">
        <v>16</v>
      </c>
      <c r="B610" s="9" t="str">
        <f t="shared" ref="B610:B617" si="67">LEFT(D610,FIND(" ",D610)-1)</f>
        <v>CCL</v>
      </c>
      <c r="C610" s="16" t="str">
        <f t="shared" ref="C610:C617" si="68">IF(A610="STOCK",B610,REPLACE(B610,FIND("+",B610),1,"."))</f>
        <v>CCL</v>
      </c>
      <c r="D610" s="9" t="s">
        <v>109</v>
      </c>
      <c r="E610" s="9">
        <f>_xll.BDP($D610,E$40)</f>
        <v>14.57</v>
      </c>
      <c r="F610" s="9">
        <f>_xll.BDP($D610,F$40)</f>
        <v>14.56</v>
      </c>
      <c r="G610" s="9">
        <f>_xll.BDP($D610,G$40)</f>
        <v>14.57</v>
      </c>
      <c r="H610" s="9" t="str">
        <f>_xll.BDP($D610,H$40)</f>
        <v>#N/A Field Not Applicable</v>
      </c>
      <c r="L610" s="9">
        <f t="shared" si="66"/>
        <v>14.57</v>
      </c>
    </row>
    <row r="611" spans="1:12" s="9" customFormat="1" x14ac:dyDescent="0.2">
      <c r="A611" s="9" t="s">
        <v>16</v>
      </c>
      <c r="B611" s="9" t="str">
        <f t="shared" si="67"/>
        <v>KMX</v>
      </c>
      <c r="C611" s="16" t="str">
        <f t="shared" si="68"/>
        <v>KMX</v>
      </c>
      <c r="D611" s="9" t="s">
        <v>238</v>
      </c>
      <c r="E611" s="9">
        <f>_xll.BDP($D611,E$40)</f>
        <v>54.95</v>
      </c>
      <c r="F611" s="9">
        <f>_xll.BDP($D611,F$40)</f>
        <v>54.94</v>
      </c>
      <c r="G611" s="9">
        <f>_xll.BDP($D611,G$40)</f>
        <v>54.95</v>
      </c>
      <c r="H611" s="9" t="str">
        <f>_xll.BDP($D611,H$40)</f>
        <v>#N/A Field Not Applicable</v>
      </c>
      <c r="L611" s="9">
        <f t="shared" si="66"/>
        <v>54.95</v>
      </c>
    </row>
    <row r="612" spans="1:12" s="9" customFormat="1" x14ac:dyDescent="0.2">
      <c r="A612" s="9" t="s">
        <v>16</v>
      </c>
      <c r="B612" s="9" t="str">
        <f t="shared" si="67"/>
        <v>EQT</v>
      </c>
      <c r="C612" s="16" t="str">
        <f t="shared" si="68"/>
        <v>EQT</v>
      </c>
      <c r="D612" s="9" t="s">
        <v>497</v>
      </c>
      <c r="E612" s="9">
        <f>_xll.BDP($D612,E$40)</f>
        <v>8.69</v>
      </c>
      <c r="F612" s="9">
        <f>_xll.BDP($D612,F$40)</f>
        <v>8.68</v>
      </c>
      <c r="G612" s="9">
        <f>_xll.BDP($D612,G$40)</f>
        <v>8.69</v>
      </c>
      <c r="H612" s="9" t="str">
        <f>_xll.BDP($D612,H$40)</f>
        <v>#N/A Field Not Applicable</v>
      </c>
      <c r="L612" s="9">
        <f t="shared" si="66"/>
        <v>8.69</v>
      </c>
    </row>
    <row r="613" spans="1:12" s="9" customFormat="1" x14ac:dyDescent="0.2">
      <c r="A613" s="9" t="s">
        <v>16</v>
      </c>
      <c r="B613" s="9" t="str">
        <f t="shared" si="67"/>
        <v>DOX</v>
      </c>
      <c r="C613" s="16" t="str">
        <f t="shared" si="68"/>
        <v>DOX</v>
      </c>
      <c r="D613" s="9" t="s">
        <v>160</v>
      </c>
      <c r="E613" s="9">
        <f>_xll.BDP($D613,E$40)</f>
        <v>50.8</v>
      </c>
      <c r="F613" s="9">
        <f>_xll.BDP($D613,F$40)</f>
        <v>50.8</v>
      </c>
      <c r="G613" s="9">
        <f>_xll.BDP($D613,G$40)</f>
        <v>50.85</v>
      </c>
      <c r="H613" s="9" t="str">
        <f>_xll.BDP($D613,H$40)</f>
        <v>#N/A Field Not Applicable</v>
      </c>
      <c r="L613" s="9">
        <f t="shared" si="66"/>
        <v>50.8</v>
      </c>
    </row>
    <row r="614" spans="1:12" s="9" customFormat="1" x14ac:dyDescent="0.2">
      <c r="A614" s="9" t="s">
        <v>16</v>
      </c>
      <c r="B614" s="9" t="str">
        <f t="shared" si="67"/>
        <v>C</v>
      </c>
      <c r="C614" s="16" t="str">
        <f t="shared" si="68"/>
        <v>C</v>
      </c>
      <c r="D614" s="9" t="s">
        <v>100</v>
      </c>
      <c r="E614" s="9">
        <f>_xll.BDP($D614,E$40)</f>
        <v>41.19</v>
      </c>
      <c r="F614" s="9">
        <f>_xll.BDP($D614,F$40)</f>
        <v>41.18</v>
      </c>
      <c r="G614" s="9">
        <f>_xll.BDP($D614,G$40)</f>
        <v>41.19</v>
      </c>
      <c r="H614" s="9" t="str">
        <f>_xll.BDP($D614,H$40)</f>
        <v>#N/A Field Not Applicable</v>
      </c>
      <c r="L614" s="9">
        <f t="shared" si="66"/>
        <v>41.19</v>
      </c>
    </row>
    <row r="615" spans="1:12" s="9" customFormat="1" x14ac:dyDescent="0.2">
      <c r="A615" s="9" t="s">
        <v>16</v>
      </c>
      <c r="B615" s="9" t="str">
        <f t="shared" si="67"/>
        <v>SLB</v>
      </c>
      <c r="C615" s="16" t="str">
        <f t="shared" si="68"/>
        <v>SLB</v>
      </c>
      <c r="D615" s="9" t="s">
        <v>330</v>
      </c>
      <c r="E615" s="9">
        <f>_xll.BDP($D615,E$40)</f>
        <v>14.41</v>
      </c>
      <c r="F615" s="9">
        <f>_xll.BDP($D615,F$40)</f>
        <v>14.4</v>
      </c>
      <c r="G615" s="9">
        <f>_xll.BDP($D615,G$40)</f>
        <v>14.41</v>
      </c>
      <c r="H615" s="9" t="str">
        <f>_xll.BDP($D615,H$40)</f>
        <v>#N/A Field Not Applicable</v>
      </c>
      <c r="L615" s="9">
        <f t="shared" si="66"/>
        <v>14.41</v>
      </c>
    </row>
    <row r="616" spans="1:12" s="9" customFormat="1" x14ac:dyDescent="0.2">
      <c r="A616" s="9" t="s">
        <v>16</v>
      </c>
      <c r="B616" s="9" t="str">
        <f t="shared" si="67"/>
        <v>OC</v>
      </c>
      <c r="C616" s="16" t="str">
        <f t="shared" si="68"/>
        <v>OC</v>
      </c>
      <c r="D616" s="9" t="s">
        <v>515</v>
      </c>
      <c r="E616" s="9">
        <f>_xll.BDP($D616,E$40)</f>
        <v>34.04</v>
      </c>
      <c r="F616" s="9">
        <f>_xll.BDP($D616,F$40)</f>
        <v>34.03</v>
      </c>
      <c r="G616" s="9">
        <f>_xll.BDP($D616,G$40)</f>
        <v>34.04</v>
      </c>
      <c r="H616" s="9" t="str">
        <f>_xll.BDP($D616,H$40)</f>
        <v>#N/A Field Not Applicable</v>
      </c>
      <c r="L616" s="9">
        <f t="shared" si="66"/>
        <v>34.04</v>
      </c>
    </row>
    <row r="617" spans="1:12" s="9" customFormat="1" x14ac:dyDescent="0.2">
      <c r="A617" s="9" t="s">
        <v>16</v>
      </c>
      <c r="B617" s="9" t="str">
        <f t="shared" si="67"/>
        <v>UAL</v>
      </c>
      <c r="C617" s="16" t="str">
        <f t="shared" si="68"/>
        <v>UAL</v>
      </c>
      <c r="D617" s="9" t="s">
        <v>424</v>
      </c>
      <c r="E617" s="9">
        <f>_xll.BDP($D617,E$40)</f>
        <v>35.47</v>
      </c>
      <c r="F617" s="9">
        <f>_xll.BDP($D617,F$40)</f>
        <v>35.4</v>
      </c>
      <c r="G617" s="9">
        <f>_xll.BDP($D617,G$40)</f>
        <v>35.479999999999997</v>
      </c>
      <c r="H617" s="9" t="str">
        <f>_xll.BDP($D617,H$40)</f>
        <v>#N/A Field Not Applicable</v>
      </c>
      <c r="L617" s="9">
        <f t="shared" si="66"/>
        <v>35.47</v>
      </c>
    </row>
    <row r="618" spans="1:12" s="9" customFormat="1" x14ac:dyDescent="0.2">
      <c r="A618" s="9" t="s">
        <v>16</v>
      </c>
      <c r="B618" s="23" t="s">
        <v>794</v>
      </c>
      <c r="C618" s="17" t="s">
        <v>794</v>
      </c>
      <c r="D618" s="22" t="s">
        <v>795</v>
      </c>
      <c r="E618" s="21">
        <f>_xll.BDP($D618,E$40)</f>
        <v>60.17</v>
      </c>
      <c r="F618" s="9">
        <f>_xll.BDP($D618,F$40)</f>
        <v>60.16</v>
      </c>
      <c r="G618" s="9">
        <f>_xll.BDP($D618,G$40)</f>
        <v>60.17</v>
      </c>
      <c r="H618" s="9" t="str">
        <f>_xll.BDP($D618,H$40)</f>
        <v>#N/A Field Not Applicable</v>
      </c>
      <c r="L618" s="9">
        <f t="shared" si="66"/>
        <v>60.17</v>
      </c>
    </row>
    <row r="619" spans="1:12" s="9" customFormat="1" x14ac:dyDescent="0.2">
      <c r="A619" s="9" t="s">
        <v>16</v>
      </c>
      <c r="B619" s="9" t="str">
        <f>LEFT(D619,FIND(" ",D619)-1)</f>
        <v>MOH</v>
      </c>
      <c r="C619" s="16" t="str">
        <f>IF(A619="STOCK",B619,REPLACE(B619,FIND("+",B619),1,"."))</f>
        <v>MOH</v>
      </c>
      <c r="D619" s="9" t="s">
        <v>510</v>
      </c>
      <c r="E619" s="9">
        <f>_xll.BDP($D619,E$40)</f>
        <v>121.69</v>
      </c>
      <c r="F619" s="9">
        <f>_xll.BDP($D619,F$40)</f>
        <v>121.68</v>
      </c>
      <c r="G619" s="9">
        <f>_xll.BDP($D619,G$40)</f>
        <v>121.69</v>
      </c>
      <c r="H619" s="9" t="str">
        <f>_xll.BDP($D619,H$40)</f>
        <v>#N/A Field Not Applicable</v>
      </c>
      <c r="L619" s="9">
        <f t="shared" si="66"/>
        <v>121.69</v>
      </c>
    </row>
    <row r="620" spans="1:12" s="9" customFormat="1" x14ac:dyDescent="0.2">
      <c r="A620" s="9" t="s">
        <v>16</v>
      </c>
      <c r="B620" s="9" t="str">
        <f>LEFT(D620,FIND(" ",D620)-1)</f>
        <v>CTSH</v>
      </c>
      <c r="C620" s="16" t="str">
        <f>IF(A620="STOCK",B620,REPLACE(B620,FIND("+",B620),1,"."))</f>
        <v>CTSH</v>
      </c>
      <c r="D620" s="9" t="s">
        <v>146</v>
      </c>
      <c r="E620" s="9">
        <f>_xll.BDP($D620,E$40)</f>
        <v>43.58</v>
      </c>
      <c r="F620" s="9">
        <f>_xll.BDP($D620,F$40)</f>
        <v>43.56</v>
      </c>
      <c r="G620" s="9">
        <f>_xll.BDP($D620,G$40)</f>
        <v>43.57</v>
      </c>
      <c r="H620" s="9" t="str">
        <f>_xll.BDP($D620,H$40)</f>
        <v>#N/A Field Not Applicable</v>
      </c>
      <c r="L620" s="9">
        <f t="shared" si="66"/>
        <v>43.58</v>
      </c>
    </row>
    <row r="621" spans="1:12" s="9" customFormat="1" x14ac:dyDescent="0.2">
      <c r="A621" s="9" t="s">
        <v>16</v>
      </c>
      <c r="B621" s="23" t="s">
        <v>803</v>
      </c>
      <c r="C621" s="17" t="s">
        <v>803</v>
      </c>
      <c r="D621" s="22" t="s">
        <v>804</v>
      </c>
      <c r="E621" s="21">
        <f>_xll.BDP($D621,E$40)</f>
        <v>53.75</v>
      </c>
      <c r="F621" s="9">
        <f>_xll.BDP($D621,F$40)</f>
        <v>53.74</v>
      </c>
      <c r="G621" s="9">
        <f>_xll.BDP($D621,G$40)</f>
        <v>53.75</v>
      </c>
      <c r="H621" s="9" t="str">
        <f>_xll.BDP($D621,H$40)</f>
        <v>#N/A Field Not Applicable</v>
      </c>
      <c r="L621" s="9">
        <f t="shared" si="66"/>
        <v>53.75</v>
      </c>
    </row>
    <row r="622" spans="1:12" s="9" customFormat="1" x14ac:dyDescent="0.2">
      <c r="A622" s="9" t="s">
        <v>16</v>
      </c>
      <c r="B622" s="23" t="s">
        <v>941</v>
      </c>
      <c r="C622" s="17" t="s">
        <v>941</v>
      </c>
      <c r="D622" s="22" t="s">
        <v>942</v>
      </c>
      <c r="E622" s="21">
        <f>_xll.BDP($D622,E$40)</f>
        <v>57.41</v>
      </c>
      <c r="F622" s="9">
        <f>_xll.BDP($D622,F$40)</f>
        <v>57.4</v>
      </c>
      <c r="G622" s="9">
        <f>_xll.BDP($D622,G$40)</f>
        <v>57.41</v>
      </c>
      <c r="H622" s="9" t="str">
        <f>_xll.BDP($D622,H$40)</f>
        <v>#N/A Field Not Applicable</v>
      </c>
      <c r="L622" s="9">
        <f t="shared" si="66"/>
        <v>57.41</v>
      </c>
    </row>
    <row r="623" spans="1:12" s="9" customFormat="1" x14ac:dyDescent="0.2">
      <c r="A623" s="9" t="s">
        <v>16</v>
      </c>
      <c r="B623" s="23" t="s">
        <v>834</v>
      </c>
      <c r="C623" s="17" t="s">
        <v>834</v>
      </c>
      <c r="D623" s="22" t="s">
        <v>835</v>
      </c>
      <c r="E623" s="21">
        <f>_xll.BDP($D623,E$40)</f>
        <v>94</v>
      </c>
      <c r="F623" s="9">
        <f>_xll.BDP($D623,F$40)</f>
        <v>93.99</v>
      </c>
      <c r="G623" s="9">
        <f>_xll.BDP($D623,G$40)</f>
        <v>94.01</v>
      </c>
      <c r="H623" s="9" t="str">
        <f>_xll.BDP($D623,H$40)</f>
        <v>#N/A Field Not Applicable</v>
      </c>
      <c r="L623" s="9">
        <f t="shared" si="66"/>
        <v>94</v>
      </c>
    </row>
    <row r="624" spans="1:12" s="9" customFormat="1" x14ac:dyDescent="0.2">
      <c r="A624" s="9" t="s">
        <v>16</v>
      </c>
      <c r="B624" s="9" t="str">
        <f>LEFT(D624,FIND(" ",D624)-1)</f>
        <v>EPR</v>
      </c>
      <c r="C624" s="16" t="str">
        <f>IF(A624="STOCK",B624,REPLACE(B624,FIND("+",B624),1,"."))</f>
        <v>EPR</v>
      </c>
      <c r="D624" s="9" t="s">
        <v>530</v>
      </c>
      <c r="E624" s="9">
        <f>_xll.BDP($D624,E$40)</f>
        <v>23.93</v>
      </c>
      <c r="F624" s="9">
        <f>_xll.BDP($D624,F$40)</f>
        <v>23.92</v>
      </c>
      <c r="G624" s="9">
        <f>_xll.BDP($D624,G$40)</f>
        <v>23.93</v>
      </c>
      <c r="H624" s="9" t="str">
        <f>_xll.BDP($D624,H$40)</f>
        <v>#N/A Field Not Applicable</v>
      </c>
      <c r="L624" s="9">
        <f t="shared" si="66"/>
        <v>23.93</v>
      </c>
    </row>
    <row r="625" spans="1:12" s="9" customFormat="1" x14ac:dyDescent="0.2">
      <c r="A625" s="9" t="s">
        <v>16</v>
      </c>
      <c r="B625" s="9" t="str">
        <f>LEFT(D625,FIND(" ",D625)-1)</f>
        <v>CMA</v>
      </c>
      <c r="C625" s="16" t="str">
        <f>IF(A625="STOCK",B625,REPLACE(B625,FIND("+",B625),1,"."))</f>
        <v>CMA</v>
      </c>
      <c r="D625" s="9" t="s">
        <v>126</v>
      </c>
      <c r="E625" s="9">
        <f>_xll.BDP($D625,E$40)</f>
        <v>31.45</v>
      </c>
      <c r="F625" s="9">
        <f>_xll.BDP($D625,F$40)</f>
        <v>31.47</v>
      </c>
      <c r="G625" s="9">
        <f>_xll.BDP($D625,G$40)</f>
        <v>31.48</v>
      </c>
      <c r="H625" s="9" t="str">
        <f>_xll.BDP($D625,H$40)</f>
        <v>#N/A Field Not Applicable</v>
      </c>
      <c r="L625" s="9">
        <f t="shared" si="66"/>
        <v>31.45</v>
      </c>
    </row>
    <row r="626" spans="1:12" s="9" customFormat="1" x14ac:dyDescent="0.2">
      <c r="A626" s="9" t="s">
        <v>16</v>
      </c>
      <c r="B626" s="23" t="s">
        <v>758</v>
      </c>
      <c r="C626" s="17" t="s">
        <v>758</v>
      </c>
      <c r="D626" s="22" t="s">
        <v>126</v>
      </c>
      <c r="E626" s="21">
        <f>_xll.BDP($D626,E$40)</f>
        <v>31.45</v>
      </c>
      <c r="F626" s="9">
        <f>_xll.BDP($D626,F$40)</f>
        <v>31.47</v>
      </c>
      <c r="G626" s="9">
        <f>_xll.BDP($D626,G$40)</f>
        <v>31.48</v>
      </c>
      <c r="H626" s="9" t="str">
        <f>_xll.BDP($D626,H$40)</f>
        <v>#N/A Field Not Applicable</v>
      </c>
      <c r="L626" s="9">
        <f t="shared" si="66"/>
        <v>31.45</v>
      </c>
    </row>
    <row r="627" spans="1:12" s="9" customFormat="1" x14ac:dyDescent="0.2">
      <c r="A627" s="9" t="s">
        <v>16</v>
      </c>
      <c r="B627" s="9" t="s">
        <v>647</v>
      </c>
      <c r="C627" s="16" t="s">
        <v>647</v>
      </c>
      <c r="D627" s="9" t="s">
        <v>648</v>
      </c>
      <c r="E627" s="9">
        <f>_xll.BDP($D627,E$40)</f>
        <v>47.97</v>
      </c>
      <c r="F627" s="9">
        <f>_xll.BDP($D627,F$40)</f>
        <v>47.96</v>
      </c>
      <c r="G627" s="9">
        <f>_xll.BDP($D627,G$40)</f>
        <v>47.97</v>
      </c>
      <c r="H627" s="9" t="str">
        <f>_xll.BDP($D627,H$40)</f>
        <v>#N/A Field Not Applicable</v>
      </c>
      <c r="L627" s="9">
        <f t="shared" si="66"/>
        <v>47.97</v>
      </c>
    </row>
    <row r="628" spans="1:12" s="9" customFormat="1" x14ac:dyDescent="0.2">
      <c r="A628" s="9" t="s">
        <v>16</v>
      </c>
      <c r="B628" s="23" t="s">
        <v>894</v>
      </c>
      <c r="C628" s="17" t="s">
        <v>894</v>
      </c>
      <c r="D628" s="22" t="s">
        <v>895</v>
      </c>
      <c r="E628" s="21">
        <f>_xll.BDP($D628,E$40)</f>
        <v>35.04</v>
      </c>
      <c r="F628" s="9">
        <f>_xll.BDP($D628,F$40)</f>
        <v>35.03</v>
      </c>
      <c r="G628" s="9">
        <f>_xll.BDP($D628,G$40)</f>
        <v>35.04</v>
      </c>
      <c r="H628" s="9" t="str">
        <f>_xll.BDP($D628,H$40)</f>
        <v>#N/A Field Not Applicable</v>
      </c>
      <c r="L628" s="9">
        <f t="shared" si="66"/>
        <v>35.04</v>
      </c>
    </row>
    <row r="629" spans="1:12" s="9" customFormat="1" x14ac:dyDescent="0.2">
      <c r="A629" s="9" t="s">
        <v>16</v>
      </c>
      <c r="B629" s="23" t="s">
        <v>927</v>
      </c>
      <c r="C629" s="17" t="s">
        <v>927</v>
      </c>
      <c r="D629" s="22" t="s">
        <v>928</v>
      </c>
      <c r="E629" s="21">
        <f>_xll.BDP($D629,E$40)</f>
        <v>110.01</v>
      </c>
      <c r="F629" s="9">
        <f>_xll.BDP($D629,F$40)</f>
        <v>110</v>
      </c>
      <c r="G629" s="9">
        <f>_xll.BDP($D629,G$40)</f>
        <v>110.01</v>
      </c>
      <c r="H629" s="9" t="str">
        <f>_xll.BDP($D629,H$40)</f>
        <v>#N/A Field Not Applicable</v>
      </c>
      <c r="L629" s="9">
        <f t="shared" si="66"/>
        <v>110.01</v>
      </c>
    </row>
    <row r="630" spans="1:12" s="9" customFormat="1" x14ac:dyDescent="0.2">
      <c r="A630" s="9" t="s">
        <v>16</v>
      </c>
      <c r="B630" s="9" t="str">
        <f>LEFT(D630,FIND(" ",D630)-1)</f>
        <v>MSFT</v>
      </c>
      <c r="C630" s="16" t="str">
        <f>IF(A630="STOCK",B630,REPLACE(B630,FIND("+",B630),1,"."))</f>
        <v>MSFT</v>
      </c>
      <c r="D630" s="9" t="s">
        <v>265</v>
      </c>
      <c r="E630" s="9">
        <f>_xll.BDP($D630,E$40)</f>
        <v>135.41999999999999</v>
      </c>
      <c r="F630" s="9">
        <f>_xll.BDP($D630,F$40)</f>
        <v>135.41</v>
      </c>
      <c r="G630" s="9">
        <f>_xll.BDP($D630,G$40)</f>
        <v>135.41999999999999</v>
      </c>
      <c r="H630" s="9" t="str">
        <f>_xll.BDP($D630,H$40)</f>
        <v>#N/A Field Not Applicable</v>
      </c>
      <c r="L630" s="9">
        <f t="shared" si="66"/>
        <v>135.41999999999999</v>
      </c>
    </row>
    <row r="631" spans="1:12" s="9" customFormat="1" x14ac:dyDescent="0.2">
      <c r="A631" s="9" t="s">
        <v>16</v>
      </c>
      <c r="B631" s="9" t="str">
        <f>LEFT(D631,FIND(" ",D631)-1)</f>
        <v>R</v>
      </c>
      <c r="C631" s="16" t="str">
        <f>IF(A631="STOCK",B631,REPLACE(B631,FIND("+",B631),1,"."))</f>
        <v>R</v>
      </c>
      <c r="D631" s="9" t="s">
        <v>402</v>
      </c>
      <c r="E631" s="9">
        <f>_xll.BDP($D631,E$40)</f>
        <v>27.18</v>
      </c>
      <c r="F631" s="9">
        <f>_xll.BDP($D631,F$40)</f>
        <v>27.17</v>
      </c>
      <c r="G631" s="9">
        <f>_xll.BDP($D631,G$40)</f>
        <v>27.19</v>
      </c>
      <c r="H631" s="9" t="str">
        <f>_xll.BDP($D631,H$40)</f>
        <v>#N/A Field Not Applicable</v>
      </c>
      <c r="L631" s="9">
        <f t="shared" si="66"/>
        <v>27.18</v>
      </c>
    </row>
    <row r="632" spans="1:12" s="9" customFormat="1" x14ac:dyDescent="0.2">
      <c r="A632" s="9" t="s">
        <v>16</v>
      </c>
      <c r="B632" s="23" t="s">
        <v>923</v>
      </c>
      <c r="C632" s="17" t="s">
        <v>923</v>
      </c>
      <c r="D632" s="22" t="s">
        <v>924</v>
      </c>
      <c r="E632" s="21">
        <f>_xll.BDP($D632,E$40)</f>
        <v>88</v>
      </c>
      <c r="F632" s="9">
        <f>_xll.BDP($D632,F$40)</f>
        <v>87.86</v>
      </c>
      <c r="G632" s="9">
        <f>_xll.BDP($D632,G$40)</f>
        <v>87.87</v>
      </c>
      <c r="H632" s="9" t="str">
        <f>_xll.BDP($D632,H$40)</f>
        <v>#N/A Field Not Applicable</v>
      </c>
      <c r="L632" s="9">
        <f t="shared" si="66"/>
        <v>88</v>
      </c>
    </row>
    <row r="633" spans="1:12" s="9" customFormat="1" x14ac:dyDescent="0.2">
      <c r="A633" s="9" t="s">
        <v>16</v>
      </c>
      <c r="B633" s="9" t="str">
        <f>LEFT(D633,FIND(" ",D633)-1)</f>
        <v>CCMP</v>
      </c>
      <c r="C633" s="16" t="s">
        <v>111</v>
      </c>
      <c r="D633" s="9" t="s">
        <v>112</v>
      </c>
      <c r="E633" s="9">
        <f>_xll.BDP($D633,E$40)</f>
        <v>93.21</v>
      </c>
      <c r="F633" s="9">
        <f>_xll.BDP($D633,F$40)</f>
        <v>93.21</v>
      </c>
      <c r="G633" s="9">
        <f>_xll.BDP($D633,G$40)</f>
        <v>93.22</v>
      </c>
      <c r="H633" s="9" t="str">
        <f>_xll.BDP($D633,H$40)</f>
        <v>#N/A Field Not Applicable</v>
      </c>
      <c r="L633" s="9">
        <f t="shared" si="66"/>
        <v>93.21</v>
      </c>
    </row>
    <row r="634" spans="1:12" s="9" customFormat="1" x14ac:dyDescent="0.2">
      <c r="A634" s="9" t="s">
        <v>16</v>
      </c>
      <c r="B634" s="9" t="str">
        <f>LEFT(D634,FIND(" ",D634)-1)</f>
        <v>NDAQ</v>
      </c>
      <c r="C634" s="16" t="str">
        <f>IF(A634="STOCK",B634,REPLACE(B634,FIND("+",B634),1,"."))</f>
        <v>NDAQ</v>
      </c>
      <c r="D634" s="9" t="s">
        <v>273</v>
      </c>
      <c r="E634" s="9">
        <f>_xll.BDP($D634,E$40)</f>
        <v>85.31</v>
      </c>
      <c r="F634" s="9">
        <f>_xll.BDP($D634,F$40)</f>
        <v>85.32</v>
      </c>
      <c r="G634" s="9">
        <f>_xll.BDP($D634,G$40)</f>
        <v>85.35</v>
      </c>
      <c r="H634" s="9" t="str">
        <f>_xll.BDP($D634,H$40)</f>
        <v>#N/A Field Not Applicable</v>
      </c>
      <c r="L634" s="9">
        <f t="shared" si="66"/>
        <v>85.31</v>
      </c>
    </row>
    <row r="635" spans="1:12" s="9" customFormat="1" x14ac:dyDescent="0.2">
      <c r="A635" s="9" t="s">
        <v>16</v>
      </c>
      <c r="B635" s="9" t="str">
        <f>LEFT(D635,FIND(" ",D635)-1)</f>
        <v>WM</v>
      </c>
      <c r="C635" s="16" t="str">
        <f>IF(A635="STOCK",B635,REPLACE(B635,FIND("+",B635),1,"."))</f>
        <v>WM</v>
      </c>
      <c r="D635" s="9" t="s">
        <v>379</v>
      </c>
      <c r="E635" s="9">
        <f>_xll.BDP($D635,E$40)</f>
        <v>99.89</v>
      </c>
      <c r="F635" s="9">
        <f>_xll.BDP($D635,F$40)</f>
        <v>99.75</v>
      </c>
      <c r="G635" s="9">
        <f>_xll.BDP($D635,G$40)</f>
        <v>99.89</v>
      </c>
      <c r="H635" s="9" t="str">
        <f>_xll.BDP($D635,H$40)</f>
        <v>#N/A Field Not Applicable</v>
      </c>
      <c r="L635" s="9">
        <f t="shared" si="66"/>
        <v>99.89</v>
      </c>
    </row>
    <row r="636" spans="1:12" s="9" customFormat="1" x14ac:dyDescent="0.2">
      <c r="A636" s="9" t="s">
        <v>16</v>
      </c>
      <c r="B636" s="9" t="str">
        <f>LEFT(D636,FIND(" ",D636)-1)</f>
        <v>WAB</v>
      </c>
      <c r="C636" s="16" t="str">
        <f>IF(A636="STOCK",B636,REPLACE(B636,FIND("+",B636),1,"."))</f>
        <v>WAB</v>
      </c>
      <c r="D636" s="9" t="s">
        <v>373</v>
      </c>
      <c r="E636" s="9">
        <f>_xll.BDP($D636,E$40)</f>
        <v>48.08</v>
      </c>
      <c r="F636" s="9">
        <f>_xll.BDP($D636,F$40)</f>
        <v>48.07</v>
      </c>
      <c r="G636" s="9">
        <f>_xll.BDP($D636,G$40)</f>
        <v>48.08</v>
      </c>
      <c r="H636" s="9" t="str">
        <f>_xll.BDP($D636,H$40)</f>
        <v>#N/A Field Not Applicable</v>
      </c>
      <c r="L636" s="9">
        <f t="shared" si="66"/>
        <v>48.08</v>
      </c>
    </row>
    <row r="637" spans="1:12" s="9" customFormat="1" x14ac:dyDescent="0.2">
      <c r="A637" s="9" t="s">
        <v>16</v>
      </c>
      <c r="B637" s="9" t="str">
        <f>LEFT(D637,FIND(" ",D637)-1)</f>
        <v>TREX</v>
      </c>
      <c r="C637" s="16" t="str">
        <f>IF(A637="STOCK",B637,REPLACE(B637,FIND("+",B637),1,"."))</f>
        <v>TREX</v>
      </c>
      <c r="D637" s="9" t="s">
        <v>504</v>
      </c>
      <c r="E637" s="9">
        <f>_xll.BDP($D637,E$40)</f>
        <v>63.96</v>
      </c>
      <c r="F637" s="9">
        <f>_xll.BDP($D637,F$40)</f>
        <v>63.95</v>
      </c>
      <c r="G637" s="9">
        <f>_xll.BDP($D637,G$40)</f>
        <v>63.96</v>
      </c>
      <c r="H637" s="9" t="str">
        <f>_xll.BDP($D637,H$40)</f>
        <v>#N/A Field Not Applicable</v>
      </c>
      <c r="L637" s="9">
        <f t="shared" si="66"/>
        <v>63.96</v>
      </c>
    </row>
    <row r="638" spans="1:12" s="9" customFormat="1" x14ac:dyDescent="0.2">
      <c r="A638" s="9" t="s">
        <v>16</v>
      </c>
      <c r="B638" s="9" t="s">
        <v>586</v>
      </c>
      <c r="C638" s="16" t="s">
        <v>586</v>
      </c>
      <c r="D638" s="9" t="s">
        <v>587</v>
      </c>
      <c r="E638" s="9">
        <f>_xll.BDP($D638,E$40)</f>
        <v>74.91</v>
      </c>
      <c r="F638" s="9">
        <f>_xll.BDP($D638,F$40)</f>
        <v>74.91</v>
      </c>
      <c r="G638" s="9">
        <f>_xll.BDP($D638,G$40)</f>
        <v>74.92</v>
      </c>
      <c r="H638" s="9" t="str">
        <f>_xll.BDP($D638,H$40)</f>
        <v>#N/A Field Not Applicable</v>
      </c>
      <c r="L638" s="9">
        <f t="shared" si="66"/>
        <v>74.91</v>
      </c>
    </row>
    <row r="639" spans="1:12" s="9" customFormat="1" x14ac:dyDescent="0.2">
      <c r="A639" s="9" t="s">
        <v>16</v>
      </c>
      <c r="B639" s="9" t="str">
        <f>LEFT(D639,FIND(" ",D639)-1)</f>
        <v>SNPS</v>
      </c>
      <c r="C639" s="16" t="str">
        <f>IF(A639="STOCK",B639,REPLACE(B639,FIND("+",B639),1,"."))</f>
        <v>SNPS</v>
      </c>
      <c r="D639" s="9" t="s">
        <v>334</v>
      </c>
      <c r="E639" s="9">
        <f>_xll.BDP($D639,E$40)</f>
        <v>112.75</v>
      </c>
      <c r="F639" s="9">
        <f>_xll.BDP($D639,F$40)</f>
        <v>112.75</v>
      </c>
      <c r="G639" s="9">
        <f>_xll.BDP($D639,G$40)</f>
        <v>112.76</v>
      </c>
      <c r="H639" s="9" t="str">
        <f>_xll.BDP($D639,H$40)</f>
        <v>#N/A Field Not Applicable</v>
      </c>
      <c r="L639" s="9">
        <f t="shared" si="66"/>
        <v>112.75</v>
      </c>
    </row>
    <row r="640" spans="1:12" s="9" customFormat="1" x14ac:dyDescent="0.2">
      <c r="A640" s="9" t="s">
        <v>16</v>
      </c>
      <c r="B640" s="9" t="str">
        <f>LEFT(D640,FIND(" ",D640)-1)</f>
        <v>CAH</v>
      </c>
      <c r="C640" s="16" t="str">
        <f>IF(A640="STOCK",B640,REPLACE(B640,FIND("+",B640),1,"."))</f>
        <v>CAH</v>
      </c>
      <c r="D640" s="9" t="s">
        <v>102</v>
      </c>
      <c r="E640" s="9">
        <f>_xll.BDP($D640,E$40)</f>
        <v>44.22</v>
      </c>
      <c r="F640" s="9">
        <f>_xll.BDP($D640,F$40)</f>
        <v>44.21</v>
      </c>
      <c r="G640" s="9">
        <f>_xll.BDP($D640,G$40)</f>
        <v>44.22</v>
      </c>
      <c r="H640" s="9" t="str">
        <f>_xll.BDP($D640,H$40)</f>
        <v>#N/A Field Not Applicable</v>
      </c>
      <c r="L640" s="9">
        <f t="shared" si="66"/>
        <v>44.22</v>
      </c>
    </row>
    <row r="641" spans="1:12" s="9" customFormat="1" x14ac:dyDescent="0.2">
      <c r="A641" s="9" t="s">
        <v>16</v>
      </c>
      <c r="B641" s="9" t="str">
        <f>LEFT(D641,FIND(" ",D641)-1)</f>
        <v>CAH</v>
      </c>
      <c r="C641" s="16" t="str">
        <f>IF(A641="STOCK",B641,REPLACE(B641,FIND("+",B641),1,"."))</f>
        <v>CAH</v>
      </c>
      <c r="D641" s="9" t="s">
        <v>102</v>
      </c>
      <c r="E641" s="9">
        <f>_xll.BDP($D641,E$40)</f>
        <v>44.22</v>
      </c>
      <c r="F641" s="9">
        <f>_xll.BDP($D641,F$40)</f>
        <v>44.21</v>
      </c>
      <c r="G641" s="9">
        <f>_xll.BDP($D641,G$40)</f>
        <v>44.22</v>
      </c>
      <c r="H641" s="9" t="str">
        <f>_xll.BDP($D641,H$40)</f>
        <v>#N/A Field Not Applicable</v>
      </c>
      <c r="L641" s="9">
        <f t="shared" si="66"/>
        <v>44.22</v>
      </c>
    </row>
    <row r="642" spans="1:12" s="9" customFormat="1" x14ac:dyDescent="0.2">
      <c r="A642" s="9" t="s">
        <v>16</v>
      </c>
      <c r="B642" s="9" t="str">
        <f>LEFT(D642,FIND(" ",D642)-1)</f>
        <v>FMC</v>
      </c>
      <c r="C642" s="16" t="str">
        <f>IF(A642="STOCK",B642,REPLACE(B642,FIND("+",B642),1,"."))</f>
        <v>FMC</v>
      </c>
      <c r="D642" s="9" t="s">
        <v>187</v>
      </c>
      <c r="E642" s="9">
        <f>_xll.BDP($D642,E$40)</f>
        <v>71.010000000000005</v>
      </c>
      <c r="F642" s="9">
        <f>_xll.BDP($D642,F$40)</f>
        <v>70.97</v>
      </c>
      <c r="G642" s="9">
        <f>_xll.BDP($D642,G$40)</f>
        <v>71.010000000000005</v>
      </c>
      <c r="H642" s="9" t="str">
        <f>_xll.BDP($D642,H$40)</f>
        <v>#N/A Field Not Applicable</v>
      </c>
      <c r="L642" s="9">
        <f t="shared" si="66"/>
        <v>71.010000000000005</v>
      </c>
    </row>
    <row r="643" spans="1:12" s="9" customFormat="1" x14ac:dyDescent="0.2">
      <c r="A643" s="9" t="s">
        <v>16</v>
      </c>
      <c r="B643" s="23" t="s">
        <v>792</v>
      </c>
      <c r="C643" s="17" t="s">
        <v>792</v>
      </c>
      <c r="D643" s="22" t="s">
        <v>793</v>
      </c>
      <c r="E643" s="21">
        <f>_xll.BDP($D643,E$40)</f>
        <v>72.59</v>
      </c>
      <c r="F643" s="9">
        <f>_xll.BDP($D643,F$40)</f>
        <v>72.569999999999993</v>
      </c>
      <c r="G643" s="9">
        <f>_xll.BDP($D643,G$40)</f>
        <v>72.58</v>
      </c>
      <c r="H643" s="9" t="str">
        <f>_xll.BDP($D643,H$40)</f>
        <v>#N/A Field Not Applicable</v>
      </c>
      <c r="L643" s="9">
        <f t="shared" si="66"/>
        <v>72.59</v>
      </c>
    </row>
    <row r="644" spans="1:12" s="9" customFormat="1" x14ac:dyDescent="0.2">
      <c r="A644" s="9" t="s">
        <v>16</v>
      </c>
      <c r="B644" s="23" t="s">
        <v>874</v>
      </c>
      <c r="C644" s="17" t="s">
        <v>874</v>
      </c>
      <c r="D644" s="22" t="s">
        <v>875</v>
      </c>
      <c r="E644" s="21">
        <f>_xll.BDP($D644,E$40)</f>
        <v>30.46</v>
      </c>
      <c r="F644" s="9">
        <f>_xll.BDP($D644,F$40)</f>
        <v>30.45</v>
      </c>
      <c r="G644" s="9">
        <f>_xll.BDP($D644,G$40)</f>
        <v>30.46</v>
      </c>
      <c r="H644" s="9" t="str">
        <f>_xll.BDP($D644,H$40)</f>
        <v>#N/A Field Not Applicable</v>
      </c>
      <c r="L644" s="9">
        <f t="shared" si="66"/>
        <v>30.46</v>
      </c>
    </row>
    <row r="645" spans="1:12" s="9" customFormat="1" x14ac:dyDescent="0.2">
      <c r="A645" s="9" t="s">
        <v>16</v>
      </c>
      <c r="B645" s="9" t="str">
        <f>LEFT(D645,FIND(" ",D645)-1)</f>
        <v>DDS</v>
      </c>
      <c r="C645" s="16" t="str">
        <f>IF(A645="STOCK",B645,REPLACE(B645,FIND("+",B645),1,"."))</f>
        <v>DDS</v>
      </c>
      <c r="D645" s="9" t="s">
        <v>152</v>
      </c>
      <c r="E645" s="9">
        <f>_xll.BDP($D645,E$40)</f>
        <v>34.86</v>
      </c>
      <c r="F645" s="9">
        <f>_xll.BDP($D645,F$40)</f>
        <v>34.85</v>
      </c>
      <c r="G645" s="9">
        <f>_xll.BDP($D645,G$40)</f>
        <v>34.86</v>
      </c>
      <c r="H645" s="9" t="str">
        <f>_xll.BDP($D645,H$40)</f>
        <v>#N/A Field Not Applicable</v>
      </c>
      <c r="L645" s="9">
        <f t="shared" si="66"/>
        <v>34.86</v>
      </c>
    </row>
    <row r="646" spans="1:12" s="9" customFormat="1" x14ac:dyDescent="0.2">
      <c r="A646" s="9" t="s">
        <v>16</v>
      </c>
      <c r="B646" s="9" t="s">
        <v>642</v>
      </c>
      <c r="C646" s="16" t="s">
        <v>642</v>
      </c>
      <c r="D646" s="9" t="s">
        <v>643</v>
      </c>
      <c r="E646" s="9">
        <f>_xll.BDP($D646,E$40)</f>
        <v>53.42</v>
      </c>
      <c r="F646" s="9">
        <f>_xll.BDP($D646,F$40)</f>
        <v>53.41</v>
      </c>
      <c r="G646" s="9">
        <f>_xll.BDP($D646,G$40)</f>
        <v>53.42</v>
      </c>
      <c r="H646" s="9" t="str">
        <f>_xll.BDP($D646,H$40)</f>
        <v>#N/A Field Not Applicable</v>
      </c>
      <c r="L646" s="9">
        <f t="shared" si="66"/>
        <v>53.42</v>
      </c>
    </row>
    <row r="647" spans="1:12" s="9" customFormat="1" x14ac:dyDescent="0.2">
      <c r="A647" s="9" t="s">
        <v>16</v>
      </c>
      <c r="B647" s="23" t="s">
        <v>726</v>
      </c>
      <c r="C647" s="17" t="s">
        <v>726</v>
      </c>
      <c r="D647" s="22" t="s">
        <v>727</v>
      </c>
      <c r="E647" s="21">
        <f>_xll.BDP($D647,E$40)</f>
        <v>45.08</v>
      </c>
      <c r="F647" s="9">
        <f>_xll.BDP($D647,F$40)</f>
        <v>45.07</v>
      </c>
      <c r="G647" s="9">
        <f>_xll.BDP($D647,G$40)</f>
        <v>45.08</v>
      </c>
      <c r="H647" s="9" t="str">
        <f>_xll.BDP($D647,H$40)</f>
        <v>#N/A Field Not Applicable</v>
      </c>
      <c r="L647" s="9">
        <f t="shared" si="66"/>
        <v>45.08</v>
      </c>
    </row>
    <row r="648" spans="1:12" s="9" customFormat="1" x14ac:dyDescent="0.2">
      <c r="A648" s="9" t="s">
        <v>16</v>
      </c>
      <c r="B648" s="9" t="str">
        <f>LEFT(D648,FIND(" ",D648)-1)</f>
        <v>MGLN</v>
      </c>
      <c r="C648" s="16" t="str">
        <f>IF(A648="STOCK",B648,REPLACE(B648,FIND("+",B648),1,"."))</f>
        <v>MGLN</v>
      </c>
      <c r="D648" s="9" t="s">
        <v>551</v>
      </c>
      <c r="E648" s="9">
        <f>_xll.BDP($D648,E$40)</f>
        <v>38.76</v>
      </c>
      <c r="F648" s="9">
        <f>_xll.BDP($D648,F$40)</f>
        <v>38.75</v>
      </c>
      <c r="G648" s="9">
        <f>_xll.BDP($D648,G$40)</f>
        <v>38.76</v>
      </c>
      <c r="H648" s="9" t="str">
        <f>_xll.BDP($D648,H$40)</f>
        <v>#N/A Field Not Applicable</v>
      </c>
      <c r="L648" s="9">
        <f t="shared" si="66"/>
        <v>38.76</v>
      </c>
    </row>
    <row r="649" spans="1:12" s="9" customFormat="1" x14ac:dyDescent="0.2">
      <c r="A649" s="9" t="s">
        <v>16</v>
      </c>
      <c r="B649" s="9" t="str">
        <f>LEFT(D649,FIND(" ",D649)-1)</f>
        <v>TCBI</v>
      </c>
      <c r="C649" s="16" t="str">
        <f>IF(A649="STOCK",B649,REPLACE(B649,FIND("+",B649),1,"."))</f>
        <v>TCBI</v>
      </c>
      <c r="D649" s="9" t="s">
        <v>340</v>
      </c>
      <c r="E649" s="9">
        <f>_xll.BDP($D649,E$40)</f>
        <v>27.22</v>
      </c>
      <c r="F649" s="9">
        <f>_xll.BDP($D649,F$40)</f>
        <v>27.22</v>
      </c>
      <c r="G649" s="9">
        <f>_xll.BDP($D649,G$40)</f>
        <v>27.23</v>
      </c>
      <c r="H649" s="9" t="str">
        <f>_xll.BDP($D649,H$40)</f>
        <v>#N/A Field Not Applicable</v>
      </c>
      <c r="L649" s="9">
        <f t="shared" si="66"/>
        <v>27.22</v>
      </c>
    </row>
    <row r="650" spans="1:12" s="9" customFormat="1" x14ac:dyDescent="0.2">
      <c r="A650" s="9" t="s">
        <v>16</v>
      </c>
      <c r="B650" s="9" t="str">
        <f>LEFT(D650,FIND(" ",D650)-1)</f>
        <v>EIX</v>
      </c>
      <c r="C650" s="16" t="str">
        <f>IF(A650="STOCK",B650,REPLACE(B650,FIND("+",B650),1,"."))</f>
        <v>EIX</v>
      </c>
      <c r="D650" s="9" t="s">
        <v>168</v>
      </c>
      <c r="E650" s="9">
        <f>_xll.BDP($D650,E$40)</f>
        <v>46.15</v>
      </c>
      <c r="F650" s="9">
        <f>_xll.BDP($D650,F$40)</f>
        <v>46.16</v>
      </c>
      <c r="G650" s="9">
        <f>_xll.BDP($D650,G$40)</f>
        <v>46.17</v>
      </c>
      <c r="H650" s="9" t="str">
        <f>_xll.BDP($D650,H$40)</f>
        <v>#N/A Field Not Applicable</v>
      </c>
      <c r="L650" s="9">
        <f t="shared" si="66"/>
        <v>46.15</v>
      </c>
    </row>
    <row r="651" spans="1:12" s="9" customFormat="1" x14ac:dyDescent="0.2">
      <c r="A651" s="9" t="s">
        <v>16</v>
      </c>
      <c r="B651" s="9" t="str">
        <f>LEFT(D651,FIND(" ",D651)-1)</f>
        <v>ADI</v>
      </c>
      <c r="C651" s="16" t="str">
        <f>IF(A651="STOCK",B651,REPLACE(B651,FIND("+",B651),1,"."))</f>
        <v>ADI</v>
      </c>
      <c r="D651" s="9" t="s">
        <v>53</v>
      </c>
      <c r="E651" s="9">
        <f>_xll.BDP($D651,E$40)</f>
        <v>83.21</v>
      </c>
      <c r="F651" s="9">
        <f>_xll.BDP($D651,F$40)</f>
        <v>83.21</v>
      </c>
      <c r="G651" s="9">
        <f>_xll.BDP($D651,G$40)</f>
        <v>83.26</v>
      </c>
      <c r="H651" s="9" t="str">
        <f>_xll.BDP($D651,H$40)</f>
        <v>#N/A Field Not Applicable</v>
      </c>
      <c r="L651" s="9">
        <f t="shared" si="66"/>
        <v>83.21</v>
      </c>
    </row>
    <row r="652" spans="1:12" s="9" customFormat="1" x14ac:dyDescent="0.2">
      <c r="A652" s="9" t="s">
        <v>16</v>
      </c>
      <c r="B652" s="9" t="str">
        <f>LEFT(D652,FIND(" ",D652)-1)</f>
        <v>TTWO</v>
      </c>
      <c r="C652" s="16" t="str">
        <f>IF(A652="STOCK",B652,REPLACE(B652,FIND("+",B652),1,"."))</f>
        <v>TTWO</v>
      </c>
      <c r="D652" s="9" t="s">
        <v>355</v>
      </c>
      <c r="E652" s="9">
        <f>_xll.BDP($D652,E$40)</f>
        <v>108.01</v>
      </c>
      <c r="F652" s="9">
        <f>_xll.BDP($D652,F$40)</f>
        <v>108</v>
      </c>
      <c r="G652" s="9">
        <f>_xll.BDP($D652,G$40)</f>
        <v>108.15</v>
      </c>
      <c r="H652" s="9" t="str">
        <f>_xll.BDP($D652,H$40)</f>
        <v>#N/A Field Not Applicable</v>
      </c>
      <c r="L652" s="9">
        <f t="shared" si="66"/>
        <v>108.01</v>
      </c>
    </row>
    <row r="653" spans="1:12" s="9" customFormat="1" x14ac:dyDescent="0.2">
      <c r="A653" s="9" t="s">
        <v>16</v>
      </c>
      <c r="B653" s="9" t="s">
        <v>454</v>
      </c>
      <c r="C653" s="16" t="s">
        <v>454</v>
      </c>
      <c r="D653" s="9" t="s">
        <v>455</v>
      </c>
      <c r="E653" s="9">
        <f>_xll.BDP($D653,E$40)</f>
        <v>84.45</v>
      </c>
      <c r="F653" s="9">
        <f>_xll.BDP($D653,F$40)</f>
        <v>84.44</v>
      </c>
      <c r="G653" s="9">
        <f>_xll.BDP($D653,G$40)</f>
        <v>84.45</v>
      </c>
      <c r="H653" s="9" t="str">
        <f>_xll.BDP($D653,H$40)</f>
        <v>#N/A Field Not Applicable</v>
      </c>
      <c r="L653" s="9">
        <f t="shared" si="66"/>
        <v>84.45</v>
      </c>
    </row>
    <row r="654" spans="1:12" s="9" customFormat="1" x14ac:dyDescent="0.2">
      <c r="A654" s="9" t="s">
        <v>16</v>
      </c>
      <c r="B654" s="23" t="s">
        <v>454</v>
      </c>
      <c r="C654" s="17" t="s">
        <v>776</v>
      </c>
      <c r="D654" s="22" t="s">
        <v>455</v>
      </c>
      <c r="E654" s="21">
        <f>_xll.BDP($D654,E$40)</f>
        <v>84.45</v>
      </c>
      <c r="F654" s="9">
        <f>_xll.BDP($D654,F$40)</f>
        <v>84.44</v>
      </c>
      <c r="G654" s="9">
        <f>_xll.BDP($D654,G$40)</f>
        <v>84.45</v>
      </c>
      <c r="H654" s="9" t="str">
        <f>_xll.BDP($D654,H$40)</f>
        <v>#N/A Field Not Applicable</v>
      </c>
      <c r="L654" s="9">
        <f t="shared" si="66"/>
        <v>84.45</v>
      </c>
    </row>
    <row r="655" spans="1:12" s="9" customFormat="1" x14ac:dyDescent="0.2">
      <c r="A655" s="9" t="s">
        <v>16</v>
      </c>
      <c r="B655" s="5" t="s">
        <v>696</v>
      </c>
      <c r="C655" s="16" t="s">
        <v>696</v>
      </c>
      <c r="D655" s="9" t="s">
        <v>697</v>
      </c>
      <c r="E655" s="21">
        <f>_xll.BDP($D655,E$40)</f>
        <v>34.49</v>
      </c>
      <c r="F655" s="9">
        <f>_xll.BDP($D655,F$40)</f>
        <v>34.47</v>
      </c>
      <c r="G655" s="9">
        <f>_xll.BDP($D655,G$40)</f>
        <v>34.49</v>
      </c>
      <c r="H655" s="9" t="str">
        <f>_xll.BDP($D655,H$40)</f>
        <v>#N/A Field Not Applicable</v>
      </c>
      <c r="L655" s="9">
        <f t="shared" si="66"/>
        <v>34.49</v>
      </c>
    </row>
    <row r="656" spans="1:12" s="9" customFormat="1" x14ac:dyDescent="0.2">
      <c r="A656" s="9" t="s">
        <v>16</v>
      </c>
      <c r="B656" s="9" t="str">
        <f>LEFT(D656,FIND(" ",D656)-1)</f>
        <v>TXN</v>
      </c>
      <c r="C656" s="16" t="str">
        <f>IF(A656="STOCK",B656,REPLACE(B656,FIND("+",B656),1,"."))</f>
        <v>TXN</v>
      </c>
      <c r="D656" s="9" t="s">
        <v>358</v>
      </c>
      <c r="E656" s="9">
        <f>_xll.BDP($D656,E$40)</f>
        <v>93.5</v>
      </c>
      <c r="F656" s="9">
        <f>_xll.BDP($D656,F$40)</f>
        <v>93.49</v>
      </c>
      <c r="G656" s="9">
        <f>_xll.BDP($D656,G$40)</f>
        <v>93.5</v>
      </c>
      <c r="H656" s="9" t="str">
        <f>_xll.BDP($D656,H$40)</f>
        <v>#N/A Field Not Applicable</v>
      </c>
      <c r="L656" s="9">
        <f t="shared" si="66"/>
        <v>93.5</v>
      </c>
    </row>
    <row r="657" spans="1:12" s="9" customFormat="1" x14ac:dyDescent="0.2">
      <c r="A657" s="9" t="s">
        <v>16</v>
      </c>
      <c r="B657" s="23" t="s">
        <v>770</v>
      </c>
      <c r="C657" s="17" t="s">
        <v>770</v>
      </c>
      <c r="D657" s="22" t="s">
        <v>771</v>
      </c>
      <c r="E657" s="21">
        <f>_xll.BDP($D657,E$40)</f>
        <v>54.03</v>
      </c>
      <c r="F657" s="9">
        <f>_xll.BDP($D657,F$40)</f>
        <v>54.02</v>
      </c>
      <c r="G657" s="9">
        <f>_xll.BDP($D657,G$40)</f>
        <v>54.03</v>
      </c>
      <c r="H657" s="9" t="str">
        <f>_xll.BDP($D657,H$40)</f>
        <v>#N/A Field Not Applicable</v>
      </c>
      <c r="L657" s="9">
        <f t="shared" si="66"/>
        <v>54.03</v>
      </c>
    </row>
    <row r="658" spans="1:12" s="9" customFormat="1" x14ac:dyDescent="0.2">
      <c r="A658" s="9" t="s">
        <v>16</v>
      </c>
      <c r="B658" s="9" t="s">
        <v>591</v>
      </c>
      <c r="C658" s="16" t="s">
        <v>591</v>
      </c>
      <c r="D658" s="9" t="s">
        <v>592</v>
      </c>
      <c r="E658" s="9">
        <f>_xll.BDP($D658,E$40)</f>
        <v>88.74</v>
      </c>
      <c r="F658" s="9">
        <f>_xll.BDP($D658,F$40)</f>
        <v>88.73</v>
      </c>
      <c r="G658" s="9">
        <f>_xll.BDP($D658,G$40)</f>
        <v>88.74</v>
      </c>
      <c r="H658" s="9" t="str">
        <f>_xll.BDP($D658,H$40)</f>
        <v>#N/A Field Not Applicable</v>
      </c>
      <c r="L658" s="9">
        <f t="shared" si="66"/>
        <v>88.74</v>
      </c>
    </row>
    <row r="659" spans="1:12" s="9" customFormat="1" x14ac:dyDescent="0.2">
      <c r="A659" s="9" t="s">
        <v>16</v>
      </c>
      <c r="B659" s="5" t="s">
        <v>687</v>
      </c>
      <c r="C659" s="16" t="s">
        <v>687</v>
      </c>
      <c r="D659" s="9" t="s">
        <v>688</v>
      </c>
      <c r="E659" s="21">
        <f>_xll.BDP($D659,E$40)</f>
        <v>97.55</v>
      </c>
      <c r="F659" s="9">
        <f>_xll.BDP($D659,F$40)</f>
        <v>97.55</v>
      </c>
      <c r="G659" s="9">
        <f>_xll.BDP($D659,G$40)</f>
        <v>97.6</v>
      </c>
      <c r="H659" s="9" t="str">
        <f>_xll.BDP($D659,H$40)</f>
        <v>#N/A Field Not Applicable</v>
      </c>
      <c r="L659" s="9">
        <f t="shared" si="66"/>
        <v>97.55</v>
      </c>
    </row>
    <row r="660" spans="1:12" s="9" customFormat="1" x14ac:dyDescent="0.2">
      <c r="A660" s="9" t="s">
        <v>16</v>
      </c>
      <c r="B660" s="9" t="str">
        <f>LEFT(D660,FIND(" ",D660)-1)</f>
        <v>RJF</v>
      </c>
      <c r="C660" s="16" t="str">
        <f>IF(A660="STOCK",B660,REPLACE(B660,FIND("+",B660),1,"."))</f>
        <v>RJF</v>
      </c>
      <c r="D660" s="9" t="s">
        <v>315</v>
      </c>
      <c r="E660" s="9">
        <f>_xll.BDP($D660,E$40)</f>
        <v>66.599999999999994</v>
      </c>
      <c r="F660" s="9">
        <f>_xll.BDP($D660,F$40)</f>
        <v>66.59</v>
      </c>
      <c r="G660" s="9">
        <f>_xll.BDP($D660,G$40)</f>
        <v>66.599999999999994</v>
      </c>
      <c r="H660" s="9" t="str">
        <f>_xll.BDP($D660,H$40)</f>
        <v>#N/A Field Not Applicable</v>
      </c>
      <c r="L660" s="9">
        <f t="shared" si="66"/>
        <v>66.599999999999994</v>
      </c>
    </row>
    <row r="661" spans="1:12" s="9" customFormat="1" x14ac:dyDescent="0.2">
      <c r="A661" s="9" t="s">
        <v>16</v>
      </c>
      <c r="B661" s="9" t="str">
        <f>LEFT(D661,FIND(" ",D661)-1)</f>
        <v>ARW</v>
      </c>
      <c r="C661" s="16" t="str">
        <f>IF(A661="STOCK",B661,REPLACE(B661,FIND("+",B661),1,"."))</f>
        <v>ARW</v>
      </c>
      <c r="D661" s="9" t="s">
        <v>73</v>
      </c>
      <c r="E661" s="9">
        <f>_xll.BDP($D661,E$40)</f>
        <v>49.73</v>
      </c>
      <c r="F661" s="9">
        <f>_xll.BDP($D661,F$40)</f>
        <v>49.72</v>
      </c>
      <c r="G661" s="9">
        <f>_xll.BDP($D661,G$40)</f>
        <v>49.73</v>
      </c>
      <c r="H661" s="9" t="str">
        <f>_xll.BDP($D661,H$40)</f>
        <v>#N/A Field Not Applicable</v>
      </c>
      <c r="L661" s="9">
        <f t="shared" si="66"/>
        <v>49.73</v>
      </c>
    </row>
    <row r="662" spans="1:12" s="9" customFormat="1" x14ac:dyDescent="0.2">
      <c r="A662" s="9" t="s">
        <v>16</v>
      </c>
      <c r="B662" s="9" t="str">
        <f>LEFT(D662,FIND(" ",D662)-1)</f>
        <v>AXP</v>
      </c>
      <c r="C662" s="16" t="str">
        <f>IF(A662="STOCK",B662,REPLACE(B662,FIND("+",B662),1,"."))</f>
        <v>AXP</v>
      </c>
      <c r="D662" s="9" t="s">
        <v>84</v>
      </c>
      <c r="E662" s="9">
        <f>_xll.BDP($D662,E$40)</f>
        <v>85.87</v>
      </c>
      <c r="F662" s="9">
        <f>_xll.BDP($D662,F$40)</f>
        <v>85.86</v>
      </c>
      <c r="G662" s="9">
        <f>_xll.BDP($D662,G$40)</f>
        <v>85.87</v>
      </c>
      <c r="H662" s="9" t="str">
        <f>_xll.BDP($D662,H$40)</f>
        <v>#N/A Field Not Applicable</v>
      </c>
      <c r="L662" s="9">
        <f t="shared" si="66"/>
        <v>85.87</v>
      </c>
    </row>
    <row r="663" spans="1:12" s="9" customFormat="1" x14ac:dyDescent="0.2">
      <c r="A663" s="9" t="s">
        <v>16</v>
      </c>
      <c r="B663" s="23" t="s">
        <v>978</v>
      </c>
      <c r="C663" s="17" t="s">
        <v>978</v>
      </c>
      <c r="D663" s="22" t="s">
        <v>84</v>
      </c>
      <c r="E663" s="21">
        <f>_xll.BDP($D663,E$40)</f>
        <v>85.87</v>
      </c>
      <c r="F663" s="9">
        <f>_xll.BDP($D663,F$40)</f>
        <v>85.86</v>
      </c>
      <c r="G663" s="9">
        <f>_xll.BDP($D663,G$40)</f>
        <v>85.87</v>
      </c>
      <c r="H663" s="9" t="str">
        <f>_xll.BDP($D663,H$40)</f>
        <v>#N/A Field Not Applicable</v>
      </c>
      <c r="L663" s="9">
        <f t="shared" si="66"/>
        <v>85.87</v>
      </c>
    </row>
    <row r="664" spans="1:12" s="9" customFormat="1" x14ac:dyDescent="0.2">
      <c r="A664" s="9" t="s">
        <v>16</v>
      </c>
      <c r="B664" s="5" t="s">
        <v>698</v>
      </c>
      <c r="C664" s="16" t="s">
        <v>698</v>
      </c>
      <c r="D664" s="9" t="s">
        <v>699</v>
      </c>
      <c r="E664" s="21">
        <f>_xll.BDP($D664,E$40)</f>
        <v>75.95</v>
      </c>
      <c r="F664" s="9">
        <f>_xll.BDP($D664,F$40)</f>
        <v>75.94</v>
      </c>
      <c r="G664" s="9">
        <f>_xll.BDP($D664,G$40)</f>
        <v>75.95</v>
      </c>
      <c r="H664" s="9" t="str">
        <f>_xll.BDP($D664,H$40)</f>
        <v>#N/A Field Not Applicable</v>
      </c>
      <c r="L664" s="9">
        <f t="shared" si="66"/>
        <v>75.95</v>
      </c>
    </row>
    <row r="665" spans="1:12" s="9" customFormat="1" x14ac:dyDescent="0.2">
      <c r="A665" s="9" t="s">
        <v>16</v>
      </c>
      <c r="B665" s="9" t="str">
        <f t="shared" ref="B665:B671" si="69">LEFT(D665,FIND(" ",D665)-1)</f>
        <v>DRI</v>
      </c>
      <c r="C665" s="16" t="str">
        <f t="shared" ref="C665:C671" si="70">IF(A665="STOCK",B665,REPLACE(B665,FIND("+",B665),1,"."))</f>
        <v>DRI</v>
      </c>
      <c r="D665" s="9" t="s">
        <v>161</v>
      </c>
      <c r="E665" s="9">
        <f>_xll.BDP($D665,E$40)</f>
        <v>49.21</v>
      </c>
      <c r="F665" s="9">
        <f>_xll.BDP($D665,F$40)</f>
        <v>49.2</v>
      </c>
      <c r="G665" s="9">
        <f>_xll.BDP($D665,G$40)</f>
        <v>49.21</v>
      </c>
      <c r="H665" s="9" t="str">
        <f>_xll.BDP($D665,H$40)</f>
        <v>#N/A Field Not Applicable</v>
      </c>
      <c r="L665" s="9">
        <f t="shared" si="66"/>
        <v>49.21</v>
      </c>
    </row>
    <row r="666" spans="1:12" s="9" customFormat="1" x14ac:dyDescent="0.2">
      <c r="A666" s="9" t="s">
        <v>16</v>
      </c>
      <c r="B666" s="9" t="str">
        <f t="shared" si="69"/>
        <v>COF</v>
      </c>
      <c r="C666" s="16" t="str">
        <f t="shared" si="70"/>
        <v>COF</v>
      </c>
      <c r="D666" s="9" t="s">
        <v>131</v>
      </c>
      <c r="E666" s="9">
        <f>_xll.BDP($D666,E$40)</f>
        <v>55.45</v>
      </c>
      <c r="F666" s="9">
        <f>_xll.BDP($D666,F$40)</f>
        <v>55.44</v>
      </c>
      <c r="G666" s="9">
        <f>_xll.BDP($D666,G$40)</f>
        <v>55.45</v>
      </c>
      <c r="H666" s="9" t="str">
        <f>_xll.BDP($D666,H$40)</f>
        <v>#N/A Field Not Applicable</v>
      </c>
      <c r="L666" s="9">
        <f t="shared" si="66"/>
        <v>55.45</v>
      </c>
    </row>
    <row r="667" spans="1:12" s="9" customFormat="1" x14ac:dyDescent="0.2">
      <c r="A667" s="9" t="s">
        <v>16</v>
      </c>
      <c r="B667" s="9" t="str">
        <f t="shared" si="69"/>
        <v>EMN</v>
      </c>
      <c r="C667" s="16" t="str">
        <f t="shared" si="70"/>
        <v>EMN</v>
      </c>
      <c r="D667" s="9" t="s">
        <v>169</v>
      </c>
      <c r="E667" s="9">
        <f>_xll.BDP($D667,E$40)</f>
        <v>40.01</v>
      </c>
      <c r="F667" s="9">
        <f>_xll.BDP($D667,F$40)</f>
        <v>40.01</v>
      </c>
      <c r="G667" s="9">
        <f>_xll.BDP($D667,G$40)</f>
        <v>40.020000000000003</v>
      </c>
      <c r="H667" s="9" t="str">
        <f>_xll.BDP($D667,H$40)</f>
        <v>#N/A Field Not Applicable</v>
      </c>
      <c r="L667" s="9">
        <f t="shared" si="66"/>
        <v>40.01</v>
      </c>
    </row>
    <row r="668" spans="1:12" s="9" customFormat="1" x14ac:dyDescent="0.2">
      <c r="A668" s="9" t="s">
        <v>16</v>
      </c>
      <c r="B668" s="9" t="str">
        <f t="shared" si="69"/>
        <v>JCOM</v>
      </c>
      <c r="C668" s="16" t="str">
        <f t="shared" si="70"/>
        <v>JCOM</v>
      </c>
      <c r="D668" s="9" t="s">
        <v>230</v>
      </c>
      <c r="E668" s="9">
        <f>_xll.BDP($D668,E$40)</f>
        <v>68.819999999999993</v>
      </c>
      <c r="F668" s="9">
        <f>_xll.BDP($D668,F$40)</f>
        <v>68.760000000000005</v>
      </c>
      <c r="G668" s="9">
        <f>_xll.BDP($D668,G$40)</f>
        <v>68.77</v>
      </c>
      <c r="H668" s="9" t="str">
        <f>_xll.BDP($D668,H$40)</f>
        <v>#N/A Field Not Applicable</v>
      </c>
      <c r="L668" s="9">
        <f t="shared" si="66"/>
        <v>68.819999999999993</v>
      </c>
    </row>
    <row r="669" spans="1:12" s="9" customFormat="1" x14ac:dyDescent="0.2">
      <c r="A669" s="9" t="s">
        <v>16</v>
      </c>
      <c r="B669" s="9" t="str">
        <f t="shared" si="69"/>
        <v>SMH</v>
      </c>
      <c r="C669" s="16" t="str">
        <f t="shared" si="70"/>
        <v>SMH</v>
      </c>
      <c r="D669" s="9" t="s">
        <v>333</v>
      </c>
      <c r="E669" s="9">
        <f>_xll.BDP($D669,E$40)</f>
        <v>101.97</v>
      </c>
      <c r="F669" s="9">
        <f>_xll.BDP($D669,F$40)</f>
        <v>101.42</v>
      </c>
      <c r="G669" s="9">
        <f>_xll.BDP($D669,G$40)</f>
        <v>101.65</v>
      </c>
      <c r="H669" s="9" t="str">
        <f>_xll.BDP($D669,H$40)</f>
        <v>#N/A Field Not Applicable</v>
      </c>
      <c r="L669" s="9">
        <f t="shared" ref="L669:L729" si="71">IF(A669="STOCK",E669,IF(A669="SOPTION",G669,IF(A669="LOPTION",F669,"")))</f>
        <v>101.97</v>
      </c>
    </row>
    <row r="670" spans="1:12" s="9" customFormat="1" x14ac:dyDescent="0.2">
      <c r="A670" s="9" t="s">
        <v>16</v>
      </c>
      <c r="B670" s="9" t="str">
        <f t="shared" si="69"/>
        <v>CRI</v>
      </c>
      <c r="C670" s="16" t="str">
        <f t="shared" si="70"/>
        <v>CRI</v>
      </c>
      <c r="D670" s="9" t="s">
        <v>136</v>
      </c>
      <c r="E670" s="9">
        <f>_xll.BDP($D670,E$40)</f>
        <v>64.12</v>
      </c>
      <c r="F670" s="9">
        <f>_xll.BDP($D670,F$40)</f>
        <v>64.11</v>
      </c>
      <c r="G670" s="9">
        <f>_xll.BDP($D670,G$40)</f>
        <v>64.12</v>
      </c>
      <c r="H670" s="9" t="str">
        <f>_xll.BDP($D670,H$40)</f>
        <v>#N/A Field Not Applicable</v>
      </c>
      <c r="L670" s="9">
        <f t="shared" si="71"/>
        <v>64.12</v>
      </c>
    </row>
    <row r="671" spans="1:12" s="9" customFormat="1" x14ac:dyDescent="0.2">
      <c r="A671" s="9" t="s">
        <v>16</v>
      </c>
      <c r="B671" s="9" t="str">
        <f t="shared" si="69"/>
        <v>ALK</v>
      </c>
      <c r="C671" s="16" t="str">
        <f t="shared" si="70"/>
        <v>ALK</v>
      </c>
      <c r="D671" s="4" t="s">
        <v>60</v>
      </c>
      <c r="E671" s="9">
        <f>_xll.BDP($D671,E$40)</f>
        <v>32.53</v>
      </c>
      <c r="F671" s="9">
        <f>_xll.BDP($D671,F$40)</f>
        <v>32.520000000000003</v>
      </c>
      <c r="G671" s="9">
        <f>_xll.BDP($D671,G$40)</f>
        <v>32.53</v>
      </c>
      <c r="H671" s="9" t="str">
        <f>_xll.BDP($D671,H$40)</f>
        <v>#N/A Field Not Applicable</v>
      </c>
      <c r="L671" s="9">
        <f t="shared" si="71"/>
        <v>32.53</v>
      </c>
    </row>
    <row r="672" spans="1:12" s="9" customFormat="1" x14ac:dyDescent="0.2">
      <c r="A672" s="9" t="s">
        <v>16</v>
      </c>
      <c r="B672" s="23" t="s">
        <v>925</v>
      </c>
      <c r="C672" s="17" t="s">
        <v>925</v>
      </c>
      <c r="D672" s="22" t="s">
        <v>926</v>
      </c>
      <c r="E672" s="21">
        <f>_xll.BDP($D672,E$40)</f>
        <v>322.29000000000002</v>
      </c>
      <c r="F672" s="9">
        <f>_xll.BDP($D672,F$40)</f>
        <v>322.25</v>
      </c>
      <c r="G672" s="9">
        <f>_xll.BDP($D672,G$40)</f>
        <v>322.29000000000002</v>
      </c>
      <c r="H672" s="9" t="str">
        <f>_xll.BDP($D672,H$40)</f>
        <v>#N/A Field Not Applicable</v>
      </c>
      <c r="L672" s="9">
        <f t="shared" si="71"/>
        <v>322.29000000000002</v>
      </c>
    </row>
    <row r="673" spans="1:12" s="9" customFormat="1" x14ac:dyDescent="0.2">
      <c r="A673" s="9" t="s">
        <v>16</v>
      </c>
      <c r="B673" s="9" t="str">
        <f>LEFT(D673,FIND(" ",D673)-1)</f>
        <v>CRM</v>
      </c>
      <c r="C673" s="16" t="str">
        <f>IF(A673="STOCK",B673,REPLACE(B673,FIND("+",B673),1,"."))</f>
        <v>CRM</v>
      </c>
      <c r="D673" s="9" t="s">
        <v>494</v>
      </c>
      <c r="E673" s="9">
        <f>_xll.BDP($D673,E$40)</f>
        <v>124.3</v>
      </c>
      <c r="F673" s="9">
        <f>_xll.BDP($D673,F$40)</f>
        <v>124.29</v>
      </c>
      <c r="G673" s="9">
        <f>_xll.BDP($D673,G$40)</f>
        <v>124.3</v>
      </c>
      <c r="H673" s="9" t="str">
        <f>_xll.BDP($D673,H$40)</f>
        <v>#N/A Field Not Applicable</v>
      </c>
      <c r="L673" s="9">
        <f t="shared" si="71"/>
        <v>124.3</v>
      </c>
    </row>
    <row r="674" spans="1:12" s="9" customFormat="1" x14ac:dyDescent="0.2">
      <c r="A674" s="9" t="s">
        <v>16</v>
      </c>
      <c r="B674" s="9" t="str">
        <f>LEFT(D674,FIND(" ",D674)-1)</f>
        <v>JBHT</v>
      </c>
      <c r="C674" s="16" t="str">
        <f>IF(A674="STOCK",B674,REPLACE(B674,FIND("+",B674),1,"."))</f>
        <v>JBHT</v>
      </c>
      <c r="D674" s="9" t="s">
        <v>476</v>
      </c>
      <c r="E674" s="9">
        <f>_xll.BDP($D674,E$40)</f>
        <v>75.38</v>
      </c>
      <c r="F674" s="9">
        <f>_xll.BDP($D674,F$40)</f>
        <v>75.37</v>
      </c>
      <c r="G674" s="9">
        <f>_xll.BDP($D674,G$40)</f>
        <v>75.59</v>
      </c>
      <c r="H674" s="9" t="str">
        <f>_xll.BDP($D674,H$40)</f>
        <v>#N/A Field Not Applicable</v>
      </c>
      <c r="L674" s="9">
        <f t="shared" si="71"/>
        <v>75.38</v>
      </c>
    </row>
    <row r="675" spans="1:12" s="9" customFormat="1" x14ac:dyDescent="0.2">
      <c r="A675" s="9" t="s">
        <v>16</v>
      </c>
      <c r="B675" s="9" t="str">
        <f>LEFT(D675,FIND(" ",D675)-1)</f>
        <v>JPM</v>
      </c>
      <c r="C675" s="16" t="str">
        <f>IF(A675="STOCK",B675,REPLACE(B675,FIND("+",B675),1,"."))</f>
        <v>JPM</v>
      </c>
      <c r="D675" s="9" t="s">
        <v>232</v>
      </c>
      <c r="E675" s="9">
        <f>_xll.BDP($D675,E$40)</f>
        <v>88.36</v>
      </c>
      <c r="F675" s="9">
        <f>_xll.BDP($D675,F$40)</f>
        <v>88.35</v>
      </c>
      <c r="G675" s="9">
        <f>_xll.BDP($D675,G$40)</f>
        <v>88.36</v>
      </c>
      <c r="H675" s="9" t="str">
        <f>_xll.BDP($D675,H$40)</f>
        <v>#N/A Field Not Applicable</v>
      </c>
      <c r="L675" s="9">
        <f t="shared" si="71"/>
        <v>88.36</v>
      </c>
    </row>
    <row r="676" spans="1:12" s="9" customFormat="1" x14ac:dyDescent="0.2">
      <c r="A676" s="9" t="s">
        <v>16</v>
      </c>
      <c r="B676" s="23" t="s">
        <v>877</v>
      </c>
      <c r="C676" s="17" t="s">
        <v>877</v>
      </c>
      <c r="D676" s="22" t="s">
        <v>878</v>
      </c>
      <c r="E676" s="21">
        <f>_xll.BDP($D676,E$40)</f>
        <v>17.82</v>
      </c>
      <c r="F676" s="9">
        <f>_xll.BDP($D676,F$40)</f>
        <v>17.809999999999999</v>
      </c>
      <c r="G676" s="9">
        <f>_xll.BDP($D676,G$40)</f>
        <v>17.82</v>
      </c>
      <c r="H676" s="9" t="str">
        <f>_xll.BDP($D676,H$40)</f>
        <v>#N/A Field Not Applicable</v>
      </c>
      <c r="L676" s="9">
        <f t="shared" si="71"/>
        <v>17.82</v>
      </c>
    </row>
    <row r="677" spans="1:12" s="9" customFormat="1" x14ac:dyDescent="0.2">
      <c r="A677" s="9" t="s">
        <v>16</v>
      </c>
      <c r="B677" s="9" t="str">
        <f>LEFT(D677,FIND(" ",D677)-1)</f>
        <v>VMW</v>
      </c>
      <c r="C677" s="16" t="str">
        <f>IF(A677="STOCK",B677,REPLACE(B677,FIND("+",B677),1,"."))</f>
        <v>VMW</v>
      </c>
      <c r="D677" s="9" t="s">
        <v>371</v>
      </c>
      <c r="E677" s="9">
        <f>_xll.BDP($D677,E$40)</f>
        <v>95.94</v>
      </c>
      <c r="F677" s="9">
        <f>_xll.BDP($D677,F$40)</f>
        <v>95.81</v>
      </c>
      <c r="G677" s="9">
        <f>_xll.BDP($D677,G$40)</f>
        <v>95.9</v>
      </c>
      <c r="H677" s="9" t="str">
        <f>_xll.BDP($D677,H$40)</f>
        <v>#N/A Field Not Applicable</v>
      </c>
      <c r="L677" s="9">
        <f t="shared" si="71"/>
        <v>95.94</v>
      </c>
    </row>
    <row r="678" spans="1:12" s="9" customFormat="1" x14ac:dyDescent="0.2">
      <c r="A678" s="9" t="s">
        <v>16</v>
      </c>
      <c r="B678" s="9" t="str">
        <f>LEFT(D678,FIND(" ",D678)-1)</f>
        <v>VMW</v>
      </c>
      <c r="C678" s="16" t="str">
        <f>IF(A678="STOCK",B678,REPLACE(B678,FIND("+",B678),1,"."))</f>
        <v>VMW</v>
      </c>
      <c r="D678" s="9" t="s">
        <v>371</v>
      </c>
      <c r="E678" s="9">
        <f>_xll.BDP($D678,E$40)</f>
        <v>95.94</v>
      </c>
      <c r="F678" s="9">
        <f>_xll.BDP($D678,F$40)</f>
        <v>95.81</v>
      </c>
      <c r="G678" s="9">
        <f>_xll.BDP($D678,G$40)</f>
        <v>95.9</v>
      </c>
      <c r="H678" s="9" t="str">
        <f>_xll.BDP($D678,H$40)</f>
        <v>#N/A Field Not Applicable</v>
      </c>
      <c r="L678" s="9">
        <f t="shared" si="71"/>
        <v>95.94</v>
      </c>
    </row>
    <row r="679" spans="1:12" s="9" customFormat="1" x14ac:dyDescent="0.2">
      <c r="A679" s="9" t="s">
        <v>16</v>
      </c>
      <c r="B679" s="9" t="str">
        <f>LEFT(D679,FIND(" ",D679)-1)</f>
        <v>EXP</v>
      </c>
      <c r="C679" s="16" t="str">
        <f>IF(A679="STOCK",B679,REPLACE(B679,FIND("+",B679),1,"."))</f>
        <v>EXP</v>
      </c>
      <c r="D679" s="9" t="s">
        <v>176</v>
      </c>
      <c r="E679" s="9">
        <f>_xll.BDP($D679,E$40)</f>
        <v>53.12</v>
      </c>
      <c r="F679" s="9">
        <f>_xll.BDP($D679,F$40)</f>
        <v>53.11</v>
      </c>
      <c r="G679" s="9">
        <f>_xll.BDP($D679,G$40)</f>
        <v>53.12</v>
      </c>
      <c r="H679" s="9" t="str">
        <f>_xll.BDP($D679,H$40)</f>
        <v>#N/A Field Not Applicable</v>
      </c>
      <c r="L679" s="9">
        <f t="shared" si="71"/>
        <v>53.12</v>
      </c>
    </row>
    <row r="680" spans="1:12" s="9" customFormat="1" x14ac:dyDescent="0.2">
      <c r="A680" s="9" t="s">
        <v>16</v>
      </c>
      <c r="B680" s="9" t="str">
        <f>LEFT(D680,FIND(" ",D680)-1)</f>
        <v>EXP</v>
      </c>
      <c r="C680" s="16" t="str">
        <f>IF(A680="STOCK",B680,REPLACE(B680,FIND("+",B680),1,"."))</f>
        <v>EXP</v>
      </c>
      <c r="D680" s="9" t="s">
        <v>176</v>
      </c>
      <c r="E680" s="9">
        <f>_xll.BDP($D680,E$40)</f>
        <v>53.12</v>
      </c>
      <c r="F680" s="9">
        <f>_xll.BDP($D680,F$40)</f>
        <v>53.11</v>
      </c>
      <c r="G680" s="9">
        <f>_xll.BDP($D680,G$40)</f>
        <v>53.12</v>
      </c>
      <c r="H680" s="9" t="str">
        <f>_xll.BDP($D680,H$40)</f>
        <v>#N/A Field Not Applicable</v>
      </c>
      <c r="L680" s="9">
        <f t="shared" si="71"/>
        <v>53.12</v>
      </c>
    </row>
    <row r="681" spans="1:12" s="9" customFormat="1" x14ac:dyDescent="0.2">
      <c r="A681" s="9" t="s">
        <v>16</v>
      </c>
      <c r="B681" s="9" t="s">
        <v>460</v>
      </c>
      <c r="C681" s="16" t="s">
        <v>460</v>
      </c>
      <c r="D681" s="9" t="s">
        <v>461</v>
      </c>
      <c r="E681" s="9">
        <f>_xll.BDP($D681,E$40)</f>
        <v>82.7</v>
      </c>
      <c r="F681" s="9">
        <f>_xll.BDP($D681,F$40)</f>
        <v>82.63</v>
      </c>
      <c r="G681" s="9">
        <f>_xll.BDP($D681,G$40)</f>
        <v>82.98</v>
      </c>
      <c r="H681" s="9" t="str">
        <f>_xll.BDP($D681,H$40)</f>
        <v>#N/A Field Not Applicable</v>
      </c>
      <c r="L681" s="9">
        <f t="shared" si="71"/>
        <v>82.7</v>
      </c>
    </row>
    <row r="682" spans="1:12" s="9" customFormat="1" x14ac:dyDescent="0.2">
      <c r="A682" s="9" t="s">
        <v>16</v>
      </c>
      <c r="B682" s="23" t="s">
        <v>460</v>
      </c>
      <c r="C682" s="17" t="s">
        <v>460</v>
      </c>
      <c r="D682" s="22" t="s">
        <v>461</v>
      </c>
      <c r="E682" s="21">
        <f>_xll.BDP($D682,E$40)</f>
        <v>82.7</v>
      </c>
      <c r="F682" s="9">
        <f>_xll.BDP($D682,F$40)</f>
        <v>82.63</v>
      </c>
      <c r="G682" s="9">
        <f>_xll.BDP($D682,G$40)</f>
        <v>82.98</v>
      </c>
      <c r="H682" s="9" t="str">
        <f>_xll.BDP($D682,H$40)</f>
        <v>#N/A Field Not Applicable</v>
      </c>
      <c r="L682" s="9">
        <f t="shared" si="71"/>
        <v>82.7</v>
      </c>
    </row>
    <row r="683" spans="1:12" s="9" customFormat="1" x14ac:dyDescent="0.2">
      <c r="A683" s="9" t="s">
        <v>16</v>
      </c>
      <c r="B683" s="9" t="str">
        <f>LEFT(D683,FIND(" ",D683)-1)</f>
        <v>STT</v>
      </c>
      <c r="C683" s="16" t="str">
        <f>IF(A683="STOCK",B683,REPLACE(B683,FIND("+",B683),1,"."))</f>
        <v>STT</v>
      </c>
      <c r="D683" s="9" t="s">
        <v>336</v>
      </c>
      <c r="E683" s="9">
        <f>_xll.BDP($D683,E$40)</f>
        <v>47.72</v>
      </c>
      <c r="F683" s="9">
        <f>_xll.BDP($D683,F$40)</f>
        <v>47.72</v>
      </c>
      <c r="G683" s="9">
        <f>_xll.BDP($D683,G$40)</f>
        <v>47.73</v>
      </c>
      <c r="H683" s="9" t="str">
        <f>_xll.BDP($D683,H$40)</f>
        <v>#N/A Field Not Applicable</v>
      </c>
      <c r="L683" s="9">
        <f t="shared" si="71"/>
        <v>47.72</v>
      </c>
    </row>
    <row r="684" spans="1:12" s="9" customFormat="1" x14ac:dyDescent="0.2">
      <c r="A684" s="9" t="s">
        <v>16</v>
      </c>
      <c r="B684" s="23" t="s">
        <v>731</v>
      </c>
      <c r="C684" s="17" t="s">
        <v>731</v>
      </c>
      <c r="D684" s="22" t="s">
        <v>732</v>
      </c>
      <c r="E684" s="21">
        <f>_xll.BDP($D684,E$40)</f>
        <v>139.83000000000001</v>
      </c>
      <c r="F684" s="9">
        <f>_xll.BDP($D684,F$40)</f>
        <v>139.82</v>
      </c>
      <c r="G684" s="9">
        <f>_xll.BDP($D684,G$40)</f>
        <v>139.83000000000001</v>
      </c>
      <c r="H684" s="9" t="str">
        <f>_xll.BDP($D684,H$40)</f>
        <v>#N/A Field Not Applicable</v>
      </c>
      <c r="L684" s="9">
        <f t="shared" si="71"/>
        <v>139.83000000000001</v>
      </c>
    </row>
    <row r="685" spans="1:12" s="9" customFormat="1" x14ac:dyDescent="0.2">
      <c r="A685" s="9" t="s">
        <v>16</v>
      </c>
      <c r="B685" s="9" t="str">
        <f>LEFT(D685,FIND(" ",D685)-1)</f>
        <v>SMG</v>
      </c>
      <c r="C685" s="16" t="str">
        <f>IF(A685="STOCK",B685,REPLACE(B685,FIND("+",B685),1,"."))</f>
        <v>SMG</v>
      </c>
      <c r="D685" s="9" t="s">
        <v>332</v>
      </c>
      <c r="E685" s="9">
        <f>_xll.BDP($D685,E$40)</f>
        <v>90.63</v>
      </c>
      <c r="F685" s="9">
        <f>_xll.BDP($D685,F$40)</f>
        <v>90.62</v>
      </c>
      <c r="G685" s="9">
        <f>_xll.BDP($D685,G$40)</f>
        <v>90.63</v>
      </c>
      <c r="H685" s="9" t="str">
        <f>_xll.BDP($D685,H$40)</f>
        <v>#N/A Field Not Applicable</v>
      </c>
      <c r="L685" s="9">
        <f t="shared" si="71"/>
        <v>90.63</v>
      </c>
    </row>
    <row r="686" spans="1:12" s="9" customFormat="1" x14ac:dyDescent="0.2">
      <c r="A686" s="9" t="s">
        <v>16</v>
      </c>
      <c r="B686" s="9" t="str">
        <f>LEFT(D686,FIND(" ",D686)-1)</f>
        <v>TIF</v>
      </c>
      <c r="C686" s="16" t="str">
        <f>IF(A686="STOCK",B686,REPLACE(B686,FIND("+",B686),1,"."))</f>
        <v>TIF</v>
      </c>
      <c r="D686" s="9" t="s">
        <v>348</v>
      </c>
      <c r="E686" s="9">
        <f>_xll.BDP($D686,E$40)</f>
        <v>115.68</v>
      </c>
      <c r="F686" s="9">
        <f>_xll.BDP($D686,F$40)</f>
        <v>115.67</v>
      </c>
      <c r="G686" s="9">
        <f>_xll.BDP($D686,G$40)</f>
        <v>115.68</v>
      </c>
      <c r="H686" s="9" t="str">
        <f>_xll.BDP($D686,H$40)</f>
        <v>#N/A Field Not Applicable</v>
      </c>
      <c r="L686" s="9">
        <f t="shared" si="71"/>
        <v>115.68</v>
      </c>
    </row>
    <row r="687" spans="1:12" s="9" customFormat="1" x14ac:dyDescent="0.2">
      <c r="A687" s="9" t="s">
        <v>16</v>
      </c>
      <c r="B687" s="9" t="str">
        <f>LEFT(D687,FIND(" ",D687)-1)</f>
        <v>EEFT</v>
      </c>
      <c r="C687" s="16" t="str">
        <f>IF(A687="STOCK",B687,REPLACE(B687,FIND("+",B687),1,"."))</f>
        <v>EEFT</v>
      </c>
      <c r="D687" s="9" t="s">
        <v>415</v>
      </c>
      <c r="E687" s="9">
        <f>_xll.BDP($D687,E$40)</f>
        <v>82</v>
      </c>
      <c r="F687" s="9">
        <f>_xll.BDP($D687,F$40)</f>
        <v>82</v>
      </c>
      <c r="G687" s="9">
        <f>_xll.BDP($D687,G$40)</f>
        <v>82.01</v>
      </c>
      <c r="H687" s="9" t="str">
        <f>_xll.BDP($D687,H$40)</f>
        <v>#N/A Field Not Applicable</v>
      </c>
      <c r="L687" s="9">
        <f t="shared" si="71"/>
        <v>82</v>
      </c>
    </row>
    <row r="688" spans="1:12" s="9" customFormat="1" x14ac:dyDescent="0.2">
      <c r="A688" s="9" t="s">
        <v>16</v>
      </c>
      <c r="B688" s="9" t="str">
        <f>LEFT(D688,FIND(" ",D688)-1)</f>
        <v>ODFL</v>
      </c>
      <c r="C688" s="16" t="str">
        <f>IF(A688="STOCK",B688,REPLACE(B688,FIND("+",B688),1,"."))</f>
        <v>ODFL</v>
      </c>
      <c r="D688" s="9" t="s">
        <v>285</v>
      </c>
      <c r="E688" s="9">
        <f>_xll.BDP($D688,E$40)</f>
        <v>160.99</v>
      </c>
      <c r="F688" s="9">
        <f>_xll.BDP($D688,F$40)</f>
        <v>160.97999999999999</v>
      </c>
      <c r="G688" s="9">
        <f>_xll.BDP($D688,G$40)</f>
        <v>160.99</v>
      </c>
      <c r="H688" s="9" t="str">
        <f>_xll.BDP($D688,H$40)</f>
        <v>#N/A Field Not Applicable</v>
      </c>
      <c r="L688" s="9">
        <f t="shared" si="71"/>
        <v>160.99</v>
      </c>
    </row>
    <row r="689" spans="1:12" s="9" customFormat="1" x14ac:dyDescent="0.2">
      <c r="A689" s="9" t="s">
        <v>16</v>
      </c>
      <c r="B689" s="9" t="str">
        <f>LEFT(D689,FIND(" ",D689)-1)</f>
        <v>CRL</v>
      </c>
      <c r="C689" s="16" t="str">
        <f>IF(A689="STOCK",B689,REPLACE(B689,FIND("+",B689),1,"."))</f>
        <v>CRL</v>
      </c>
      <c r="D689" s="9" t="s">
        <v>137</v>
      </c>
      <c r="E689" s="9">
        <f>_xll.BDP($D689,E$40)</f>
        <v>104.66</v>
      </c>
      <c r="F689" s="9">
        <f>_xll.BDP($D689,F$40)</f>
        <v>104.66</v>
      </c>
      <c r="G689" s="9">
        <f>_xll.BDP($D689,G$40)</f>
        <v>104.67</v>
      </c>
      <c r="H689" s="9" t="str">
        <f>_xll.BDP($D689,H$40)</f>
        <v>#N/A Field Not Applicable</v>
      </c>
      <c r="L689" s="9">
        <f t="shared" si="71"/>
        <v>104.66</v>
      </c>
    </row>
    <row r="690" spans="1:12" s="9" customFormat="1" x14ac:dyDescent="0.2">
      <c r="A690" s="9" t="s">
        <v>16</v>
      </c>
      <c r="B690" s="9" t="s">
        <v>660</v>
      </c>
      <c r="C690" s="16" t="s">
        <v>660</v>
      </c>
      <c r="D690" s="9" t="s">
        <v>661</v>
      </c>
      <c r="E690" s="9">
        <f>_xll.BDP($D690,E$40)</f>
        <v>152.01</v>
      </c>
      <c r="F690" s="9">
        <f>_xll.BDP($D690,F$40)</f>
        <v>152</v>
      </c>
      <c r="G690" s="9">
        <f>_xll.BDP($D690,G$40)</f>
        <v>152.01</v>
      </c>
      <c r="H690" s="9" t="str">
        <f>_xll.BDP($D690,H$40)</f>
        <v>#N/A Field Not Applicable</v>
      </c>
      <c r="L690" s="9">
        <f t="shared" si="71"/>
        <v>152.01</v>
      </c>
    </row>
    <row r="691" spans="1:12" s="9" customFormat="1" x14ac:dyDescent="0.2">
      <c r="A691" s="9" t="s">
        <v>16</v>
      </c>
      <c r="B691" s="9" t="str">
        <f>LEFT(D691,FIND(" ",D691)-1)</f>
        <v>KLAC</v>
      </c>
      <c r="C691" s="16" t="str">
        <f>IF(A691="STOCK",B691,REPLACE(B691,FIND("+",B691),1,"."))</f>
        <v>KLAC</v>
      </c>
      <c r="D691" s="9" t="s">
        <v>237</v>
      </c>
      <c r="E691" s="9">
        <f>_xll.BDP($D691,E$40)</f>
        <v>129.5</v>
      </c>
      <c r="F691" s="9">
        <f>_xll.BDP($D691,F$40)</f>
        <v>129.5</v>
      </c>
      <c r="G691" s="9">
        <f>_xll.BDP($D691,G$40)</f>
        <v>129.51</v>
      </c>
      <c r="H691" s="9" t="str">
        <f>_xll.BDP($D691,H$40)</f>
        <v>#N/A Field Not Applicable</v>
      </c>
      <c r="L691" s="9">
        <f t="shared" si="71"/>
        <v>129.5</v>
      </c>
    </row>
    <row r="692" spans="1:12" s="9" customFormat="1" x14ac:dyDescent="0.2">
      <c r="A692" s="9" t="s">
        <v>16</v>
      </c>
      <c r="B692" s="9" t="str">
        <f>LEFT(D692,FIND(" ",D692)-1)</f>
        <v>KLAC</v>
      </c>
      <c r="C692" s="16" t="str">
        <f>IF(A692="STOCK",B692,REPLACE(B692,FIND("+",B692),1,"."))</f>
        <v>KLAC</v>
      </c>
      <c r="D692" s="9" t="s">
        <v>237</v>
      </c>
      <c r="E692" s="9">
        <f>_xll.BDP($D692,E$40)</f>
        <v>129.5</v>
      </c>
      <c r="F692" s="9">
        <f>_xll.BDP($D692,F$40)</f>
        <v>129.5</v>
      </c>
      <c r="G692" s="9">
        <f>_xll.BDP($D692,G$40)</f>
        <v>129.51</v>
      </c>
      <c r="H692" s="9" t="str">
        <f>_xll.BDP($D692,H$40)</f>
        <v>#N/A Field Not Applicable</v>
      </c>
      <c r="L692" s="9">
        <f t="shared" si="71"/>
        <v>129.5</v>
      </c>
    </row>
    <row r="693" spans="1:12" s="9" customFormat="1" x14ac:dyDescent="0.2">
      <c r="A693" s="9" t="s">
        <v>16</v>
      </c>
      <c r="B693" s="9" t="str">
        <f>LEFT(D693,FIND(" ",D693)-1)</f>
        <v>LAD</v>
      </c>
      <c r="C693" s="16" t="str">
        <f>IF(A693="STOCK",B693,REPLACE(B693,FIND("+",B693),1,"."))</f>
        <v>LAD</v>
      </c>
      <c r="D693" s="9" t="s">
        <v>240</v>
      </c>
      <c r="E693" s="9">
        <f>_xll.BDP($D693,E$40)</f>
        <v>76.06</v>
      </c>
      <c r="F693" s="9">
        <f>_xll.BDP($D693,F$40)</f>
        <v>76.05</v>
      </c>
      <c r="G693" s="9">
        <f>_xll.BDP($D693,G$40)</f>
        <v>76.06</v>
      </c>
      <c r="H693" s="9" t="str">
        <f>_xll.BDP($D693,H$40)</f>
        <v>#N/A Field Not Applicable</v>
      </c>
      <c r="L693" s="9">
        <f t="shared" si="71"/>
        <v>76.06</v>
      </c>
    </row>
    <row r="694" spans="1:12" s="9" customFormat="1" x14ac:dyDescent="0.2">
      <c r="A694" s="9" t="s">
        <v>16</v>
      </c>
      <c r="B694" s="23" t="s">
        <v>826</v>
      </c>
      <c r="C694" s="17" t="s">
        <v>826</v>
      </c>
      <c r="D694" s="22" t="s">
        <v>240</v>
      </c>
      <c r="E694" s="21">
        <f>_xll.BDP($D694,E$40)</f>
        <v>76.06</v>
      </c>
      <c r="F694" s="9">
        <f>_xll.BDP($D694,F$40)</f>
        <v>76.05</v>
      </c>
      <c r="G694" s="9">
        <f>_xll.BDP($D694,G$40)</f>
        <v>76.06</v>
      </c>
      <c r="H694" s="9" t="str">
        <f>_xll.BDP($D694,H$40)</f>
        <v>#N/A Field Not Applicable</v>
      </c>
      <c r="L694" s="9">
        <f t="shared" si="71"/>
        <v>76.06</v>
      </c>
    </row>
    <row r="695" spans="1:12" s="9" customFormat="1" x14ac:dyDescent="0.2">
      <c r="A695" s="9" t="s">
        <v>16</v>
      </c>
      <c r="B695" s="9" t="s">
        <v>656</v>
      </c>
      <c r="C695" s="16" t="s">
        <v>656</v>
      </c>
      <c r="D695" s="9" t="s">
        <v>657</v>
      </c>
      <c r="E695" s="9">
        <f>_xll.BDP($D695,E$40)</f>
        <v>82.92</v>
      </c>
      <c r="F695" s="9">
        <f>_xll.BDP($D695,F$40)</f>
        <v>82.91</v>
      </c>
      <c r="G695" s="9">
        <f>_xll.BDP($D695,G$40)</f>
        <v>82.92</v>
      </c>
      <c r="H695" s="9" t="str">
        <f>_xll.BDP($D695,H$40)</f>
        <v>#N/A Field Not Applicable</v>
      </c>
      <c r="L695" s="9">
        <f t="shared" si="71"/>
        <v>82.92</v>
      </c>
    </row>
    <row r="696" spans="1:12" s="9" customFormat="1" x14ac:dyDescent="0.2">
      <c r="A696" s="9" t="s">
        <v>16</v>
      </c>
      <c r="B696" s="9" t="str">
        <f t="shared" ref="B696:B700" si="72">LEFT(D696,FIND(" ",D696)-1)</f>
        <v>UNP</v>
      </c>
      <c r="C696" s="16" t="str">
        <f t="shared" ref="C696:C700" si="73">IF(A696="STOCK",B696,REPLACE(B696,FIND("+",B696),1,"."))</f>
        <v>UNP</v>
      </c>
      <c r="D696" s="9" t="s">
        <v>363</v>
      </c>
      <c r="E696" s="9">
        <f>_xll.BDP($D696,E$40)</f>
        <v>125.1</v>
      </c>
      <c r="F696" s="9">
        <f>_xll.BDP($D696,F$40)</f>
        <v>125.09</v>
      </c>
      <c r="G696" s="9">
        <f>_xll.BDP($D696,G$40)</f>
        <v>125.1</v>
      </c>
      <c r="H696" s="9" t="str">
        <f>_xll.BDP($D696,H$40)</f>
        <v>#N/A Field Not Applicable</v>
      </c>
      <c r="L696" s="9">
        <f t="shared" si="71"/>
        <v>125.1</v>
      </c>
    </row>
    <row r="697" spans="1:12" s="9" customFormat="1" x14ac:dyDescent="0.2">
      <c r="A697" s="9" t="s">
        <v>16</v>
      </c>
      <c r="B697" s="9" t="str">
        <f t="shared" si="72"/>
        <v>KSU</v>
      </c>
      <c r="C697" s="16" t="str">
        <f t="shared" si="73"/>
        <v>KSU</v>
      </c>
      <c r="D697" s="9" t="s">
        <v>396</v>
      </c>
      <c r="E697" s="9">
        <f>_xll.BDP($D697,E$40)</f>
        <v>114.21</v>
      </c>
      <c r="F697" s="9">
        <f>_xll.BDP($D697,F$40)</f>
        <v>114.2</v>
      </c>
      <c r="G697" s="9">
        <f>_xll.BDP($D697,G$40)</f>
        <v>114.21</v>
      </c>
      <c r="H697" s="9" t="str">
        <f>_xll.BDP($D697,H$40)</f>
        <v>#N/A Field Not Applicable</v>
      </c>
      <c r="L697" s="9">
        <f t="shared" si="71"/>
        <v>114.21</v>
      </c>
    </row>
    <row r="698" spans="1:12" s="9" customFormat="1" x14ac:dyDescent="0.2">
      <c r="A698" s="9" t="s">
        <v>16</v>
      </c>
      <c r="B698" s="9" t="str">
        <f t="shared" si="72"/>
        <v>MAR</v>
      </c>
      <c r="C698" s="16" t="str">
        <f t="shared" si="73"/>
        <v>MAR</v>
      </c>
      <c r="D698" s="9" t="s">
        <v>416</v>
      </c>
      <c r="E698" s="9">
        <f>_xll.BDP($D698,E$40)</f>
        <v>86.42</v>
      </c>
      <c r="F698" s="9">
        <f>_xll.BDP($D698,F$40)</f>
        <v>86.41</v>
      </c>
      <c r="G698" s="9">
        <f>_xll.BDP($D698,G$40)</f>
        <v>86.42</v>
      </c>
      <c r="H698" s="9" t="str">
        <f>_xll.BDP($D698,H$40)</f>
        <v>#N/A Field Not Applicable</v>
      </c>
      <c r="L698" s="9">
        <f t="shared" si="71"/>
        <v>86.42</v>
      </c>
    </row>
    <row r="699" spans="1:12" s="9" customFormat="1" x14ac:dyDescent="0.2">
      <c r="A699" s="9" t="s">
        <v>16</v>
      </c>
      <c r="B699" s="9" t="str">
        <f t="shared" si="72"/>
        <v>PLCE</v>
      </c>
      <c r="C699" s="16" t="str">
        <f t="shared" si="73"/>
        <v>PLCE</v>
      </c>
      <c r="D699" s="9" t="s">
        <v>299</v>
      </c>
      <c r="E699" s="9">
        <f>_xll.BDP($D699,E$40)</f>
        <v>28.64</v>
      </c>
      <c r="F699" s="9">
        <f>_xll.BDP($D699,F$40)</f>
        <v>28.63</v>
      </c>
      <c r="G699" s="9">
        <f>_xll.BDP($D699,G$40)</f>
        <v>28.64</v>
      </c>
      <c r="H699" s="9" t="str">
        <f>_xll.BDP($D699,H$40)</f>
        <v>#N/A Field Not Applicable</v>
      </c>
      <c r="L699" s="9">
        <f t="shared" si="71"/>
        <v>28.64</v>
      </c>
    </row>
    <row r="700" spans="1:12" s="9" customFormat="1" x14ac:dyDescent="0.2">
      <c r="A700" s="9" t="s">
        <v>16</v>
      </c>
      <c r="B700" s="9" t="str">
        <f t="shared" si="72"/>
        <v>PPG</v>
      </c>
      <c r="C700" s="16" t="str">
        <f t="shared" si="73"/>
        <v>PPG</v>
      </c>
      <c r="D700" s="9" t="s">
        <v>300</v>
      </c>
      <c r="E700" s="9">
        <f>_xll.BDP($D700,E$40)</f>
        <v>82.42</v>
      </c>
      <c r="F700" s="9">
        <f>_xll.BDP($D700,F$40)</f>
        <v>82.41</v>
      </c>
      <c r="G700" s="9">
        <f>_xll.BDP($D700,G$40)</f>
        <v>82.43</v>
      </c>
      <c r="H700" s="9" t="str">
        <f>_xll.BDP($D700,H$40)</f>
        <v>#N/A Field Not Applicable</v>
      </c>
      <c r="L700" s="9">
        <f t="shared" si="71"/>
        <v>82.42</v>
      </c>
    </row>
    <row r="701" spans="1:12" s="9" customFormat="1" x14ac:dyDescent="0.2">
      <c r="A701" s="9" t="s">
        <v>16</v>
      </c>
      <c r="B701" s="23" t="s">
        <v>896</v>
      </c>
      <c r="C701" s="17" t="s">
        <v>896</v>
      </c>
      <c r="D701" s="22" t="s">
        <v>897</v>
      </c>
      <c r="E701" s="21">
        <f>_xll.BDP($D701,E$40)</f>
        <v>149.75</v>
      </c>
      <c r="F701" s="9">
        <f>_xll.BDP($D701,F$40)</f>
        <v>149.75</v>
      </c>
      <c r="G701" s="9">
        <f>_xll.BDP($D701,G$40)</f>
        <v>150.18</v>
      </c>
      <c r="H701" s="9" t="str">
        <f>_xll.BDP($D701,H$40)</f>
        <v>#N/A Field Not Applicable</v>
      </c>
      <c r="L701" s="9">
        <f t="shared" si="71"/>
        <v>149.75</v>
      </c>
    </row>
    <row r="702" spans="1:12" s="9" customFormat="1" x14ac:dyDescent="0.2">
      <c r="A702" s="9" t="s">
        <v>16</v>
      </c>
      <c r="B702" s="9" t="str">
        <f>LEFT(D702,FIND(" ",D702)-1)</f>
        <v>DGX</v>
      </c>
      <c r="C702" s="16" t="str">
        <f>IF(A702="STOCK",B702,REPLACE(B702,FIND("+",B702),1,"."))</f>
        <v>DGX</v>
      </c>
      <c r="D702" s="9" t="s">
        <v>433</v>
      </c>
      <c r="E702" s="9">
        <f>_xll.BDP($D702,E$40)</f>
        <v>86.39</v>
      </c>
      <c r="F702" s="9">
        <f>_xll.BDP($D702,F$40)</f>
        <v>86.38</v>
      </c>
      <c r="G702" s="9">
        <f>_xll.BDP($D702,G$40)</f>
        <v>86.39</v>
      </c>
      <c r="H702" s="9" t="str">
        <f>_xll.BDP($D702,H$40)</f>
        <v>#N/A Field Not Applicable</v>
      </c>
      <c r="L702" s="9">
        <f t="shared" si="71"/>
        <v>86.39</v>
      </c>
    </row>
    <row r="703" spans="1:12" s="9" customFormat="1" x14ac:dyDescent="0.2">
      <c r="A703" s="9" t="s">
        <v>16</v>
      </c>
      <c r="B703" s="9" t="str">
        <f>LEFT(D703,FIND(" ",D703)-1)</f>
        <v>DIS</v>
      </c>
      <c r="C703" s="16" t="str">
        <f>IF(A703="STOCK",B703,REPLACE(B703,FIND("+",B703),1,"."))</f>
        <v>DIS</v>
      </c>
      <c r="D703" s="9" t="s">
        <v>156</v>
      </c>
      <c r="E703" s="9">
        <f>_xll.BDP($D703,E$40)</f>
        <v>95.01</v>
      </c>
      <c r="F703" s="9">
        <f>_xll.BDP($D703,F$40)</f>
        <v>95</v>
      </c>
      <c r="G703" s="9">
        <f>_xll.BDP($D703,G$40)</f>
        <v>95.01</v>
      </c>
      <c r="H703" s="9" t="str">
        <f>_xll.BDP($D703,H$40)</f>
        <v>#N/A Field Not Applicable</v>
      </c>
      <c r="L703" s="9">
        <f t="shared" si="71"/>
        <v>95.01</v>
      </c>
    </row>
    <row r="704" spans="1:12" s="9" customFormat="1" x14ac:dyDescent="0.2">
      <c r="A704" s="9" t="s">
        <v>16</v>
      </c>
      <c r="B704" s="23" t="s">
        <v>888</v>
      </c>
      <c r="C704" s="17" t="s">
        <v>888</v>
      </c>
      <c r="D704" s="22" t="s">
        <v>46</v>
      </c>
      <c r="E704" s="21">
        <f>_xll.BDP($D704,E$40)</f>
        <v>95.25</v>
      </c>
      <c r="F704" s="9">
        <f>_xll.BDP($D704,F$40)</f>
        <v>95.25</v>
      </c>
      <c r="G704" s="9">
        <f>_xll.BDP($D704,G$40)</f>
        <v>95.26</v>
      </c>
      <c r="H704" s="9" t="str">
        <f>_xll.BDP($D704,H$40)</f>
        <v>#N/A Field Not Applicable</v>
      </c>
      <c r="L704" s="9">
        <f t="shared" si="71"/>
        <v>95.25</v>
      </c>
    </row>
    <row r="705" spans="1:12" s="9" customFormat="1" x14ac:dyDescent="0.2">
      <c r="A705" s="9" t="s">
        <v>16</v>
      </c>
      <c r="B705" s="9" t="str">
        <f>LEFT(D705,FIND(" ",D705)-1)</f>
        <v>UHS</v>
      </c>
      <c r="C705" s="16" t="str">
        <f>IF(A705="STOCK",B705,REPLACE(B705,FIND("+",B705),1,"."))</f>
        <v>UHS</v>
      </c>
      <c r="D705" s="4" t="s">
        <v>359</v>
      </c>
      <c r="E705" s="9">
        <f>_xll.BDP($D705,E$40)</f>
        <v>81.7</v>
      </c>
      <c r="F705" s="9">
        <f>_xll.BDP($D705,F$40)</f>
        <v>81.709999999999994</v>
      </c>
      <c r="G705" s="9">
        <f>_xll.BDP($D705,G$40)</f>
        <v>81.72</v>
      </c>
      <c r="H705" s="9" t="str">
        <f>_xll.BDP($D705,H$40)</f>
        <v>#N/A Field Not Applicable</v>
      </c>
      <c r="L705" s="9">
        <f t="shared" si="71"/>
        <v>81.7</v>
      </c>
    </row>
    <row r="706" spans="1:12" s="9" customFormat="1" x14ac:dyDescent="0.2">
      <c r="A706" s="9" t="s">
        <v>16</v>
      </c>
      <c r="B706" s="9" t="str">
        <f>LEFT(D706,FIND(" ",D706)-1)</f>
        <v>JPY</v>
      </c>
      <c r="C706" s="16" t="str">
        <f>IF(A706="STOCK",B706,REPLACE(B706,FIND("+",B706),1,"."))</f>
        <v>JPY</v>
      </c>
      <c r="D706" s="9" t="s">
        <v>233</v>
      </c>
      <c r="E706" s="9">
        <f>_xll.BDP($D706,E$40)</f>
        <v>105.99</v>
      </c>
      <c r="F706" s="9">
        <f>_xll.BDP($D706,F$40)</f>
        <v>105.97</v>
      </c>
      <c r="G706" s="9">
        <f>_xll.BDP($D706,G$40)</f>
        <v>106</v>
      </c>
      <c r="H706" s="9" t="str">
        <f>_xll.BDP($D706,H$40)</f>
        <v>#N/A Field Not Applicable</v>
      </c>
      <c r="L706" s="9">
        <f t="shared" si="71"/>
        <v>105.99</v>
      </c>
    </row>
    <row r="707" spans="1:12" s="9" customFormat="1" x14ac:dyDescent="0.2">
      <c r="A707" s="9" t="s">
        <v>16</v>
      </c>
      <c r="B707" s="5" t="s">
        <v>684</v>
      </c>
      <c r="C707" s="16" t="s">
        <v>684</v>
      </c>
      <c r="D707" s="9" t="s">
        <v>685</v>
      </c>
      <c r="E707" s="21">
        <f>_xll.BDP($D707,E$40)</f>
        <v>109.66</v>
      </c>
      <c r="F707" s="9">
        <f>_xll.BDP($D707,F$40)</f>
        <v>109.25</v>
      </c>
      <c r="G707" s="9">
        <f>_xll.BDP($D707,G$40)</f>
        <v>110</v>
      </c>
      <c r="H707" s="9" t="str">
        <f>_xll.BDP($D707,H$40)</f>
        <v>#N/A Field Not Applicable</v>
      </c>
      <c r="L707" s="9">
        <f t="shared" si="71"/>
        <v>109.66</v>
      </c>
    </row>
    <row r="708" spans="1:12" s="9" customFormat="1" x14ac:dyDescent="0.2">
      <c r="A708" s="9" t="s">
        <v>16</v>
      </c>
      <c r="B708" s="5" t="s">
        <v>1065</v>
      </c>
      <c r="C708" s="16" t="s">
        <v>1065</v>
      </c>
      <c r="D708" s="9" t="s">
        <v>1066</v>
      </c>
      <c r="E708" s="21">
        <f>_xll.BDP($D708,E$40)</f>
        <v>224.04</v>
      </c>
      <c r="F708" s="9">
        <f>_xll.BDP($D708,F$40)</f>
        <v>224.03</v>
      </c>
      <c r="G708" s="9">
        <f>_xll.BDP($D708,G$40)</f>
        <v>224.04</v>
      </c>
      <c r="H708" s="9" t="str">
        <f>_xll.BDP($D708,H$40)</f>
        <v>#N/A Field Not Applicable</v>
      </c>
      <c r="L708" s="9">
        <f t="shared" ref="L708" si="74">IF(A708="STOCK",E708,IF(A708="SOPTION",G708,IF(A708="LOPTION",F708,"")))</f>
        <v>224.04</v>
      </c>
    </row>
    <row r="709" spans="1:12" s="9" customFormat="1" x14ac:dyDescent="0.2">
      <c r="A709" s="9" t="s">
        <v>16</v>
      </c>
      <c r="B709" s="9" t="str">
        <f>LEFT(D709,FIND(" ",D709)-1)</f>
        <v>LOGM</v>
      </c>
      <c r="C709" s="16" t="str">
        <f>IF(A709="STOCK",B709,REPLACE(B709,FIND("+",B709),1,"."))</f>
        <v>LOGM</v>
      </c>
      <c r="D709" s="9" t="s">
        <v>438</v>
      </c>
      <c r="E709" s="9">
        <f>_xll.BDP($D709,E$40)</f>
        <v>71.52</v>
      </c>
      <c r="F709" s="9">
        <f>_xll.BDP($D709,F$40)</f>
        <v>71.38</v>
      </c>
      <c r="G709" s="9">
        <f>_xll.BDP($D709,G$40)</f>
        <v>71.52</v>
      </c>
      <c r="H709" s="9" t="str">
        <f>_xll.BDP($D709,H$40)</f>
        <v>#N/A Field Not Applicable</v>
      </c>
      <c r="L709" s="9">
        <f t="shared" si="71"/>
        <v>71.52</v>
      </c>
    </row>
    <row r="710" spans="1:12" s="9" customFormat="1" x14ac:dyDescent="0.2">
      <c r="A710" s="9" t="s">
        <v>16</v>
      </c>
      <c r="B710" s="9" t="str">
        <f>LEFT(D710,FIND(" ",D710)-1)</f>
        <v>PRU</v>
      </c>
      <c r="C710" s="16" t="str">
        <f>IF(A710="STOCK",B710,REPLACE(B710,FIND("+",B710),1,"."))</f>
        <v>PRU</v>
      </c>
      <c r="D710" s="9" t="s">
        <v>303</v>
      </c>
      <c r="E710" s="9">
        <f>_xll.BDP($D710,E$40)</f>
        <v>43.35</v>
      </c>
      <c r="F710" s="9">
        <f>_xll.BDP($D710,F$40)</f>
        <v>43.34</v>
      </c>
      <c r="G710" s="9">
        <f>_xll.BDP($D710,G$40)</f>
        <v>43.35</v>
      </c>
      <c r="H710" s="9" t="str">
        <f>_xll.BDP($D710,H$40)</f>
        <v>#N/A Field Not Applicable</v>
      </c>
      <c r="L710" s="9">
        <f t="shared" si="71"/>
        <v>43.35</v>
      </c>
    </row>
    <row r="711" spans="1:12" s="9" customFormat="1" x14ac:dyDescent="0.2">
      <c r="A711" s="9" t="s">
        <v>16</v>
      </c>
      <c r="B711" s="9" t="str">
        <f>LEFT(D711,FIND(" ",D711)-1)</f>
        <v>NSC</v>
      </c>
      <c r="C711" s="16" t="str">
        <f>IF(A711="STOCK",B711,REPLACE(B711,FIND("+",B711),1,"."))</f>
        <v>NSC</v>
      </c>
      <c r="D711" s="9" t="s">
        <v>280</v>
      </c>
      <c r="E711" s="9">
        <f>_xll.BDP($D711,E$40)</f>
        <v>126.44</v>
      </c>
      <c r="F711" s="9">
        <f>_xll.BDP($D711,F$40)</f>
        <v>126.44</v>
      </c>
      <c r="G711" s="9">
        <f>_xll.BDP($D711,G$40)</f>
        <v>126.5</v>
      </c>
      <c r="H711" s="9" t="str">
        <f>_xll.BDP($D711,H$40)</f>
        <v>#N/A Field Not Applicable</v>
      </c>
      <c r="L711" s="9">
        <f t="shared" si="71"/>
        <v>126.44</v>
      </c>
    </row>
    <row r="712" spans="1:12" s="9" customFormat="1" x14ac:dyDescent="0.2">
      <c r="A712" s="9" t="s">
        <v>16</v>
      </c>
      <c r="B712" s="23" t="s">
        <v>796</v>
      </c>
      <c r="C712" s="17" t="s">
        <v>796</v>
      </c>
      <c r="D712" s="22" t="s">
        <v>280</v>
      </c>
      <c r="E712" s="21">
        <f>_xll.BDP($D712,E$40)</f>
        <v>126.44</v>
      </c>
      <c r="F712" s="9">
        <f>_xll.BDP($D712,F$40)</f>
        <v>126.44</v>
      </c>
      <c r="G712" s="9">
        <f>_xll.BDP($D712,G$40)</f>
        <v>126.5</v>
      </c>
      <c r="H712" s="9" t="str">
        <f>_xll.BDP($D712,H$40)</f>
        <v>#N/A Field Not Applicable</v>
      </c>
      <c r="L712" s="9">
        <f t="shared" si="71"/>
        <v>126.44</v>
      </c>
    </row>
    <row r="713" spans="1:12" s="9" customFormat="1" x14ac:dyDescent="0.2">
      <c r="A713" s="9" t="s">
        <v>16</v>
      </c>
      <c r="B713" s="9" t="str">
        <f>LEFT(D713,FIND(" ",D713)-1)</f>
        <v>RCL</v>
      </c>
      <c r="C713" s="16" t="str">
        <f>IF(A713="STOCK",B713,REPLACE(B713,FIND("+",B713),1,"."))</f>
        <v>RCL</v>
      </c>
      <c r="D713" s="9" t="s">
        <v>310</v>
      </c>
      <c r="E713" s="9">
        <f>_xll.BDP($D713,E$40)</f>
        <v>29.94</v>
      </c>
      <c r="F713" s="9">
        <f>_xll.BDP($D713,F$40)</f>
        <v>29.94</v>
      </c>
      <c r="G713" s="9">
        <f>_xll.BDP($D713,G$40)</f>
        <v>29.95</v>
      </c>
      <c r="H713" s="9" t="str">
        <f>_xll.BDP($D713,H$40)</f>
        <v>#N/A Field Not Applicable</v>
      </c>
      <c r="L713" s="9">
        <f t="shared" si="71"/>
        <v>29.94</v>
      </c>
    </row>
    <row r="714" spans="1:12" s="9" customFormat="1" x14ac:dyDescent="0.2">
      <c r="A714" s="9" t="s">
        <v>16</v>
      </c>
      <c r="B714" s="9" t="str">
        <f>LEFT(D714,FIND(" ",D714)-1)</f>
        <v>CAT</v>
      </c>
      <c r="C714" s="16" t="str">
        <f>IF(A714="STOCK",B714,REPLACE(B714,FIND("+",B714),1,"."))</f>
        <v>CAT</v>
      </c>
      <c r="D714" s="9" t="s">
        <v>480</v>
      </c>
      <c r="E714" s="9">
        <f>_xll.BDP($D714,E$40)</f>
        <v>93.41</v>
      </c>
      <c r="F714" s="9">
        <f>_xll.BDP($D714,F$40)</f>
        <v>93.4</v>
      </c>
      <c r="G714" s="9">
        <f>_xll.BDP($D714,G$40)</f>
        <v>93.41</v>
      </c>
      <c r="H714" s="9" t="str">
        <f>_xll.BDP($D714,H$40)</f>
        <v>#N/A Field Not Applicable</v>
      </c>
      <c r="L714" s="9">
        <f t="shared" si="71"/>
        <v>93.41</v>
      </c>
    </row>
    <row r="715" spans="1:12" s="9" customFormat="1" x14ac:dyDescent="0.2">
      <c r="A715" s="9" t="s">
        <v>16</v>
      </c>
      <c r="B715" s="23" t="s">
        <v>893</v>
      </c>
      <c r="C715" s="17" t="s">
        <v>893</v>
      </c>
      <c r="D715" s="22" t="s">
        <v>480</v>
      </c>
      <c r="E715" s="21">
        <f>_xll.BDP($D715,E$40)</f>
        <v>93.41</v>
      </c>
      <c r="F715" s="9">
        <f>_xll.BDP($D715,F$40)</f>
        <v>93.4</v>
      </c>
      <c r="G715" s="9">
        <f>_xll.BDP($D715,G$40)</f>
        <v>93.41</v>
      </c>
      <c r="H715" s="9" t="str">
        <f>_xll.BDP($D715,H$40)</f>
        <v>#N/A Field Not Applicable</v>
      </c>
      <c r="L715" s="9">
        <f t="shared" si="71"/>
        <v>93.41</v>
      </c>
    </row>
    <row r="716" spans="1:12" s="9" customFormat="1" x14ac:dyDescent="0.2">
      <c r="A716" s="9" t="s">
        <v>16</v>
      </c>
      <c r="B716" s="9" t="str">
        <f>LEFT(D716,FIND(" ",D716)-1)</f>
        <v>TARO</v>
      </c>
      <c r="C716" s="16" t="str">
        <f>IF(A716="STOCK",B716,REPLACE(B716,FIND("+",B716),1,"."))</f>
        <v>TARO</v>
      </c>
      <c r="D716" s="9" t="s">
        <v>547</v>
      </c>
      <c r="E716" s="9">
        <f>_xll.BDP($D716,E$40)</f>
        <v>62.41</v>
      </c>
      <c r="F716" s="9">
        <f>_xll.BDP($D716,F$40)</f>
        <v>62.12</v>
      </c>
      <c r="G716" s="9">
        <f>_xll.BDP($D716,G$40)</f>
        <v>62.13</v>
      </c>
      <c r="H716" s="9" t="str">
        <f>_xll.BDP($D716,H$40)</f>
        <v>#N/A Field Not Applicable</v>
      </c>
      <c r="L716" s="9">
        <f t="shared" si="71"/>
        <v>62.41</v>
      </c>
    </row>
    <row r="717" spans="1:12" s="9" customFormat="1" x14ac:dyDescent="0.2">
      <c r="A717" s="9" t="s">
        <v>16</v>
      </c>
      <c r="B717" s="9" t="str">
        <f>LEFT(D717,FIND(" ",D717)-1)</f>
        <v>VAC</v>
      </c>
      <c r="C717" s="16" t="str">
        <f>IF(A717="STOCK",B717,REPLACE(B717,FIND("+",B717),1,"."))</f>
        <v>VAC</v>
      </c>
      <c r="D717" s="9" t="s">
        <v>491</v>
      </c>
      <c r="E717" s="9">
        <f>_xll.BDP($D717,E$40)</f>
        <v>66.790000000000006</v>
      </c>
      <c r="F717" s="9">
        <f>_xll.BDP($D717,F$40)</f>
        <v>66.78</v>
      </c>
      <c r="G717" s="9">
        <f>_xll.BDP($D717,G$40)</f>
        <v>66.790000000000006</v>
      </c>
      <c r="H717" s="9" t="str">
        <f>_xll.BDP($D717,H$40)</f>
        <v>#N/A Field Not Applicable</v>
      </c>
      <c r="L717" s="9">
        <f t="shared" si="71"/>
        <v>66.790000000000006</v>
      </c>
    </row>
    <row r="718" spans="1:12" s="9" customFormat="1" x14ac:dyDescent="0.2">
      <c r="A718" s="9" t="s">
        <v>16</v>
      </c>
      <c r="B718" s="9" t="s">
        <v>633</v>
      </c>
      <c r="C718" s="16" t="s">
        <v>633</v>
      </c>
      <c r="D718" s="9" t="s">
        <v>634</v>
      </c>
      <c r="E718" s="9">
        <f>_xll.BDP($D718,E$40)</f>
        <v>72.45</v>
      </c>
      <c r="F718" s="9">
        <f>_xll.BDP($D718,F$40)</f>
        <v>72.42</v>
      </c>
      <c r="G718" s="9">
        <f>_xll.BDP($D718,G$40)</f>
        <v>73.010000000000005</v>
      </c>
      <c r="H718" s="9" t="str">
        <f>_xll.BDP($D718,H$40)</f>
        <v>#N/A Field Not Applicable</v>
      </c>
      <c r="L718" s="9">
        <f t="shared" si="71"/>
        <v>72.45</v>
      </c>
    </row>
    <row r="719" spans="1:12" s="9" customFormat="1" x14ac:dyDescent="0.2">
      <c r="A719" s="9" t="s">
        <v>16</v>
      </c>
      <c r="B719" s="9" t="s">
        <v>580</v>
      </c>
      <c r="C719" s="16" t="s">
        <v>580</v>
      </c>
      <c r="D719" s="9" t="s">
        <v>581</v>
      </c>
      <c r="E719" s="9">
        <f>_xll.BDP($D719,E$40)</f>
        <v>95.66</v>
      </c>
      <c r="F719" s="9">
        <f>_xll.BDP($D719,F$40)</f>
        <v>95.67</v>
      </c>
      <c r="G719" s="9">
        <f>_xll.BDP($D719,G$40)</f>
        <v>95.69</v>
      </c>
      <c r="H719" s="9" t="str">
        <f>_xll.BDP($D719,H$40)</f>
        <v>#N/A Field Not Applicable</v>
      </c>
      <c r="L719" s="9">
        <f t="shared" si="71"/>
        <v>95.66</v>
      </c>
    </row>
    <row r="720" spans="1:12" s="9" customFormat="1" x14ac:dyDescent="0.2">
      <c r="A720" s="9" t="s">
        <v>16</v>
      </c>
      <c r="B720" s="9" t="str">
        <f>LEFT(D720,FIND(" ",D720)-1)</f>
        <v>URI</v>
      </c>
      <c r="C720" s="16" t="str">
        <f>IF(A720="STOCK",B720,REPLACE(B720,FIND("+",B720),1,"."))</f>
        <v>URI</v>
      </c>
      <c r="D720" s="9" t="s">
        <v>418</v>
      </c>
      <c r="E720" s="9">
        <f>_xll.BDP($D720,E$40)</f>
        <v>83.23</v>
      </c>
      <c r="F720" s="9">
        <f>_xll.BDP($D720,F$40)</f>
        <v>83.22</v>
      </c>
      <c r="G720" s="9">
        <f>_xll.BDP($D720,G$40)</f>
        <v>83.23</v>
      </c>
      <c r="H720" s="9" t="str">
        <f>_xll.BDP($D720,H$40)</f>
        <v>#N/A Field Not Applicable</v>
      </c>
      <c r="L720" s="9">
        <f t="shared" si="71"/>
        <v>83.23</v>
      </c>
    </row>
    <row r="721" spans="1:12" s="9" customFormat="1" x14ac:dyDescent="0.2">
      <c r="A721" s="9" t="s">
        <v>16</v>
      </c>
      <c r="B721" s="9" t="str">
        <f>LEFT(D721,FIND(" ",D721)-1)</f>
        <v>CME</v>
      </c>
      <c r="C721" s="16" t="str">
        <f>IF(A721="STOCK",B721,REPLACE(B721,FIND("+",B721),1,"."))</f>
        <v>CME</v>
      </c>
      <c r="D721" s="9" t="s">
        <v>128</v>
      </c>
      <c r="E721" s="9">
        <f>_xll.BDP($D721,E$40)</f>
        <v>148.54</v>
      </c>
      <c r="F721" s="9">
        <f>_xll.BDP($D721,F$40)</f>
        <v>148.53</v>
      </c>
      <c r="G721" s="9">
        <f>_xll.BDP($D721,G$40)</f>
        <v>148.61000000000001</v>
      </c>
      <c r="H721" s="9" t="str">
        <f>_xll.BDP($D721,H$40)</f>
        <v>#N/A Field Not Applicable</v>
      </c>
      <c r="L721" s="9">
        <f t="shared" si="71"/>
        <v>148.54</v>
      </c>
    </row>
    <row r="722" spans="1:12" s="9" customFormat="1" x14ac:dyDescent="0.2">
      <c r="A722" s="9" t="s">
        <v>16</v>
      </c>
      <c r="B722" s="23" t="s">
        <v>815</v>
      </c>
      <c r="C722" s="17" t="s">
        <v>816</v>
      </c>
      <c r="D722" s="22" t="s">
        <v>128</v>
      </c>
      <c r="E722" s="21">
        <f>_xll.BDP($D722,E$40)</f>
        <v>148.54</v>
      </c>
      <c r="F722" s="9">
        <f>_xll.BDP($D722,F$40)</f>
        <v>148.53</v>
      </c>
      <c r="G722" s="9">
        <f>_xll.BDP($D722,G$40)</f>
        <v>148.61000000000001</v>
      </c>
      <c r="H722" s="9" t="str">
        <f>_xll.BDP($D722,H$40)</f>
        <v>#N/A Field Not Applicable</v>
      </c>
      <c r="L722" s="9">
        <f t="shared" si="71"/>
        <v>148.54</v>
      </c>
    </row>
    <row r="723" spans="1:12" s="9" customFormat="1" x14ac:dyDescent="0.2">
      <c r="A723" s="9" t="s">
        <v>16</v>
      </c>
      <c r="B723" s="9" t="str">
        <f>LEFT(D723,FIND(" ",D723)-1)</f>
        <v>UTHR</v>
      </c>
      <c r="C723" s="16" t="str">
        <f>IF(A723="STOCK",B723,REPLACE(B723,FIND("+",B723),1,"."))</f>
        <v>UTHR</v>
      </c>
      <c r="D723" s="9" t="s">
        <v>369</v>
      </c>
      <c r="E723" s="9">
        <f>_xll.BDP($D723,E$40)</f>
        <v>79.430000000000007</v>
      </c>
      <c r="F723" s="9">
        <f>_xll.BDP($D723,F$40)</f>
        <v>79.430000000000007</v>
      </c>
      <c r="G723" s="9">
        <f>_xll.BDP($D723,G$40)</f>
        <v>79.599999999999994</v>
      </c>
      <c r="H723" s="9" t="str">
        <f>_xll.BDP($D723,H$40)</f>
        <v>#N/A Field Not Applicable</v>
      </c>
      <c r="L723" s="9">
        <f t="shared" si="71"/>
        <v>79.430000000000007</v>
      </c>
    </row>
    <row r="724" spans="1:12" s="9" customFormat="1" x14ac:dyDescent="0.2">
      <c r="A724" s="9" t="s">
        <v>16</v>
      </c>
      <c r="B724" s="9" t="s">
        <v>653</v>
      </c>
      <c r="C724" s="16" t="s">
        <v>653</v>
      </c>
      <c r="D724" s="9" t="s">
        <v>654</v>
      </c>
      <c r="E724" s="9">
        <f>_xll.BDP($D724,E$40)</f>
        <v>47.98</v>
      </c>
      <c r="F724" s="9">
        <f>_xll.BDP($D724,F$40)</f>
        <v>47.97</v>
      </c>
      <c r="G724" s="9">
        <f>_xll.BDP($D724,G$40)</f>
        <v>47.98</v>
      </c>
      <c r="H724" s="9" t="str">
        <f>_xll.BDP($D724,H$40)</f>
        <v>#N/A Field Not Applicable</v>
      </c>
      <c r="L724" s="9">
        <f t="shared" si="71"/>
        <v>47.98</v>
      </c>
    </row>
    <row r="725" spans="1:12" s="9" customFormat="1" x14ac:dyDescent="0.2">
      <c r="A725" s="9" t="s">
        <v>16</v>
      </c>
      <c r="B725" s="23" t="s">
        <v>801</v>
      </c>
      <c r="C725" s="17" t="s">
        <v>801</v>
      </c>
      <c r="D725" s="22" t="s">
        <v>802</v>
      </c>
      <c r="E725" s="21">
        <f>_xll.BDP($D725,E$40)</f>
        <v>123.4</v>
      </c>
      <c r="F725" s="9">
        <f>_xll.BDP($D725,F$40)</f>
        <v>122.55</v>
      </c>
      <c r="G725" s="9">
        <f>_xll.BDP($D725,G$40)</f>
        <v>122.85</v>
      </c>
      <c r="H725" s="9" t="str">
        <f>_xll.BDP($D725,H$40)</f>
        <v>#N/A Field Not Applicable</v>
      </c>
      <c r="L725" s="9">
        <f t="shared" si="71"/>
        <v>123.4</v>
      </c>
    </row>
    <row r="726" spans="1:12" s="9" customFormat="1" x14ac:dyDescent="0.2">
      <c r="A726" s="9" t="s">
        <v>16</v>
      </c>
      <c r="B726" s="9" t="str">
        <f>LEFT(D726,FIND(" ",D726)-1)</f>
        <v>WYNN</v>
      </c>
      <c r="C726" s="16" t="str">
        <f>IF(A726="STOCK",B726,REPLACE(B726,FIND("+",B726),1,"."))</f>
        <v>WYNN</v>
      </c>
      <c r="D726" s="9" t="s">
        <v>383</v>
      </c>
      <c r="E726" s="9">
        <f>_xll.BDP($D726,E$40)</f>
        <v>54.8</v>
      </c>
      <c r="F726" s="9">
        <f>_xll.BDP($D726,F$40)</f>
        <v>54.79</v>
      </c>
      <c r="G726" s="9">
        <f>_xll.BDP($D726,G$40)</f>
        <v>54.95</v>
      </c>
      <c r="H726" s="9" t="str">
        <f>_xll.BDP($D726,H$40)</f>
        <v>#N/A Field Not Applicable</v>
      </c>
      <c r="L726" s="9">
        <f t="shared" si="71"/>
        <v>54.8</v>
      </c>
    </row>
    <row r="727" spans="1:12" s="9" customFormat="1" x14ac:dyDescent="0.2">
      <c r="A727" s="9" t="s">
        <v>16</v>
      </c>
      <c r="B727" s="9" t="str">
        <f>LEFT(D727,FIND(" ",D727)-1)</f>
        <v>ACN</v>
      </c>
      <c r="C727" s="16" t="str">
        <f>IF(A727="STOCK",B727,REPLACE(B727,FIND("+",B727),1,"."))</f>
        <v>ACN</v>
      </c>
      <c r="D727" s="9" t="s">
        <v>52</v>
      </c>
      <c r="E727" s="9">
        <f>_xll.BDP($D727,E$40)</f>
        <v>152.54</v>
      </c>
      <c r="F727" s="9">
        <f>_xll.BDP($D727,F$40)</f>
        <v>152.53</v>
      </c>
      <c r="G727" s="9">
        <f>_xll.BDP($D727,G$40)</f>
        <v>152.54</v>
      </c>
      <c r="H727" s="9" t="str">
        <f>_xll.BDP($D727,H$40)</f>
        <v>#N/A Field Not Applicable</v>
      </c>
      <c r="L727" s="9">
        <f t="shared" si="71"/>
        <v>152.54</v>
      </c>
    </row>
    <row r="728" spans="1:12" s="9" customFormat="1" x14ac:dyDescent="0.2">
      <c r="A728" s="9" t="s">
        <v>16</v>
      </c>
      <c r="B728" s="23" t="s">
        <v>775</v>
      </c>
      <c r="C728" s="17" t="s">
        <v>775</v>
      </c>
      <c r="D728" s="22" t="s">
        <v>782</v>
      </c>
      <c r="E728" s="21">
        <f>_xll.BDP($D728,E$40)</f>
        <v>106.58</v>
      </c>
      <c r="F728" s="9">
        <f>_xll.BDP($D728,F$40)</f>
        <v>106.58</v>
      </c>
      <c r="G728" s="9">
        <f>_xll.BDP($D728,G$40)</f>
        <v>106.6</v>
      </c>
      <c r="H728" s="9" t="str">
        <f>_xll.BDP($D728,H$40)</f>
        <v>#N/A Field Not Applicable</v>
      </c>
      <c r="L728" s="9">
        <f t="shared" si="71"/>
        <v>106.58</v>
      </c>
    </row>
    <row r="729" spans="1:12" s="9" customFormat="1" x14ac:dyDescent="0.2">
      <c r="A729" s="9" t="s">
        <v>16</v>
      </c>
      <c r="B729" s="9" t="s">
        <v>584</v>
      </c>
      <c r="C729" s="16" t="s">
        <v>584</v>
      </c>
      <c r="D729" s="9" t="s">
        <v>585</v>
      </c>
      <c r="E729" s="9">
        <f>_xll.BDP($D729,E$40)</f>
        <v>120.05</v>
      </c>
      <c r="F729" s="9">
        <f>_xll.BDP($D729,F$40)</f>
        <v>120.05</v>
      </c>
      <c r="G729" s="9">
        <f>_xll.BDP($D729,G$40)</f>
        <v>120.06</v>
      </c>
      <c r="H729" s="9" t="str">
        <f>_xll.BDP($D729,H$40)</f>
        <v>#N/A Field Not Applicable</v>
      </c>
      <c r="L729" s="9">
        <f t="shared" si="71"/>
        <v>120.05</v>
      </c>
    </row>
    <row r="730" spans="1:12" s="9" customFormat="1" x14ac:dyDescent="0.2">
      <c r="A730" s="9" t="s">
        <v>16</v>
      </c>
      <c r="B730" s="9" t="str">
        <f t="shared" ref="B730:B739" si="75">LEFT(D730,FIND(" ",D730)-1)</f>
        <v>IFF</v>
      </c>
      <c r="C730" s="16" t="str">
        <f t="shared" ref="C730:C739" si="76">IF(A730="STOCK",B730,REPLACE(B730,FIND("+",B730),1,"."))</f>
        <v>IFF</v>
      </c>
      <c r="D730" s="9" t="s">
        <v>218</v>
      </c>
      <c r="E730" s="9">
        <f>_xll.BDP($D730,E$40)</f>
        <v>101.49</v>
      </c>
      <c r="F730" s="9">
        <f>_xll.BDP($D730,F$40)</f>
        <v>101.48</v>
      </c>
      <c r="G730" s="9">
        <f>_xll.BDP($D730,G$40)</f>
        <v>101.49</v>
      </c>
      <c r="H730" s="9" t="str">
        <f>_xll.BDP($D730,H$40)</f>
        <v>#N/A Field Not Applicable</v>
      </c>
      <c r="L730" s="9">
        <f t="shared" ref="L730:L791" si="77">IF(A730="STOCK",E730,IF(A730="SOPTION",G730,IF(A730="LOPTION",F730,"")))</f>
        <v>101.49</v>
      </c>
    </row>
    <row r="731" spans="1:12" s="9" customFormat="1" x14ac:dyDescent="0.2">
      <c r="A731" s="9" t="s">
        <v>16</v>
      </c>
      <c r="B731" s="9" t="str">
        <f t="shared" si="75"/>
        <v>ALXN</v>
      </c>
      <c r="C731" s="16" t="str">
        <f t="shared" si="76"/>
        <v>ALXN</v>
      </c>
      <c r="D731" s="9" t="s">
        <v>62</v>
      </c>
      <c r="E731" s="9">
        <f>_xll.BDP($D731,E$40)</f>
        <v>75.56</v>
      </c>
      <c r="F731" s="9">
        <f>_xll.BDP($D731,F$40)</f>
        <v>75.55</v>
      </c>
      <c r="G731" s="9">
        <f>_xll.BDP($D731,G$40)</f>
        <v>75.67</v>
      </c>
      <c r="H731" s="9" t="str">
        <f>_xll.BDP($D731,H$40)</f>
        <v>#N/A Field Not Applicable</v>
      </c>
      <c r="L731" s="9">
        <f t="shared" si="77"/>
        <v>75.56</v>
      </c>
    </row>
    <row r="732" spans="1:12" s="9" customFormat="1" x14ac:dyDescent="0.2">
      <c r="A732" s="9" t="s">
        <v>16</v>
      </c>
      <c r="B732" s="9" t="str">
        <f t="shared" si="75"/>
        <v>CELG</v>
      </c>
      <c r="C732" s="16" t="str">
        <f t="shared" si="76"/>
        <v>CELG</v>
      </c>
      <c r="D732" s="9" t="s">
        <v>117</v>
      </c>
      <c r="E732" s="9" t="str">
        <f>_xll.BDP($D732,E$40)</f>
        <v>#N/A N/A</v>
      </c>
      <c r="F732" s="9" t="str">
        <f>_xll.BDP($D732,F$40)</f>
        <v>#N/A N/A</v>
      </c>
      <c r="G732" s="9" t="str">
        <f>_xll.BDP($D732,G$40)</f>
        <v>#N/A N/A</v>
      </c>
      <c r="H732" s="9" t="str">
        <f>_xll.BDP($D732,H$40)</f>
        <v>#N/A Field Not Applicable</v>
      </c>
      <c r="L732" s="9" t="str">
        <f t="shared" si="77"/>
        <v>#N/A N/A</v>
      </c>
    </row>
    <row r="733" spans="1:12" s="9" customFormat="1" x14ac:dyDescent="0.2">
      <c r="A733" s="9" t="s">
        <v>16</v>
      </c>
      <c r="B733" s="9" t="str">
        <f t="shared" si="75"/>
        <v>AMT</v>
      </c>
      <c r="C733" s="16" t="str">
        <f t="shared" si="76"/>
        <v>AMT</v>
      </c>
      <c r="D733" s="9" t="s">
        <v>67</v>
      </c>
      <c r="E733" s="9">
        <f>_xll.BDP($D733,E$40)</f>
        <v>202.75</v>
      </c>
      <c r="F733" s="9">
        <f>_xll.BDP($D733,F$40)</f>
        <v>202.74</v>
      </c>
      <c r="G733" s="9">
        <f>_xll.BDP($D733,G$40)</f>
        <v>202.75</v>
      </c>
      <c r="H733" s="9" t="str">
        <f>_xll.BDP($D733,H$40)</f>
        <v>#N/A Field Not Applicable</v>
      </c>
      <c r="L733" s="9">
        <f t="shared" si="77"/>
        <v>202.75</v>
      </c>
    </row>
    <row r="734" spans="1:12" s="9" customFormat="1" x14ac:dyDescent="0.2">
      <c r="A734" s="9" t="s">
        <v>16</v>
      </c>
      <c r="B734" s="9" t="str">
        <f t="shared" si="75"/>
        <v>CTAS</v>
      </c>
      <c r="C734" s="16" t="str">
        <f t="shared" si="76"/>
        <v>CTAS</v>
      </c>
      <c r="D734" s="9" t="s">
        <v>143</v>
      </c>
      <c r="E734" s="9">
        <f>_xll.BDP($D734,E$40)</f>
        <v>202.51</v>
      </c>
      <c r="F734" s="9">
        <f>_xll.BDP($D734,F$40)</f>
        <v>202.38</v>
      </c>
      <c r="G734" s="9">
        <f>_xll.BDP($D734,G$40)</f>
        <v>202.51</v>
      </c>
      <c r="H734" s="9" t="str">
        <f>_xll.BDP($D734,H$40)</f>
        <v>#N/A Field Not Applicable</v>
      </c>
      <c r="L734" s="9">
        <f t="shared" si="77"/>
        <v>202.51</v>
      </c>
    </row>
    <row r="735" spans="1:12" s="9" customFormat="1" x14ac:dyDescent="0.2">
      <c r="A735" s="9" t="s">
        <v>16</v>
      </c>
      <c r="B735" s="9" t="str">
        <f t="shared" si="75"/>
        <v>TDY</v>
      </c>
      <c r="C735" s="16" t="str">
        <f t="shared" si="76"/>
        <v>TDY</v>
      </c>
      <c r="D735" s="9" t="s">
        <v>342</v>
      </c>
      <c r="E735" s="9">
        <f>_xll.BDP($D735,E$40)</f>
        <v>254.87</v>
      </c>
      <c r="F735" s="9">
        <f>_xll.BDP($D735,F$40)</f>
        <v>254.86</v>
      </c>
      <c r="G735" s="9">
        <f>_xll.BDP($D735,G$40)</f>
        <v>254.87</v>
      </c>
      <c r="H735" s="9" t="str">
        <f>_xll.BDP($D735,H$40)</f>
        <v>#N/A Field Not Applicable</v>
      </c>
      <c r="L735" s="9">
        <f t="shared" si="77"/>
        <v>254.87</v>
      </c>
    </row>
    <row r="736" spans="1:12" s="9" customFormat="1" x14ac:dyDescent="0.2">
      <c r="A736" s="9" t="s">
        <v>16</v>
      </c>
      <c r="B736" s="9" t="str">
        <f t="shared" si="75"/>
        <v>SBNY</v>
      </c>
      <c r="C736" s="16" t="str">
        <f t="shared" si="76"/>
        <v>SBNY</v>
      </c>
      <c r="D736" s="9" t="s">
        <v>323</v>
      </c>
      <c r="E736" s="9">
        <f>_xll.BDP($D736,E$40)</f>
        <v>87.89</v>
      </c>
      <c r="F736" s="9">
        <f>_xll.BDP($D736,F$40)</f>
        <v>87.89</v>
      </c>
      <c r="G736" s="9">
        <f>_xll.BDP($D736,G$40)</f>
        <v>87.9</v>
      </c>
      <c r="H736" s="9" t="str">
        <f>_xll.BDP($D736,H$40)</f>
        <v>#N/A Field Not Applicable</v>
      </c>
      <c r="L736" s="9">
        <f t="shared" si="77"/>
        <v>87.89</v>
      </c>
    </row>
    <row r="737" spans="1:12" s="9" customFormat="1" x14ac:dyDescent="0.2">
      <c r="A737" s="9" t="s">
        <v>16</v>
      </c>
      <c r="B737" s="9" t="str">
        <f t="shared" si="75"/>
        <v>INTU</v>
      </c>
      <c r="C737" s="16" t="str">
        <f t="shared" si="76"/>
        <v>INTU</v>
      </c>
      <c r="D737" s="9" t="s">
        <v>223</v>
      </c>
      <c r="E737" s="9">
        <f>_xll.BDP($D737,E$40)</f>
        <v>223.43</v>
      </c>
      <c r="F737" s="9">
        <f>_xll.BDP($D737,F$40)</f>
        <v>223.42</v>
      </c>
      <c r="G737" s="9">
        <f>_xll.BDP($D737,G$40)</f>
        <v>223.43</v>
      </c>
      <c r="H737" s="9" t="str">
        <f>_xll.BDP($D737,H$40)</f>
        <v>#N/A Field Not Applicable</v>
      </c>
      <c r="L737" s="9">
        <f t="shared" si="77"/>
        <v>223.43</v>
      </c>
    </row>
    <row r="738" spans="1:12" s="9" customFormat="1" x14ac:dyDescent="0.2">
      <c r="A738" s="9" t="s">
        <v>16</v>
      </c>
      <c r="B738" s="9" t="str">
        <f t="shared" si="75"/>
        <v>ATHN</v>
      </c>
      <c r="C738" s="16" t="str">
        <f t="shared" si="76"/>
        <v>ATHN</v>
      </c>
      <c r="D738" s="9" t="s">
        <v>78</v>
      </c>
      <c r="E738" s="9" t="str">
        <f>_xll.BDP($D738,E$40)</f>
        <v>#N/A N/A</v>
      </c>
      <c r="F738" s="9" t="str">
        <f>_xll.BDP($D738,F$40)</f>
        <v>#N/A N/A</v>
      </c>
      <c r="G738" s="9" t="str">
        <f>_xll.BDP($D738,G$40)</f>
        <v>#N/A N/A</v>
      </c>
      <c r="H738" s="9" t="str">
        <f>_xll.BDP($D738,H$40)</f>
        <v>#N/A Field Not Applicable</v>
      </c>
      <c r="L738" s="9" t="str">
        <f t="shared" si="77"/>
        <v>#N/A N/A</v>
      </c>
    </row>
    <row r="739" spans="1:12" s="9" customFormat="1" x14ac:dyDescent="0.2">
      <c r="A739" s="9" t="s">
        <v>16</v>
      </c>
      <c r="B739" s="9" t="str">
        <f t="shared" si="75"/>
        <v>APD</v>
      </c>
      <c r="C739" s="16" t="str">
        <f t="shared" si="76"/>
        <v>APD</v>
      </c>
      <c r="D739" s="9" t="s">
        <v>71</v>
      </c>
      <c r="E739" s="9">
        <f>_xll.BDP($D739,E$40)</f>
        <v>180.35</v>
      </c>
      <c r="F739" s="9">
        <f>_xll.BDP($D739,F$40)</f>
        <v>180.38</v>
      </c>
      <c r="G739" s="9">
        <f>_xll.BDP($D739,G$40)</f>
        <v>180.39</v>
      </c>
      <c r="H739" s="9" t="str">
        <f>_xll.BDP($D739,H$40)</f>
        <v>#N/A Field Not Applicable</v>
      </c>
      <c r="L739" s="9">
        <f t="shared" si="77"/>
        <v>180.35</v>
      </c>
    </row>
    <row r="740" spans="1:12" s="9" customFormat="1" x14ac:dyDescent="0.2">
      <c r="A740" s="9" t="s">
        <v>16</v>
      </c>
      <c r="B740" s="9" t="s">
        <v>593</v>
      </c>
      <c r="C740" s="16" t="s">
        <v>593</v>
      </c>
      <c r="D740" s="9" t="s">
        <v>594</v>
      </c>
      <c r="E740" s="9">
        <f>_xll.BDP($D740,E$40)</f>
        <v>99.08</v>
      </c>
      <c r="F740" s="9">
        <f>_xll.BDP($D740,F$40)</f>
        <v>99.08</v>
      </c>
      <c r="G740" s="9">
        <f>_xll.BDP($D740,G$40)</f>
        <v>99.09</v>
      </c>
      <c r="H740" s="9" t="str">
        <f>_xll.BDP($D740,H$40)</f>
        <v>#N/A Field Not Applicable</v>
      </c>
      <c r="L740" s="9">
        <f t="shared" si="77"/>
        <v>99.08</v>
      </c>
    </row>
    <row r="741" spans="1:12" s="9" customFormat="1" x14ac:dyDescent="0.2">
      <c r="A741" s="9" t="s">
        <v>16</v>
      </c>
      <c r="B741" s="23" t="s">
        <v>789</v>
      </c>
      <c r="C741" s="17" t="s">
        <v>790</v>
      </c>
      <c r="D741" s="22" t="s">
        <v>791</v>
      </c>
      <c r="E741" s="21">
        <f>_xll.BDP($D741,E$40)</f>
        <v>164.96</v>
      </c>
      <c r="F741" s="9">
        <f>_xll.BDP($D741,F$40)</f>
        <v>164.96</v>
      </c>
      <c r="G741" s="9">
        <f>_xll.BDP($D741,G$40)</f>
        <v>164.97</v>
      </c>
      <c r="H741" s="9" t="str">
        <f>_xll.BDP($D741,H$40)</f>
        <v>#N/A Field Not Applicable</v>
      </c>
      <c r="L741" s="9">
        <f t="shared" si="77"/>
        <v>164.96</v>
      </c>
    </row>
    <row r="742" spans="1:12" s="9" customFormat="1" x14ac:dyDescent="0.2">
      <c r="A742" s="9" t="s">
        <v>16</v>
      </c>
      <c r="B742" s="23" t="s">
        <v>955</v>
      </c>
      <c r="C742" s="17" t="s">
        <v>955</v>
      </c>
      <c r="D742" s="22" t="s">
        <v>956</v>
      </c>
      <c r="E742" s="21">
        <f>_xll.BDP($D742,E$40)</f>
        <v>105.16</v>
      </c>
      <c r="F742" s="9">
        <f>_xll.BDP($D742,F$40)</f>
        <v>105.03</v>
      </c>
      <c r="G742" s="9">
        <f>_xll.BDP($D742,G$40)</f>
        <v>105.16</v>
      </c>
      <c r="H742" s="9" t="str">
        <f>_xll.BDP($D742,H$40)</f>
        <v>#N/A Field Not Applicable</v>
      </c>
      <c r="L742" s="9">
        <f t="shared" si="77"/>
        <v>105.16</v>
      </c>
    </row>
    <row r="743" spans="1:12" s="9" customFormat="1" x14ac:dyDescent="0.2">
      <c r="A743" s="9" t="s">
        <v>16</v>
      </c>
      <c r="B743" s="9" t="str">
        <f>LEFT(D743,FIND(" ",D743)-1)</f>
        <v>LEA</v>
      </c>
      <c r="C743" s="16" t="str">
        <f>IF(A743="STOCK",B743,REPLACE(B743,FIND("+",B743),1,"."))</f>
        <v>LEA</v>
      </c>
      <c r="D743" s="9" t="s">
        <v>426</v>
      </c>
      <c r="E743" s="9">
        <f>_xll.BDP($D743,E$40)</f>
        <v>85.39</v>
      </c>
      <c r="F743" s="9">
        <f>_xll.BDP($D743,F$40)</f>
        <v>85.38</v>
      </c>
      <c r="G743" s="9">
        <f>_xll.BDP($D743,G$40)</f>
        <v>85.39</v>
      </c>
      <c r="H743" s="9" t="str">
        <f>_xll.BDP($D743,H$40)</f>
        <v>#N/A Field Not Applicable</v>
      </c>
      <c r="L743" s="9">
        <f t="shared" si="77"/>
        <v>85.39</v>
      </c>
    </row>
    <row r="744" spans="1:12" s="9" customFormat="1" x14ac:dyDescent="0.2">
      <c r="A744" s="9" t="s">
        <v>16</v>
      </c>
      <c r="B744" s="9" t="str">
        <f>LEFT(D744,FIND(" ",D744)-1)</f>
        <v>ASML</v>
      </c>
      <c r="C744" s="16" t="str">
        <f>IF(A744="STOCK",B744,REPLACE(B744,FIND("+",B744),1,"."))</f>
        <v>ASML</v>
      </c>
      <c r="D744" s="9" t="s">
        <v>75</v>
      </c>
      <c r="E744" s="9">
        <f>_xll.BDP($D744,E$40)</f>
        <v>229.36</v>
      </c>
      <c r="F744" s="9">
        <f>_xll.BDP($D744,F$40)</f>
        <v>229.35</v>
      </c>
      <c r="G744" s="9">
        <f>_xll.BDP($D744,G$40)</f>
        <v>229.36</v>
      </c>
      <c r="H744" s="9" t="str">
        <f>_xll.BDP($D744,H$40)</f>
        <v>#N/A Field Not Applicable</v>
      </c>
      <c r="L744" s="9">
        <f t="shared" si="77"/>
        <v>229.36</v>
      </c>
    </row>
    <row r="745" spans="1:12" s="9" customFormat="1" x14ac:dyDescent="0.2">
      <c r="A745" s="9" t="s">
        <v>16</v>
      </c>
      <c r="B745" s="9" t="str">
        <f>LEFT(D745,FIND(" ",D745)-1)</f>
        <v>AET</v>
      </c>
      <c r="C745" s="16" t="str">
        <f>IF(A745="STOCK",B745,REPLACE(B745,FIND("+",B745),1,"."))</f>
        <v>AET</v>
      </c>
      <c r="D745" s="9" t="s">
        <v>56</v>
      </c>
      <c r="E745" s="9" t="str">
        <f>_xll.BDP($D745,E$40)</f>
        <v>#N/A N/A</v>
      </c>
      <c r="F745" s="9" t="str">
        <f>_xll.BDP($D745,F$40)</f>
        <v>#N/A N/A</v>
      </c>
      <c r="G745" s="9" t="str">
        <f>_xll.BDP($D745,G$40)</f>
        <v>#N/A N/A</v>
      </c>
      <c r="H745" s="9" t="str">
        <f>_xll.BDP($D745,H$40)</f>
        <v>#N/A Field Not Applicable</v>
      </c>
      <c r="L745" s="9" t="str">
        <f t="shared" si="77"/>
        <v>#N/A N/A</v>
      </c>
    </row>
    <row r="746" spans="1:12" s="9" customFormat="1" x14ac:dyDescent="0.2">
      <c r="A746" s="9" t="s">
        <v>16</v>
      </c>
      <c r="B746" s="9" t="str">
        <f>LEFT(D746,FIND(" ",D746)-1)</f>
        <v>EXPE</v>
      </c>
      <c r="C746" s="16" t="str">
        <f>IF(A746="STOCK",B746,REPLACE(B746,FIND("+",B746),1,"."))</f>
        <v>EXPE</v>
      </c>
      <c r="D746" s="9" t="s">
        <v>178</v>
      </c>
      <c r="E746" s="9">
        <f>_xll.BDP($D746,E$40)</f>
        <v>54.7</v>
      </c>
      <c r="F746" s="9">
        <f>_xll.BDP($D746,F$40)</f>
        <v>54.54</v>
      </c>
      <c r="G746" s="9">
        <f>_xll.BDP($D746,G$40)</f>
        <v>54.74</v>
      </c>
      <c r="H746" s="9" t="str">
        <f>_xll.BDP($D746,H$40)</f>
        <v>#N/A Field Not Applicable</v>
      </c>
      <c r="L746" s="9">
        <f t="shared" si="77"/>
        <v>54.7</v>
      </c>
    </row>
    <row r="747" spans="1:12" s="9" customFormat="1" x14ac:dyDescent="0.2">
      <c r="A747" s="9" t="s">
        <v>16</v>
      </c>
      <c r="B747" s="9" t="s">
        <v>627</v>
      </c>
      <c r="C747" s="16" t="s">
        <v>627</v>
      </c>
      <c r="D747" s="9" t="s">
        <v>628</v>
      </c>
      <c r="E747" s="9">
        <f>_xll.BDP($D747,E$40)</f>
        <v>86.23</v>
      </c>
      <c r="F747" s="9">
        <f>_xll.BDP($D747,F$40)</f>
        <v>86.22</v>
      </c>
      <c r="G747" s="9">
        <f>_xll.BDP($D747,G$40)</f>
        <v>86.23</v>
      </c>
      <c r="H747" s="9" t="str">
        <f>_xll.BDP($D747,H$40)</f>
        <v>#N/A Field Not Applicable</v>
      </c>
      <c r="L747" s="9">
        <f t="shared" si="77"/>
        <v>86.23</v>
      </c>
    </row>
    <row r="748" spans="1:12" s="9" customFormat="1" x14ac:dyDescent="0.2">
      <c r="A748" s="9" t="s">
        <v>16</v>
      </c>
      <c r="B748" s="9" t="str">
        <f>LEFT(D748,FIND(" ",D748)-1)</f>
        <v>CBRL</v>
      </c>
      <c r="C748" s="16" t="str">
        <f>IF(A748="STOCK",B748,REPLACE(B748,FIND("+",B748),1,"."))</f>
        <v>CBRL</v>
      </c>
      <c r="D748" s="9" t="s">
        <v>106</v>
      </c>
      <c r="E748" s="9">
        <f>_xll.BDP($D748,E$40)</f>
        <v>77.540000000000006</v>
      </c>
      <c r="F748" s="9">
        <f>_xll.BDP($D748,F$40)</f>
        <v>77.52</v>
      </c>
      <c r="G748" s="9">
        <f>_xll.BDP($D748,G$40)</f>
        <v>77.53</v>
      </c>
      <c r="H748" s="9" t="str">
        <f>_xll.BDP($D748,H$40)</f>
        <v>#N/A Field Not Applicable</v>
      </c>
      <c r="L748" s="9">
        <f t="shared" si="77"/>
        <v>77.540000000000006</v>
      </c>
    </row>
    <row r="749" spans="1:12" s="9" customFormat="1" x14ac:dyDescent="0.2">
      <c r="A749" s="9" t="s">
        <v>16</v>
      </c>
      <c r="B749" s="9" t="str">
        <f>LEFT(D749,FIND(" ",D749)-1)</f>
        <v>CP</v>
      </c>
      <c r="C749" s="16" t="str">
        <f>IF(A749="STOCK",B749,REPLACE(B749,FIND("+",B749),1,"."))</f>
        <v>CP</v>
      </c>
      <c r="D749" s="9" t="s">
        <v>420</v>
      </c>
      <c r="E749" s="9">
        <f>_xll.BDP($D749,E$40)</f>
        <v>187.45</v>
      </c>
      <c r="F749" s="9">
        <f>_xll.BDP($D749,F$40)</f>
        <v>187.13</v>
      </c>
      <c r="G749" s="9">
        <f>_xll.BDP($D749,G$40)</f>
        <v>187.67</v>
      </c>
      <c r="H749" s="9" t="str">
        <f>_xll.BDP($D749,H$40)</f>
        <v>#N/A Field Not Applicable</v>
      </c>
      <c r="L749" s="9">
        <f t="shared" si="77"/>
        <v>187.45</v>
      </c>
    </row>
    <row r="750" spans="1:12" s="9" customFormat="1" x14ac:dyDescent="0.2">
      <c r="A750" s="9" t="s">
        <v>16</v>
      </c>
      <c r="B750" s="9" t="s">
        <v>635</v>
      </c>
      <c r="C750" s="16" t="s">
        <v>635</v>
      </c>
      <c r="D750" s="9" t="s">
        <v>420</v>
      </c>
      <c r="E750" s="9">
        <f>_xll.BDP($D750,E$40)</f>
        <v>187.45</v>
      </c>
      <c r="F750" s="9">
        <f>_xll.BDP($D750,F$40)</f>
        <v>187.13</v>
      </c>
      <c r="G750" s="9">
        <f>_xll.BDP($D750,G$40)</f>
        <v>187.67</v>
      </c>
      <c r="H750" s="9" t="str">
        <f>_xll.BDP($D750,H$40)</f>
        <v>#N/A Field Not Applicable</v>
      </c>
      <c r="L750" s="9">
        <f t="shared" si="77"/>
        <v>187.45</v>
      </c>
    </row>
    <row r="751" spans="1:12" s="9" customFormat="1" x14ac:dyDescent="0.2">
      <c r="A751" s="9" t="s">
        <v>16</v>
      </c>
      <c r="B751" s="9" t="str">
        <f t="shared" ref="B751:B759" si="78">LEFT(D751,FIND(" ",D751)-1)</f>
        <v>ALGN</v>
      </c>
      <c r="C751" s="16" t="str">
        <f t="shared" ref="C751:C759" si="79">IF(A751="STOCK",B751,REPLACE(B751,FIND("+",B751),1,"."))</f>
        <v>ALGN</v>
      </c>
      <c r="D751" s="9" t="s">
        <v>59</v>
      </c>
      <c r="E751" s="9">
        <f>_xll.BDP($D751,E$40)</f>
        <v>161.72</v>
      </c>
      <c r="F751" s="9">
        <f>_xll.BDP($D751,F$40)</f>
        <v>161.38</v>
      </c>
      <c r="G751" s="9">
        <f>_xll.BDP($D751,G$40)</f>
        <v>161.38999999999999</v>
      </c>
      <c r="H751" s="9" t="str">
        <f>_xll.BDP($D751,H$40)</f>
        <v>#N/A Field Not Applicable</v>
      </c>
      <c r="L751" s="9">
        <f t="shared" si="77"/>
        <v>161.72</v>
      </c>
    </row>
    <row r="752" spans="1:12" s="9" customFormat="1" x14ac:dyDescent="0.2">
      <c r="A752" s="9" t="s">
        <v>16</v>
      </c>
      <c r="B752" s="9" t="str">
        <f t="shared" si="78"/>
        <v>MTB</v>
      </c>
      <c r="C752" s="16" t="str">
        <f t="shared" si="79"/>
        <v>MTB</v>
      </c>
      <c r="D752" s="9" t="s">
        <v>266</v>
      </c>
      <c r="E752" s="9">
        <f>_xll.BDP($D752,E$40)</f>
        <v>99.53</v>
      </c>
      <c r="F752" s="9">
        <f>_xll.BDP($D752,F$40)</f>
        <v>99.53</v>
      </c>
      <c r="G752" s="9">
        <f>_xll.BDP($D752,G$40)</f>
        <v>99.54</v>
      </c>
      <c r="H752" s="9" t="str">
        <f>_xll.BDP($D752,H$40)</f>
        <v>#N/A Field Not Applicable</v>
      </c>
      <c r="L752" s="9">
        <f t="shared" si="77"/>
        <v>99.53</v>
      </c>
    </row>
    <row r="753" spans="1:12" s="9" customFormat="1" x14ac:dyDescent="0.2">
      <c r="A753" s="9" t="s">
        <v>16</v>
      </c>
      <c r="B753" s="9" t="str">
        <f t="shared" si="78"/>
        <v>LH</v>
      </c>
      <c r="C753" s="16" t="str">
        <f t="shared" si="79"/>
        <v>LH</v>
      </c>
      <c r="D753" s="9" t="s">
        <v>242</v>
      </c>
      <c r="E753" s="9">
        <f>_xll.BDP($D753,E$40)</f>
        <v>121.91</v>
      </c>
      <c r="F753" s="9">
        <f>_xll.BDP($D753,F$40)</f>
        <v>121.91</v>
      </c>
      <c r="G753" s="9">
        <f>_xll.BDP($D753,G$40)</f>
        <v>121.92</v>
      </c>
      <c r="H753" s="9" t="str">
        <f>_xll.BDP($D753,H$40)</f>
        <v>#N/A Field Not Applicable</v>
      </c>
      <c r="L753" s="9">
        <f t="shared" si="77"/>
        <v>121.91</v>
      </c>
    </row>
    <row r="754" spans="1:12" s="9" customFormat="1" x14ac:dyDescent="0.2">
      <c r="A754" s="9" t="s">
        <v>16</v>
      </c>
      <c r="B754" s="9" t="str">
        <f t="shared" si="78"/>
        <v>MCK</v>
      </c>
      <c r="C754" s="16" t="str">
        <f t="shared" si="79"/>
        <v>MCK</v>
      </c>
      <c r="D754" s="9" t="s">
        <v>252</v>
      </c>
      <c r="E754" s="9">
        <f>_xll.BDP($D754,E$40)</f>
        <v>121.28</v>
      </c>
      <c r="F754" s="9">
        <f>_xll.BDP($D754,F$40)</f>
        <v>121.27</v>
      </c>
      <c r="G754" s="9">
        <f>_xll.BDP($D754,G$40)</f>
        <v>121.28</v>
      </c>
      <c r="H754" s="9" t="str">
        <f>_xll.BDP($D754,H$40)</f>
        <v>#N/A Field Not Applicable</v>
      </c>
      <c r="L754" s="9">
        <f t="shared" si="77"/>
        <v>121.28</v>
      </c>
    </row>
    <row r="755" spans="1:12" s="9" customFormat="1" x14ac:dyDescent="0.2">
      <c r="A755" s="9" t="s">
        <v>16</v>
      </c>
      <c r="B755" s="9" t="str">
        <f t="shared" si="78"/>
        <v>PXD</v>
      </c>
      <c r="C755" s="16" t="str">
        <f t="shared" si="79"/>
        <v>PXD</v>
      </c>
      <c r="D755" s="9" t="s">
        <v>305</v>
      </c>
      <c r="E755" s="9">
        <f>_xll.BDP($D755,E$40)</f>
        <v>59.72</v>
      </c>
      <c r="F755" s="9">
        <f>_xll.BDP($D755,F$40)</f>
        <v>59.71</v>
      </c>
      <c r="G755" s="9">
        <f>_xll.BDP($D755,G$40)</f>
        <v>59.76</v>
      </c>
      <c r="H755" s="9" t="str">
        <f>_xll.BDP($D755,H$40)</f>
        <v>#N/A Field Not Applicable</v>
      </c>
      <c r="L755" s="9">
        <f t="shared" si="77"/>
        <v>59.72</v>
      </c>
    </row>
    <row r="756" spans="1:12" s="9" customFormat="1" x14ac:dyDescent="0.2">
      <c r="A756" s="9" t="s">
        <v>16</v>
      </c>
      <c r="B756" s="9" t="str">
        <f t="shared" si="78"/>
        <v>LRCX</v>
      </c>
      <c r="C756" s="16" t="str">
        <f t="shared" si="79"/>
        <v>LRCX</v>
      </c>
      <c r="D756" s="9" t="s">
        <v>434</v>
      </c>
      <c r="E756" s="9">
        <f>_xll.BDP($D756,E$40)</f>
        <v>213.54</v>
      </c>
      <c r="F756" s="9">
        <f>_xll.BDP($D756,F$40)</f>
        <v>213.53</v>
      </c>
      <c r="G756" s="9">
        <f>_xll.BDP($D756,G$40)</f>
        <v>213.78</v>
      </c>
      <c r="H756" s="9" t="str">
        <f>_xll.BDP($D756,H$40)</f>
        <v>#N/A Field Not Applicable</v>
      </c>
      <c r="L756" s="9">
        <f t="shared" si="77"/>
        <v>213.54</v>
      </c>
    </row>
    <row r="757" spans="1:12" s="9" customFormat="1" x14ac:dyDescent="0.2">
      <c r="A757" s="9" t="s">
        <v>16</v>
      </c>
      <c r="B757" s="9" t="str">
        <f t="shared" si="78"/>
        <v>CMI</v>
      </c>
      <c r="C757" s="16" t="str">
        <f t="shared" si="79"/>
        <v>CMI</v>
      </c>
      <c r="D757" s="9" t="s">
        <v>481</v>
      </c>
      <c r="E757" s="9">
        <f>_xll.BDP($D757,E$40)</f>
        <v>131.44999999999999</v>
      </c>
      <c r="F757" s="9">
        <f>_xll.BDP($D757,F$40)</f>
        <v>131.44</v>
      </c>
      <c r="G757" s="9">
        <f>_xll.BDP($D757,G$40)</f>
        <v>131.44999999999999</v>
      </c>
      <c r="H757" s="9" t="str">
        <f>_xll.BDP($D757,H$40)</f>
        <v>#N/A Field Not Applicable</v>
      </c>
      <c r="L757" s="9">
        <f t="shared" si="77"/>
        <v>131.44999999999999</v>
      </c>
    </row>
    <row r="758" spans="1:12" s="9" customFormat="1" x14ac:dyDescent="0.2">
      <c r="A758" s="9" t="s">
        <v>16</v>
      </c>
      <c r="B758" s="9" t="str">
        <f t="shared" si="78"/>
        <v>FB</v>
      </c>
      <c r="C758" s="16" t="str">
        <f t="shared" si="79"/>
        <v>FB</v>
      </c>
      <c r="D758" s="9" t="s">
        <v>571</v>
      </c>
      <c r="E758" s="9">
        <f>_xll.BDP($D758,E$40)</f>
        <v>146.01</v>
      </c>
      <c r="F758" s="9">
        <f>_xll.BDP($D758,F$40)</f>
        <v>145.94999999999999</v>
      </c>
      <c r="G758" s="9">
        <f>_xll.BDP($D758,G$40)</f>
        <v>146</v>
      </c>
      <c r="H758" s="9" t="str">
        <f>_xll.BDP($D758,H$40)</f>
        <v>#N/A Field Not Applicable</v>
      </c>
      <c r="L758" s="9">
        <f t="shared" si="77"/>
        <v>146.01</v>
      </c>
    </row>
    <row r="759" spans="1:12" s="9" customFormat="1" x14ac:dyDescent="0.2">
      <c r="A759" s="9" t="s">
        <v>16</v>
      </c>
      <c r="B759" s="9" t="str">
        <f t="shared" si="78"/>
        <v>IWO</v>
      </c>
      <c r="C759" s="16" t="str">
        <f t="shared" si="79"/>
        <v>IWO</v>
      </c>
      <c r="D759" s="9" t="s">
        <v>227</v>
      </c>
      <c r="E759" s="9">
        <f>_xll.BDP($D759,E$40)</f>
        <v>140.30000000000001</v>
      </c>
      <c r="F759" s="9">
        <f>_xll.BDP($D759,F$40)</f>
        <v>137.63</v>
      </c>
      <c r="G759" s="9">
        <f>_xll.BDP($D759,G$40)</f>
        <v>138.96</v>
      </c>
      <c r="H759" s="9" t="str">
        <f>_xll.BDP($D759,H$40)</f>
        <v>#N/A Field Not Applicable</v>
      </c>
      <c r="L759" s="9">
        <f t="shared" si="77"/>
        <v>140.30000000000001</v>
      </c>
    </row>
    <row r="760" spans="1:12" s="9" customFormat="1" x14ac:dyDescent="0.2">
      <c r="A760" s="9" t="s">
        <v>16</v>
      </c>
      <c r="B760" s="23" t="s">
        <v>768</v>
      </c>
      <c r="C760" s="17" t="s">
        <v>768</v>
      </c>
      <c r="D760" s="22" t="s">
        <v>769</v>
      </c>
      <c r="E760" s="21">
        <f>_xll.BDP($D760,E$40)</f>
        <v>150.69</v>
      </c>
      <c r="F760" s="9">
        <f>_xll.BDP($D760,F$40)</f>
        <v>150.69</v>
      </c>
      <c r="G760" s="9">
        <f>_xll.BDP($D760,G$40)</f>
        <v>150.69999999999999</v>
      </c>
      <c r="H760" s="9" t="str">
        <f>_xll.BDP($D760,H$40)</f>
        <v>#N/A Field Not Applicable</v>
      </c>
      <c r="L760" s="9">
        <f t="shared" si="77"/>
        <v>150.69</v>
      </c>
    </row>
    <row r="761" spans="1:12" s="9" customFormat="1" x14ac:dyDescent="0.2">
      <c r="A761" s="9" t="s">
        <v>16</v>
      </c>
      <c r="B761" s="9" t="str">
        <f t="shared" ref="B761:B766" si="80">LEFT(D761,FIND(" ",D761)-1)</f>
        <v>ILMN</v>
      </c>
      <c r="C761" s="16" t="str">
        <f t="shared" ref="C761:C766" si="81">IF(A761="STOCK",B761,REPLACE(B761,FIND("+",B761),1,"."))</f>
        <v>ILMN</v>
      </c>
      <c r="D761" s="9" t="s">
        <v>436</v>
      </c>
      <c r="E761" s="9">
        <f>_xll.BDP($D761,E$40)</f>
        <v>211.02</v>
      </c>
      <c r="F761" s="9">
        <f>_xll.BDP($D761,F$40)</f>
        <v>210.95</v>
      </c>
      <c r="G761" s="9">
        <f>_xll.BDP($D761,G$40)</f>
        <v>210.99</v>
      </c>
      <c r="H761" s="9" t="str">
        <f>_xll.BDP($D761,H$40)</f>
        <v>#N/A Field Not Applicable</v>
      </c>
      <c r="L761" s="9">
        <f t="shared" si="77"/>
        <v>211.02</v>
      </c>
    </row>
    <row r="762" spans="1:12" s="9" customFormat="1" x14ac:dyDescent="0.2">
      <c r="A762" s="9" t="s">
        <v>16</v>
      </c>
      <c r="B762" s="9" t="str">
        <f t="shared" si="80"/>
        <v>WCG</v>
      </c>
      <c r="C762" s="16" t="str">
        <f t="shared" si="81"/>
        <v>WCG</v>
      </c>
      <c r="D762" s="9" t="s">
        <v>374</v>
      </c>
      <c r="E762" s="9" t="str">
        <f>_xll.BDP($D762,E$40)</f>
        <v>#N/A N/A</v>
      </c>
      <c r="F762" s="9" t="str">
        <f>_xll.BDP($D762,F$40)</f>
        <v>#N/A N/A</v>
      </c>
      <c r="G762" s="9" t="str">
        <f>_xll.BDP($D762,G$40)</f>
        <v>#N/A N/A</v>
      </c>
      <c r="H762" s="9" t="str">
        <f>_xll.BDP($D762,H$40)</f>
        <v>#N/A Field Not Applicable</v>
      </c>
      <c r="L762" s="9" t="str">
        <f t="shared" si="77"/>
        <v>#N/A N/A</v>
      </c>
    </row>
    <row r="763" spans="1:12" s="9" customFormat="1" x14ac:dyDescent="0.2">
      <c r="A763" s="9" t="s">
        <v>16</v>
      </c>
      <c r="B763" s="9" t="str">
        <f t="shared" si="80"/>
        <v>NFLX</v>
      </c>
      <c r="C763" s="16" t="str">
        <f t="shared" si="81"/>
        <v>NFLX</v>
      </c>
      <c r="D763" s="9" t="s">
        <v>275</v>
      </c>
      <c r="E763" s="9">
        <f>_xll.BDP($D763,E$40)</f>
        <v>298.83999999999997</v>
      </c>
      <c r="F763" s="9">
        <f>_xll.BDP($D763,F$40)</f>
        <v>296.83</v>
      </c>
      <c r="G763" s="9">
        <f>_xll.BDP($D763,G$40)</f>
        <v>296.83999999999997</v>
      </c>
      <c r="H763" s="9" t="str">
        <f>_xll.BDP($D763,H$40)</f>
        <v>#N/A Field Not Applicable</v>
      </c>
      <c r="L763" s="9">
        <f t="shared" si="77"/>
        <v>298.83999999999997</v>
      </c>
    </row>
    <row r="764" spans="1:12" s="9" customFormat="1" x14ac:dyDescent="0.2">
      <c r="A764" s="9" t="s">
        <v>16</v>
      </c>
      <c r="B764" s="9" t="str">
        <f t="shared" si="80"/>
        <v>HSIC</v>
      </c>
      <c r="C764" s="16" t="str">
        <f t="shared" si="81"/>
        <v>HSIC</v>
      </c>
      <c r="D764" s="9" t="s">
        <v>210</v>
      </c>
      <c r="E764" s="9">
        <f>_xll.BDP($D764,E$40)</f>
        <v>51.65</v>
      </c>
      <c r="F764" s="9">
        <f>_xll.BDP($D764,F$40)</f>
        <v>51.58</v>
      </c>
      <c r="G764" s="9">
        <f>_xll.BDP($D764,G$40)</f>
        <v>51.65</v>
      </c>
      <c r="H764" s="9" t="str">
        <f>_xll.BDP($D764,H$40)</f>
        <v>#N/A Field Not Applicable</v>
      </c>
      <c r="L764" s="9">
        <f t="shared" si="77"/>
        <v>51.65</v>
      </c>
    </row>
    <row r="765" spans="1:12" s="9" customFormat="1" x14ac:dyDescent="0.2">
      <c r="A765" s="9" t="s">
        <v>16</v>
      </c>
      <c r="B765" s="9" t="str">
        <f t="shared" si="80"/>
        <v>UNH</v>
      </c>
      <c r="C765" s="16" t="str">
        <f t="shared" si="81"/>
        <v>UNH</v>
      </c>
      <c r="D765" s="9" t="s">
        <v>362</v>
      </c>
      <c r="E765" s="9">
        <f>_xll.BDP($D765,E$40)</f>
        <v>225.04</v>
      </c>
      <c r="F765" s="9">
        <f>_xll.BDP($D765,F$40)</f>
        <v>224.97</v>
      </c>
      <c r="G765" s="9">
        <f>_xll.BDP($D765,G$40)</f>
        <v>224.98</v>
      </c>
      <c r="H765" s="9" t="str">
        <f>_xll.BDP($D765,H$40)</f>
        <v>#N/A Field Not Applicable</v>
      </c>
      <c r="L765" s="9">
        <f t="shared" si="77"/>
        <v>225.04</v>
      </c>
    </row>
    <row r="766" spans="1:12" s="9" customFormat="1" x14ac:dyDescent="0.2">
      <c r="A766" s="9" t="s">
        <v>16</v>
      </c>
      <c r="B766" s="9" t="str">
        <f t="shared" si="80"/>
        <v>CHDN</v>
      </c>
      <c r="C766" s="16" t="str">
        <f t="shared" si="81"/>
        <v>CHDN</v>
      </c>
      <c r="D766" s="9" t="s">
        <v>119</v>
      </c>
      <c r="E766" s="9">
        <f>_xll.BDP($D766,E$40)</f>
        <v>75.5</v>
      </c>
      <c r="F766" s="9">
        <f>_xll.BDP($D766,F$40)</f>
        <v>75.489999999999995</v>
      </c>
      <c r="G766" s="9">
        <f>_xll.BDP($D766,G$40)</f>
        <v>75.87</v>
      </c>
      <c r="H766" s="9" t="str">
        <f>_xll.BDP($D766,H$40)</f>
        <v>#N/A Field Not Applicable</v>
      </c>
      <c r="L766" s="9">
        <f t="shared" si="77"/>
        <v>75.5</v>
      </c>
    </row>
    <row r="767" spans="1:12" s="9" customFormat="1" x14ac:dyDescent="0.2">
      <c r="A767" s="9" t="s">
        <v>16</v>
      </c>
      <c r="B767" s="23" t="s">
        <v>715</v>
      </c>
      <c r="C767" s="17" t="s">
        <v>715</v>
      </c>
      <c r="D767" s="22" t="s">
        <v>716</v>
      </c>
      <c r="E767" s="21">
        <f>_xll.BDP($D767,E$40)</f>
        <v>91.89</v>
      </c>
      <c r="F767" s="9">
        <f>_xll.BDP($D767,F$40)</f>
        <v>90</v>
      </c>
      <c r="G767" s="9">
        <f>_xll.BDP($D767,G$40)</f>
        <v>92.84</v>
      </c>
      <c r="H767" s="9" t="str">
        <f>_xll.BDP($D767,H$40)</f>
        <v>#N/A Field Not Applicable</v>
      </c>
      <c r="L767" s="9">
        <f t="shared" si="77"/>
        <v>91.89</v>
      </c>
    </row>
    <row r="768" spans="1:12" s="9" customFormat="1" x14ac:dyDescent="0.2">
      <c r="A768" s="9" t="s">
        <v>16</v>
      </c>
      <c r="B768" s="9" t="str">
        <f t="shared" ref="B768:B773" si="82">LEFT(D768,FIND(" ",D768)-1)</f>
        <v>MMM</v>
      </c>
      <c r="C768" s="16" t="str">
        <f t="shared" ref="C768:C773" si="83">IF(A768="STOCK",B768,REPLACE(B768,FIND("+",B768),1,"."))</f>
        <v>MMM</v>
      </c>
      <c r="D768" s="9" t="s">
        <v>259</v>
      </c>
      <c r="E768" s="9">
        <f>_xll.BDP($D768,E$40)</f>
        <v>130.91</v>
      </c>
      <c r="F768" s="9">
        <f>_xll.BDP($D768,F$40)</f>
        <v>130.88999999999999</v>
      </c>
      <c r="G768" s="9">
        <f>_xll.BDP($D768,G$40)</f>
        <v>130.97999999999999</v>
      </c>
      <c r="H768" s="9" t="str">
        <f>_xll.BDP($D768,H$40)</f>
        <v>#N/A Field Not Applicable</v>
      </c>
      <c r="L768" s="9">
        <f t="shared" si="77"/>
        <v>130.91</v>
      </c>
    </row>
    <row r="769" spans="1:12" s="9" customFormat="1" x14ac:dyDescent="0.2">
      <c r="A769" s="9" t="s">
        <v>16</v>
      </c>
      <c r="B769" s="9" t="str">
        <f t="shared" si="82"/>
        <v>BIDU</v>
      </c>
      <c r="C769" s="16" t="str">
        <f t="shared" si="83"/>
        <v>BIDU</v>
      </c>
      <c r="D769" s="9" t="s">
        <v>95</v>
      </c>
      <c r="E769" s="9">
        <f>_xll.BDP($D769,E$40)</f>
        <v>89.68</v>
      </c>
      <c r="F769" s="9">
        <f>_xll.BDP($D769,F$40)</f>
        <v>89.69</v>
      </c>
      <c r="G769" s="9">
        <f>_xll.BDP($D769,G$40)</f>
        <v>89.75</v>
      </c>
      <c r="H769" s="9" t="str">
        <f>_xll.BDP($D769,H$40)</f>
        <v>#N/A Field Not Applicable</v>
      </c>
      <c r="L769" s="9">
        <f t="shared" si="77"/>
        <v>89.68</v>
      </c>
    </row>
    <row r="770" spans="1:12" s="9" customFormat="1" x14ac:dyDescent="0.2">
      <c r="A770" s="9" t="s">
        <v>16</v>
      </c>
      <c r="B770" s="9" t="str">
        <f t="shared" si="82"/>
        <v>ORLY</v>
      </c>
      <c r="C770" s="16" t="str">
        <f t="shared" si="83"/>
        <v>ORLY</v>
      </c>
      <c r="D770" s="9" t="s">
        <v>289</v>
      </c>
      <c r="E770" s="9">
        <f>_xll.BDP($D770,E$40)</f>
        <v>299.64999999999998</v>
      </c>
      <c r="F770" s="9">
        <f>_xll.BDP($D770,F$40)</f>
        <v>299.64</v>
      </c>
      <c r="G770" s="9">
        <f>_xll.BDP($D770,G$40)</f>
        <v>299.64999999999998</v>
      </c>
      <c r="H770" s="9" t="str">
        <f>_xll.BDP($D770,H$40)</f>
        <v>#N/A Field Not Applicable</v>
      </c>
      <c r="L770" s="9">
        <f t="shared" si="77"/>
        <v>299.64999999999998</v>
      </c>
    </row>
    <row r="771" spans="1:12" s="9" customFormat="1" x14ac:dyDescent="0.2">
      <c r="A771" s="9" t="s">
        <v>16</v>
      </c>
      <c r="B771" s="9" t="str">
        <f t="shared" si="82"/>
        <v>AYI</v>
      </c>
      <c r="C771" s="16" t="str">
        <f t="shared" si="83"/>
        <v>AYI</v>
      </c>
      <c r="D771" s="9" t="s">
        <v>531</v>
      </c>
      <c r="E771" s="9">
        <f>_xll.BDP($D771,E$40)</f>
        <v>84.32</v>
      </c>
      <c r="F771" s="9">
        <f>_xll.BDP($D771,F$40)</f>
        <v>84.31</v>
      </c>
      <c r="G771" s="9">
        <f>_xll.BDP($D771,G$40)</f>
        <v>84.32</v>
      </c>
      <c r="H771" s="9" t="str">
        <f>_xll.BDP($D771,H$40)</f>
        <v>#N/A Field Not Applicable</v>
      </c>
      <c r="L771" s="9">
        <f t="shared" si="77"/>
        <v>84.32</v>
      </c>
    </row>
    <row r="772" spans="1:12" s="9" customFormat="1" x14ac:dyDescent="0.2">
      <c r="A772" s="9" t="s">
        <v>16</v>
      </c>
      <c r="B772" s="9" t="str">
        <f t="shared" si="82"/>
        <v>MKTX</v>
      </c>
      <c r="C772" s="16" t="str">
        <f t="shared" si="83"/>
        <v>MKTX</v>
      </c>
      <c r="D772" s="9" t="s">
        <v>258</v>
      </c>
      <c r="E772" s="9">
        <f>_xll.BDP($D772,E$40)</f>
        <v>311.29000000000002</v>
      </c>
      <c r="F772" s="9">
        <f>_xll.BDP($D772,F$40)</f>
        <v>311.27999999999997</v>
      </c>
      <c r="G772" s="9">
        <f>_xll.BDP($D772,G$40)</f>
        <v>311.45999999999998</v>
      </c>
      <c r="H772" s="9" t="str">
        <f>_xll.BDP($D772,H$40)</f>
        <v>#N/A Field Not Applicable</v>
      </c>
      <c r="L772" s="9">
        <f t="shared" si="77"/>
        <v>311.29000000000002</v>
      </c>
    </row>
    <row r="773" spans="1:12" s="9" customFormat="1" x14ac:dyDescent="0.2">
      <c r="A773" s="9" t="s">
        <v>16</v>
      </c>
      <c r="B773" s="9" t="str">
        <f t="shared" si="82"/>
        <v>FDX</v>
      </c>
      <c r="C773" s="16" t="str">
        <f t="shared" si="83"/>
        <v>FDX</v>
      </c>
      <c r="D773" s="9" t="s">
        <v>440</v>
      </c>
      <c r="E773" s="9">
        <f>_xll.BDP($D773,E$40)</f>
        <v>90.49</v>
      </c>
      <c r="F773" s="9">
        <f>_xll.BDP($D773,F$40)</f>
        <v>90.49</v>
      </c>
      <c r="G773" s="9">
        <f>_xll.BDP($D773,G$40)</f>
        <v>90.5</v>
      </c>
      <c r="H773" s="9" t="str">
        <f>_xll.BDP($D773,H$40)</f>
        <v>#N/A Field Not Applicable</v>
      </c>
      <c r="L773" s="9">
        <f t="shared" si="77"/>
        <v>90.49</v>
      </c>
    </row>
    <row r="774" spans="1:12" s="9" customFormat="1" x14ac:dyDescent="0.2">
      <c r="A774" s="9" t="s">
        <v>16</v>
      </c>
      <c r="B774" s="23" t="s">
        <v>863</v>
      </c>
      <c r="C774" s="17" t="s">
        <v>863</v>
      </c>
      <c r="D774" s="22" t="s">
        <v>440</v>
      </c>
      <c r="E774" s="21">
        <f>_xll.BDP($D774,E$40)</f>
        <v>90.49</v>
      </c>
      <c r="F774" s="9">
        <f>_xll.BDP($D774,F$40)</f>
        <v>90.49</v>
      </c>
      <c r="G774" s="9">
        <f>_xll.BDP($D774,G$40)</f>
        <v>90.5</v>
      </c>
      <c r="H774" s="9" t="str">
        <f>_xll.BDP($D774,H$40)</f>
        <v>#N/A Field Not Applicable</v>
      </c>
      <c r="L774" s="9">
        <f t="shared" si="77"/>
        <v>90.49</v>
      </c>
    </row>
    <row r="775" spans="1:12" s="9" customFormat="1" x14ac:dyDescent="0.2">
      <c r="A775" s="9" t="s">
        <v>16</v>
      </c>
      <c r="B775" s="23" t="s">
        <v>891</v>
      </c>
      <c r="C775" s="17" t="s">
        <v>891</v>
      </c>
      <c r="D775" s="22" t="s">
        <v>892</v>
      </c>
      <c r="E775" s="21">
        <f>_xll.BDP($D775,E$40)</f>
        <v>253.87</v>
      </c>
      <c r="F775" s="9">
        <f>_xll.BDP($D775,F$40)</f>
        <v>253.83</v>
      </c>
      <c r="G775" s="9">
        <f>_xll.BDP($D775,G$40)</f>
        <v>253.88</v>
      </c>
      <c r="H775" s="9" t="str">
        <f>_xll.BDP($D775,H$40)</f>
        <v>#N/A Field Not Applicable</v>
      </c>
      <c r="L775" s="9">
        <f t="shared" si="77"/>
        <v>253.87</v>
      </c>
    </row>
    <row r="776" spans="1:12" s="9" customFormat="1" x14ac:dyDescent="0.2">
      <c r="A776" s="9" t="s">
        <v>16</v>
      </c>
      <c r="B776" s="9" t="str">
        <f>LEFT(D776,FIND(" ",D776)-1)</f>
        <v>GS</v>
      </c>
      <c r="C776" s="16" t="str">
        <f>IF(A776="STOCK",B776,REPLACE(B776,FIND("+",B776),1,"."))</f>
        <v>GS</v>
      </c>
      <c r="D776" s="9" t="s">
        <v>203</v>
      </c>
      <c r="E776" s="9">
        <f>_xll.BDP($D776,E$40)</f>
        <v>154.66</v>
      </c>
      <c r="F776" s="9">
        <f>_xll.BDP($D776,F$40)</f>
        <v>154.65</v>
      </c>
      <c r="G776" s="9">
        <f>_xll.BDP($D776,G$40)</f>
        <v>154.66</v>
      </c>
      <c r="H776" s="9" t="str">
        <f>_xll.BDP($D776,H$40)</f>
        <v>#N/A Field Not Applicable</v>
      </c>
      <c r="L776" s="9">
        <f t="shared" si="77"/>
        <v>154.66</v>
      </c>
    </row>
    <row r="777" spans="1:12" s="9" customFormat="1" x14ac:dyDescent="0.2">
      <c r="A777" s="9" t="s">
        <v>16</v>
      </c>
      <c r="B777" s="23" t="s">
        <v>943</v>
      </c>
      <c r="C777" s="17" t="s">
        <v>943</v>
      </c>
      <c r="D777" s="22" t="s">
        <v>944</v>
      </c>
      <c r="E777" s="21" t="str">
        <f>_xll.BDP($D777,E$40)</f>
        <v>#N/A N/A</v>
      </c>
      <c r="F777" s="9" t="str">
        <f>_xll.BDP($D777,F$40)</f>
        <v>#N/A N/A</v>
      </c>
      <c r="G777" s="9" t="str">
        <f>_xll.BDP($D777,G$40)</f>
        <v>#N/A N/A</v>
      </c>
      <c r="H777" s="9" t="str">
        <f>_xll.BDP($D777,H$40)</f>
        <v>#N/A Field Not Applicable</v>
      </c>
      <c r="L777" s="9" t="str">
        <f t="shared" si="77"/>
        <v>#N/A N/A</v>
      </c>
    </row>
    <row r="778" spans="1:12" s="9" customFormat="1" x14ac:dyDescent="0.2">
      <c r="A778" s="9" t="s">
        <v>16</v>
      </c>
      <c r="B778" s="23" t="s">
        <v>995</v>
      </c>
      <c r="C778" s="17" t="s">
        <v>995</v>
      </c>
      <c r="D778" s="22" t="s">
        <v>996</v>
      </c>
      <c r="E778" s="21">
        <f>_xll.BDP($D778,E$40)</f>
        <v>2.65</v>
      </c>
      <c r="F778" s="9">
        <f>_xll.BDP($D778,F$40)</f>
        <v>2.66</v>
      </c>
      <c r="G778" s="9">
        <f>_xll.BDP($D778,G$40)</f>
        <v>2.67</v>
      </c>
      <c r="H778" s="9" t="str">
        <f>_xll.BDP($D778,H$40)</f>
        <v>#N/A Field Not Applicable</v>
      </c>
      <c r="L778" s="9">
        <f t="shared" si="77"/>
        <v>2.65</v>
      </c>
    </row>
    <row r="779" spans="1:12" s="9" customFormat="1" x14ac:dyDescent="0.2">
      <c r="A779" s="9" t="s">
        <v>16</v>
      </c>
      <c r="B779" s="9" t="str">
        <f>LEFT(D779,FIND(" ",D779)-1)</f>
        <v>HUM</v>
      </c>
      <c r="C779" s="16" t="str">
        <f>IF(A779="STOCK",B779,REPLACE(B779,FIND("+",B779),1,"."))</f>
        <v>HUM</v>
      </c>
      <c r="D779" s="9" t="s">
        <v>392</v>
      </c>
      <c r="E779" s="9">
        <f>_xll.BDP($D779,E$40)</f>
        <v>270.20999999999998</v>
      </c>
      <c r="F779" s="9">
        <f>_xll.BDP($D779,F$40)</f>
        <v>270.2</v>
      </c>
      <c r="G779" s="9">
        <f>_xll.BDP($D779,G$40)</f>
        <v>270.20999999999998</v>
      </c>
      <c r="H779" s="9" t="str">
        <f>_xll.BDP($D779,H$40)</f>
        <v>#N/A Field Not Applicable</v>
      </c>
      <c r="L779" s="9">
        <f t="shared" si="77"/>
        <v>270.20999999999998</v>
      </c>
    </row>
    <row r="780" spans="1:12" s="9" customFormat="1" x14ac:dyDescent="0.2">
      <c r="A780" s="9" t="s">
        <v>16</v>
      </c>
      <c r="B780" s="9" t="str">
        <f>LEFT(D780,FIND(" ",D780)-1)</f>
        <v>ADS</v>
      </c>
      <c r="C780" s="16" t="str">
        <f>IF(A780="STOCK",B780,REPLACE(B780,FIND("+",B780),1,"."))</f>
        <v>ADS</v>
      </c>
      <c r="D780" s="9" t="s">
        <v>54</v>
      </c>
      <c r="E780" s="9">
        <f>_xll.BDP($D780,E$40)</f>
        <v>36.11</v>
      </c>
      <c r="F780" s="9">
        <f>_xll.BDP($D780,F$40)</f>
        <v>36.1</v>
      </c>
      <c r="G780" s="9">
        <f>_xll.BDP($D780,G$40)</f>
        <v>36.11</v>
      </c>
      <c r="H780" s="9" t="str">
        <f>_xll.BDP($D780,H$40)</f>
        <v>#N/A Field Not Applicable</v>
      </c>
      <c r="L780" s="9">
        <f t="shared" si="77"/>
        <v>36.11</v>
      </c>
    </row>
    <row r="781" spans="1:12" s="9" customFormat="1" x14ac:dyDescent="0.2">
      <c r="A781" s="9" t="s">
        <v>16</v>
      </c>
      <c r="B781" s="9" t="s">
        <v>658</v>
      </c>
      <c r="C781" s="16" t="s">
        <v>658</v>
      </c>
      <c r="D781" s="9" t="s">
        <v>659</v>
      </c>
      <c r="E781" s="9">
        <f>_xll.BDP($D781,E$40)</f>
        <v>587.58000000000004</v>
      </c>
      <c r="F781" s="9">
        <f>_xll.BDP($D781,F$40)</f>
        <v>586.04999999999995</v>
      </c>
      <c r="G781" s="9">
        <f>_xll.BDP($D781,G$40)</f>
        <v>587.58000000000004</v>
      </c>
      <c r="H781" s="9" t="str">
        <f>_xll.BDP($D781,H$40)</f>
        <v>#N/A Field Not Applicable</v>
      </c>
      <c r="L781" s="9">
        <f t="shared" si="77"/>
        <v>587.58000000000004</v>
      </c>
    </row>
    <row r="782" spans="1:12" s="9" customFormat="1" x14ac:dyDescent="0.2">
      <c r="A782" s="9" t="s">
        <v>16</v>
      </c>
      <c r="B782" s="9" t="str">
        <f>LEFT(D782,FIND(" ",D782)-1)</f>
        <v>SHW</v>
      </c>
      <c r="C782" s="16" t="str">
        <f>IF(A782="STOCK",B782,REPLACE(B782,FIND("+",B782),1,"."))</f>
        <v>SHW</v>
      </c>
      <c r="D782" s="9" t="s">
        <v>427</v>
      </c>
      <c r="E782" s="9">
        <f>_xll.BDP($D782,E$40)</f>
        <v>406.07</v>
      </c>
      <c r="F782" s="9">
        <f>_xll.BDP($D782,F$40)</f>
        <v>406.07</v>
      </c>
      <c r="G782" s="9">
        <f>_xll.BDP($D782,G$40)</f>
        <v>406.08</v>
      </c>
      <c r="H782" s="9" t="str">
        <f>_xll.BDP($D782,H$40)</f>
        <v>#N/A Field Not Applicable</v>
      </c>
      <c r="L782" s="9">
        <f t="shared" si="77"/>
        <v>406.07</v>
      </c>
    </row>
    <row r="783" spans="1:12" s="9" customFormat="1" x14ac:dyDescent="0.2">
      <c r="A783" s="9" t="s">
        <v>16</v>
      </c>
      <c r="B783" s="23" t="s">
        <v>807</v>
      </c>
      <c r="C783" s="17" t="s">
        <v>807</v>
      </c>
      <c r="D783" s="22" t="s">
        <v>808</v>
      </c>
      <c r="E783" s="21">
        <f>_xll.BDP($D783,E$40)</f>
        <v>357.28</v>
      </c>
      <c r="F783" s="9">
        <f>_xll.BDP($D783,F$40)</f>
        <v>357.27</v>
      </c>
      <c r="G783" s="9">
        <f>_xll.BDP($D783,G$40)</f>
        <v>357.28</v>
      </c>
      <c r="H783" s="9" t="str">
        <f>_xll.BDP($D783,H$40)</f>
        <v>#N/A Field Not Applicable</v>
      </c>
      <c r="L783" s="9">
        <f t="shared" si="77"/>
        <v>357.28</v>
      </c>
    </row>
    <row r="784" spans="1:12" s="9" customFormat="1" x14ac:dyDescent="0.2">
      <c r="A784" s="9" t="s">
        <v>16</v>
      </c>
      <c r="B784" s="23" t="s">
        <v>885</v>
      </c>
      <c r="C784" s="17" t="s">
        <v>887</v>
      </c>
      <c r="D784" s="22" t="s">
        <v>886</v>
      </c>
      <c r="E784" s="21">
        <f>_xll.BDP($D784,E$40)</f>
        <v>168.9</v>
      </c>
      <c r="F784" s="9">
        <f>_xll.BDP($D784,F$40)</f>
        <v>168.7</v>
      </c>
      <c r="G784" s="9">
        <f>_xll.BDP($D784,G$40)</f>
        <v>168.9</v>
      </c>
      <c r="H784" s="9" t="str">
        <f>_xll.BDP($D784,H$40)</f>
        <v>#N/A Field Not Applicable</v>
      </c>
      <c r="L784" s="9">
        <f t="shared" si="77"/>
        <v>168.9</v>
      </c>
    </row>
    <row r="785" spans="1:12" s="9" customFormat="1" x14ac:dyDescent="0.2">
      <c r="A785" s="9" t="s">
        <v>16</v>
      </c>
      <c r="B785" s="9" t="str">
        <f>LEFT(D785,FIND(" ",D785)-1)</f>
        <v>EQIX</v>
      </c>
      <c r="C785" s="16" t="s">
        <v>171</v>
      </c>
      <c r="D785" s="9" t="s">
        <v>172</v>
      </c>
      <c r="E785" s="9">
        <f>_xll.BDP($D785,E$40)</f>
        <v>542.42999999999995</v>
      </c>
      <c r="F785" s="9">
        <f>_xll.BDP($D785,F$40)</f>
        <v>542.42999999999995</v>
      </c>
      <c r="G785" s="9">
        <f>_xll.BDP($D785,G$40)</f>
        <v>543.23</v>
      </c>
      <c r="H785" s="9" t="str">
        <f>_xll.BDP($D785,H$40)</f>
        <v>#N/A Field Not Applicable</v>
      </c>
      <c r="L785" s="9">
        <f t="shared" si="77"/>
        <v>542.42999999999995</v>
      </c>
    </row>
    <row r="786" spans="1:12" s="9" customFormat="1" x14ac:dyDescent="0.2">
      <c r="A786" s="9" t="s">
        <v>16</v>
      </c>
      <c r="B786" s="9" t="str">
        <f>LEFT(D786,FIND(" ",D786)-1)</f>
        <v>NEU</v>
      </c>
      <c r="C786" s="16" t="str">
        <f>IF(A786="STOCK",B786,REPLACE(B786,FIND("+",B786),1,"."))</f>
        <v>NEU</v>
      </c>
      <c r="D786" s="9" t="s">
        <v>274</v>
      </c>
      <c r="E786" s="9">
        <f>_xll.BDP($D786,E$40)</f>
        <v>372.24</v>
      </c>
      <c r="F786" s="9">
        <f>_xll.BDP($D786,F$40)</f>
        <v>372.24</v>
      </c>
      <c r="G786" s="9">
        <f>_xll.BDP($D786,G$40)</f>
        <v>372.64</v>
      </c>
      <c r="H786" s="9" t="str">
        <f>_xll.BDP($D786,H$40)</f>
        <v>#N/A Field Not Applicable</v>
      </c>
      <c r="L786" s="9">
        <f t="shared" si="77"/>
        <v>372.24</v>
      </c>
    </row>
    <row r="787" spans="1:12" s="9" customFormat="1" x14ac:dyDescent="0.2">
      <c r="A787" s="9" t="s">
        <v>16</v>
      </c>
      <c r="B787" s="23" t="s">
        <v>889</v>
      </c>
      <c r="C787" s="17" t="s">
        <v>889</v>
      </c>
      <c r="D787" s="22" t="s">
        <v>890</v>
      </c>
      <c r="E787" s="21">
        <f>_xll.BDP($D787,E$40)</f>
        <v>851.33</v>
      </c>
      <c r="F787" s="9">
        <f>_xll.BDP($D787,F$40)</f>
        <v>851.33</v>
      </c>
      <c r="G787" s="9">
        <f>_xll.BDP($D787,G$40)</f>
        <v>851.57</v>
      </c>
      <c r="H787" s="9" t="str">
        <f>_xll.BDP($D787,H$40)</f>
        <v>#N/A Field Not Applicable</v>
      </c>
      <c r="L787" s="9">
        <f t="shared" si="77"/>
        <v>851.33</v>
      </c>
    </row>
    <row r="788" spans="1:12" s="9" customFormat="1" x14ac:dyDescent="0.2">
      <c r="A788" s="9" t="s">
        <v>16</v>
      </c>
      <c r="B788" s="9" t="str">
        <f>LEFT(D788,FIND(" ",D788)-1)</f>
        <v>GOOG</v>
      </c>
      <c r="C788" s="16" t="str">
        <f>IF(A788="STOCK",B788,REPLACE(B788,FIND("+",B788),1,"."))</f>
        <v>GOOG</v>
      </c>
      <c r="D788" s="9" t="s">
        <v>200</v>
      </c>
      <c r="E788" s="9">
        <f>_xll.BDP($D788,E$40)</f>
        <v>1084.33</v>
      </c>
      <c r="F788" s="9">
        <f>_xll.BDP($D788,F$40)</f>
        <v>1079.5999999999999</v>
      </c>
      <c r="G788" s="9">
        <f>_xll.BDP($D788,G$40)</f>
        <v>1085</v>
      </c>
      <c r="H788" s="9" t="str">
        <f>_xll.BDP($D788,H$40)</f>
        <v>#N/A Field Not Applicable</v>
      </c>
      <c r="L788" s="9">
        <f t="shared" si="77"/>
        <v>1084.33</v>
      </c>
    </row>
    <row r="789" spans="1:12" s="9" customFormat="1" x14ac:dyDescent="0.2">
      <c r="A789" s="9" t="s">
        <v>16</v>
      </c>
      <c r="B789" s="23" t="s">
        <v>1001</v>
      </c>
      <c r="C789" s="17" t="s">
        <v>1001</v>
      </c>
      <c r="D789" s="22" t="s">
        <v>1002</v>
      </c>
      <c r="E789" s="21">
        <f>_xll.BDP($D789,E$40)</f>
        <v>9.94</v>
      </c>
      <c r="F789" s="9">
        <f>_xll.BDP($D789,F$40)</f>
        <v>9.8800000000000008</v>
      </c>
      <c r="G789" s="9">
        <f>_xll.BDP($D789,G$40)</f>
        <v>9.94</v>
      </c>
      <c r="H789" s="9" t="str">
        <f>_xll.BDP($D789,H$40)</f>
        <v>#N/A Field Not Applicable</v>
      </c>
      <c r="L789" s="9">
        <f t="shared" si="77"/>
        <v>9.94</v>
      </c>
    </row>
    <row r="790" spans="1:12" s="9" customFormat="1" x14ac:dyDescent="0.2">
      <c r="A790" s="9" t="s">
        <v>16</v>
      </c>
      <c r="B790" s="9" t="str">
        <f>LEFT(D790,FIND(" ",D790)-1)</f>
        <v>EIGI</v>
      </c>
      <c r="C790" s="16" t="str">
        <f>IF(A790="STOCK",B790,REPLACE(B790,FIND("+",B790),1,"."))</f>
        <v>EIGI</v>
      </c>
      <c r="D790" s="4" t="s">
        <v>994</v>
      </c>
      <c r="E790" s="9">
        <f>_xll.BDP($D790,E$40)</f>
        <v>1.66</v>
      </c>
      <c r="F790" s="9">
        <f>_xll.BDP($D790,F$40)</f>
        <v>1.65</v>
      </c>
      <c r="G790" s="9">
        <f>_xll.BDP($D790,G$40)</f>
        <v>1.66</v>
      </c>
      <c r="H790" s="9" t="str">
        <f>_xll.BDP($D790,H$40)</f>
        <v>#N/A Field Not Applicable</v>
      </c>
      <c r="L790" s="9">
        <f t="shared" si="77"/>
        <v>1.66</v>
      </c>
    </row>
    <row r="791" spans="1:12" s="9" customFormat="1" x14ac:dyDescent="0.2">
      <c r="A791" s="9" t="s">
        <v>16</v>
      </c>
      <c r="B791" s="23" t="s">
        <v>819</v>
      </c>
      <c r="C791" s="17" t="s">
        <v>819</v>
      </c>
      <c r="D791" s="22" t="s">
        <v>820</v>
      </c>
      <c r="E791" s="21">
        <f>_xll.BDP($D791,E$40)</f>
        <v>1073</v>
      </c>
      <c r="F791" s="9">
        <f>_xll.BDP($D791,F$40)</f>
        <v>1072.3399999999999</v>
      </c>
      <c r="G791" s="9">
        <f>_xll.BDP($D791,G$40)</f>
        <v>1073.01</v>
      </c>
      <c r="H791" s="9" t="str">
        <f>_xll.BDP($D791,H$40)</f>
        <v>#N/A Field Not Applicable</v>
      </c>
      <c r="L791" s="9">
        <f t="shared" si="77"/>
        <v>1073</v>
      </c>
    </row>
    <row r="792" spans="1:12" s="9" customFormat="1" x14ac:dyDescent="0.2">
      <c r="A792" s="9" t="s">
        <v>16</v>
      </c>
      <c r="B792" s="23" t="s">
        <v>999</v>
      </c>
      <c r="C792" s="17" t="s">
        <v>999</v>
      </c>
      <c r="D792" s="22" t="s">
        <v>1000</v>
      </c>
      <c r="E792" s="21">
        <f>_xll.BDP($D792,E$40)</f>
        <v>7.96</v>
      </c>
      <c r="F792" s="9">
        <f>_xll.BDP($D792,F$40)</f>
        <v>7.95</v>
      </c>
      <c r="G792" s="9">
        <f>_xll.BDP($D792,G$40)</f>
        <v>7.96</v>
      </c>
      <c r="H792" s="9" t="str">
        <f>_xll.BDP($D792,H$40)</f>
        <v>#N/A Field Not Applicable</v>
      </c>
      <c r="L792" s="9">
        <f t="shared" ref="L792:L851" si="84">IF(A792="STOCK",E792,IF(A792="SOPTION",G792,IF(A792="LOPTION",F792,"")))</f>
        <v>7.96</v>
      </c>
    </row>
    <row r="793" spans="1:12" s="9" customFormat="1" x14ac:dyDescent="0.2">
      <c r="A793" s="9" t="s">
        <v>16</v>
      </c>
      <c r="B793" s="9" t="str">
        <f>LEFT(D793,FIND(" ",D793)-1)</f>
        <v>AMZN</v>
      </c>
      <c r="C793" s="16" t="str">
        <f t="shared" ref="C793:C798" si="85">IF(A793="STOCK",B793,REPLACE(B793,FIND("+",B793),1,"."))</f>
        <v>AMZN</v>
      </c>
      <c r="D793" s="9" t="s">
        <v>69</v>
      </c>
      <c r="E793" s="9">
        <f>_xll.BDP($D793,E$40)</f>
        <v>1689.15</v>
      </c>
      <c r="F793" s="9">
        <f>_xll.BDP($D793,F$40)</f>
        <v>1687.68</v>
      </c>
      <c r="G793" s="9">
        <f>_xll.BDP($D793,G$40)</f>
        <v>1689.15</v>
      </c>
      <c r="H793" s="9" t="str">
        <f>_xll.BDP($D793,H$40)</f>
        <v>#N/A Field Not Applicable</v>
      </c>
      <c r="L793" s="9">
        <f t="shared" si="84"/>
        <v>1689.15</v>
      </c>
    </row>
    <row r="794" spans="1:12" s="9" customFormat="1" x14ac:dyDescent="0.2">
      <c r="A794" s="9" t="s">
        <v>16</v>
      </c>
      <c r="B794" s="9" t="str">
        <f>LEFT(D794,FIND(" ",D794)-1)</f>
        <v>RTY</v>
      </c>
      <c r="C794" s="16" t="str">
        <f t="shared" si="85"/>
        <v>RTY</v>
      </c>
      <c r="D794" s="8" t="s">
        <v>317</v>
      </c>
      <c r="E794" s="9">
        <f>_xll.BDP($D794,E$40)</f>
        <v>1037.415</v>
      </c>
      <c r="F794" s="9" t="str">
        <f>_xll.BDP($D794,F$40)</f>
        <v>#N/A N/A</v>
      </c>
      <c r="G794" s="9" t="str">
        <f>_xll.BDP($D794,G$40)</f>
        <v>#N/A N/A</v>
      </c>
      <c r="H794" s="9" t="str">
        <f>_xll.BDP($D794,H$40)</f>
        <v>#N/A Field Not Applicable</v>
      </c>
      <c r="L794" s="9">
        <f t="shared" si="84"/>
        <v>1037.415</v>
      </c>
    </row>
    <row r="795" spans="1:12" s="9" customFormat="1" x14ac:dyDescent="0.2">
      <c r="A795" s="9" t="s">
        <v>16</v>
      </c>
      <c r="B795" s="9" t="str">
        <f>LEFT(D795,FIND(" ",D795)-1)</f>
        <v>BKNG</v>
      </c>
      <c r="C795" s="16" t="str">
        <f t="shared" si="85"/>
        <v>BKNG</v>
      </c>
      <c r="D795" s="4" t="s">
        <v>1046</v>
      </c>
      <c r="E795" s="9">
        <f>_xll.BDP($D795,E$40)</f>
        <v>1289.67</v>
      </c>
      <c r="F795" s="9">
        <f>_xll.BDP($D795,F$40)</f>
        <v>1288.31</v>
      </c>
      <c r="G795" s="9">
        <f>_xll.BDP($D795,G$40)</f>
        <v>1289.67</v>
      </c>
      <c r="H795" s="9" t="str">
        <f>_xll.BDP($D795,H$40)</f>
        <v>#N/A Field Not Applicable</v>
      </c>
      <c r="L795" s="9">
        <f t="shared" si="84"/>
        <v>1289.67</v>
      </c>
    </row>
    <row r="796" spans="1:12" s="9" customFormat="1" x14ac:dyDescent="0.2">
      <c r="A796" s="9" t="s">
        <v>16</v>
      </c>
      <c r="B796" s="9" t="str">
        <f>LEFT(D796,FIND(" ",D796)-1)</f>
        <v>SPX</v>
      </c>
      <c r="C796" s="16" t="str">
        <f t="shared" si="85"/>
        <v>SPX</v>
      </c>
      <c r="D796" s="9" t="s">
        <v>335</v>
      </c>
      <c r="E796" s="9">
        <f>_xll.BDP($D796,E$40)</f>
        <v>2386.13</v>
      </c>
      <c r="F796" s="9">
        <f>_xll.BDP($D796,F$40)</f>
        <v>2340.0700000000002</v>
      </c>
      <c r="G796" s="9">
        <f>_xll.BDP($D796,G$40)</f>
        <v>2824.02</v>
      </c>
      <c r="H796" s="9" t="str">
        <f>_xll.BDP($D796,H$40)</f>
        <v>#N/A Field Not Applicable</v>
      </c>
      <c r="L796" s="9">
        <f t="shared" si="84"/>
        <v>2386.13</v>
      </c>
    </row>
    <row r="797" spans="1:12" s="9" customFormat="1" x14ac:dyDescent="0.2">
      <c r="A797" s="9" t="s">
        <v>16</v>
      </c>
      <c r="B797" s="9" t="str">
        <f>LEFT(D797,FIND(" ",D797)-1)</f>
        <v>CCMP</v>
      </c>
      <c r="C797" s="16" t="str">
        <f t="shared" si="85"/>
        <v>CCMP</v>
      </c>
      <c r="D797" s="5" t="s">
        <v>110</v>
      </c>
      <c r="E797" s="9">
        <f>_xll.BDP($D797,E$40)</f>
        <v>6904.5919999999996</v>
      </c>
      <c r="F797" s="9" t="str">
        <f>_xll.BDP($D797,F$40)</f>
        <v>#N/A N/A</v>
      </c>
      <c r="G797" s="9" t="str">
        <f>_xll.BDP($D797,G$40)</f>
        <v>#N/A N/A</v>
      </c>
      <c r="H797" s="9" t="str">
        <f>_xll.BDP($D797,H$40)</f>
        <v>#N/A Field Not Applicable</v>
      </c>
      <c r="L797" s="9">
        <f t="shared" si="84"/>
        <v>6904.5919999999996</v>
      </c>
    </row>
    <row r="798" spans="1:12" s="9" customFormat="1" x14ac:dyDescent="0.2">
      <c r="A798" s="9" t="s">
        <v>16</v>
      </c>
      <c r="B798" s="22" t="s">
        <v>997</v>
      </c>
      <c r="C798" s="16" t="str">
        <f t="shared" si="85"/>
        <v>ACQ.CN</v>
      </c>
      <c r="D798" s="23" t="s">
        <v>998</v>
      </c>
      <c r="E798" s="9">
        <f>_xll.BDP($D798,E$40)</f>
        <v>6.87</v>
      </c>
      <c r="F798" s="9">
        <f>_xll.BDP($D798,F$40)</f>
        <v>7.63</v>
      </c>
      <c r="G798" s="9">
        <f>_xll.BDP($D798,G$40)</f>
        <v>6.88</v>
      </c>
      <c r="H798" s="9" t="str">
        <f>_xll.BDP($D798,H$40)</f>
        <v>#N/A Field Not Applicable</v>
      </c>
      <c r="L798" s="9">
        <f t="shared" si="84"/>
        <v>6.87</v>
      </c>
    </row>
    <row r="799" spans="1:12" s="9" customFormat="1" x14ac:dyDescent="0.2">
      <c r="A799" s="9" t="s">
        <v>16</v>
      </c>
      <c r="B799" s="22" t="s">
        <v>1003</v>
      </c>
      <c r="C799" s="17" t="s">
        <v>1003</v>
      </c>
      <c r="D799" s="23" t="s">
        <v>85</v>
      </c>
      <c r="E799" s="9">
        <f>_xll.BDP($D799,E$40)</f>
        <v>20.440000000000001</v>
      </c>
      <c r="F799" s="9">
        <f>_xll.BDP($D799,F$40)</f>
        <v>20.43</v>
      </c>
      <c r="G799" s="9">
        <f>_xll.BDP($D799,G$40)</f>
        <v>20.440000000000001</v>
      </c>
      <c r="H799" s="9" t="str">
        <f>_xll.BDP($D799,H$40)</f>
        <v>#N/A Field Not Applicable</v>
      </c>
      <c r="L799" s="9">
        <f t="shared" si="84"/>
        <v>20.440000000000001</v>
      </c>
    </row>
    <row r="800" spans="1:12" s="9" customFormat="1" x14ac:dyDescent="0.2">
      <c r="A800" s="9" t="s">
        <v>16</v>
      </c>
      <c r="B800" s="22" t="s">
        <v>1004</v>
      </c>
      <c r="C800" s="17" t="s">
        <v>1004</v>
      </c>
      <c r="D800" s="23" t="s">
        <v>1005</v>
      </c>
      <c r="E800" s="9">
        <f>_xll.BDP($D800,E$40)</f>
        <v>6.72</v>
      </c>
      <c r="F800" s="9">
        <f>_xll.BDP($D800,F$40)</f>
        <v>6.71</v>
      </c>
      <c r="G800" s="9">
        <f>_xll.BDP($D800,G$40)</f>
        <v>6.72</v>
      </c>
      <c r="H800" s="9" t="str">
        <f>_xll.BDP($D800,H$40)</f>
        <v>#N/A Field Not Applicable</v>
      </c>
      <c r="L800" s="9">
        <f t="shared" si="84"/>
        <v>6.72</v>
      </c>
    </row>
    <row r="801" spans="1:12" s="9" customFormat="1" x14ac:dyDescent="0.2">
      <c r="A801" s="9" t="s">
        <v>16</v>
      </c>
      <c r="B801" s="22" t="s">
        <v>1006</v>
      </c>
      <c r="C801" s="17" t="s">
        <v>1006</v>
      </c>
      <c r="D801" s="23" t="s">
        <v>1007</v>
      </c>
      <c r="E801" s="9">
        <f>_xll.BDP($D801,E$40)</f>
        <v>1.96</v>
      </c>
      <c r="F801" s="9">
        <f>_xll.BDP($D801,F$40)</f>
        <v>1.95</v>
      </c>
      <c r="G801" s="9">
        <f>_xll.BDP($D801,G$40)</f>
        <v>1.96</v>
      </c>
      <c r="H801" s="9" t="str">
        <f>_xll.BDP($D801,H$40)</f>
        <v>#N/A Field Not Applicable</v>
      </c>
      <c r="L801" s="9">
        <f t="shared" si="84"/>
        <v>1.96</v>
      </c>
    </row>
    <row r="802" spans="1:12" s="9" customFormat="1" x14ac:dyDescent="0.2">
      <c r="A802" s="9" t="s">
        <v>16</v>
      </c>
      <c r="B802" s="22" t="s">
        <v>1008</v>
      </c>
      <c r="C802" s="17" t="s">
        <v>1008</v>
      </c>
      <c r="D802" s="23" t="s">
        <v>1009</v>
      </c>
      <c r="E802" s="9">
        <f>_xll.BDP($D802,E$40)</f>
        <v>17.45</v>
      </c>
      <c r="F802" s="9">
        <f>_xll.BDP($D802,F$40)</f>
        <v>17.440000000000001</v>
      </c>
      <c r="G802" s="9">
        <f>_xll.BDP($D802,G$40)</f>
        <v>17.48</v>
      </c>
      <c r="H802" s="9" t="str">
        <f>_xll.BDP($D802,H$40)</f>
        <v>#N/A Field Not Applicable</v>
      </c>
      <c r="L802" s="9">
        <f t="shared" si="84"/>
        <v>17.45</v>
      </c>
    </row>
    <row r="803" spans="1:12" s="9" customFormat="1" x14ac:dyDescent="0.2">
      <c r="A803" s="9" t="s">
        <v>16</v>
      </c>
      <c r="B803" s="22" t="s">
        <v>1010</v>
      </c>
      <c r="C803" s="17" t="s">
        <v>1010</v>
      </c>
      <c r="D803" s="23" t="s">
        <v>546</v>
      </c>
      <c r="E803" s="9">
        <f>_xll.BDP($D803,E$40)</f>
        <v>6.08</v>
      </c>
      <c r="F803" s="9">
        <f>_xll.BDP($D803,F$40)</f>
        <v>6.06</v>
      </c>
      <c r="G803" s="9">
        <f>_xll.BDP($D803,G$40)</f>
        <v>6.07</v>
      </c>
      <c r="H803" s="9" t="str">
        <f>_xll.BDP($D803,H$40)</f>
        <v>#N/A Field Not Applicable</v>
      </c>
      <c r="L803" s="9">
        <f t="shared" si="84"/>
        <v>6.08</v>
      </c>
    </row>
    <row r="804" spans="1:12" s="9" customFormat="1" x14ac:dyDescent="0.2">
      <c r="A804" s="9" t="s">
        <v>16</v>
      </c>
      <c r="B804" s="22" t="s">
        <v>1011</v>
      </c>
      <c r="C804" s="17" t="s">
        <v>1011</v>
      </c>
      <c r="D804" s="23" t="s">
        <v>1013</v>
      </c>
      <c r="E804" s="9">
        <f>_xll.BDP($D804,E$40)</f>
        <v>13.35</v>
      </c>
      <c r="F804" s="9">
        <f>_xll.BDP($D804,F$40)</f>
        <v>13.35</v>
      </c>
      <c r="G804" s="9">
        <f>_xll.BDP($D804,G$40)</f>
        <v>13.36</v>
      </c>
      <c r="H804" s="9" t="str">
        <f>_xll.BDP($D804,H$40)</f>
        <v>#N/A Field Not Applicable</v>
      </c>
      <c r="L804" s="9">
        <f t="shared" si="84"/>
        <v>13.35</v>
      </c>
    </row>
    <row r="805" spans="1:12" s="9" customFormat="1" x14ac:dyDescent="0.2">
      <c r="A805" s="9" t="s">
        <v>16</v>
      </c>
      <c r="B805" s="22" t="s">
        <v>1017</v>
      </c>
      <c r="C805" s="17" t="s">
        <v>1017</v>
      </c>
      <c r="D805" s="23" t="s">
        <v>1018</v>
      </c>
      <c r="E805" s="9">
        <f>_xll.BDP($D805,E$40)</f>
        <v>235.65</v>
      </c>
      <c r="F805" s="9">
        <f>_xll.BDP($D805,F$40)</f>
        <v>235.64</v>
      </c>
      <c r="G805" s="9">
        <f>_xll.BDP($D805,G$40)</f>
        <v>235.65</v>
      </c>
      <c r="H805" s="9" t="str">
        <f>_xll.BDP($D805,H$40)</f>
        <v>#N/A Field Not Applicable</v>
      </c>
      <c r="L805" s="9">
        <f t="shared" si="84"/>
        <v>235.65</v>
      </c>
    </row>
    <row r="806" spans="1:12" s="9" customFormat="1" x14ac:dyDescent="0.2">
      <c r="A806" s="9" t="s">
        <v>16</v>
      </c>
      <c r="B806" s="22" t="s">
        <v>1014</v>
      </c>
      <c r="C806" s="17" t="s">
        <v>1015</v>
      </c>
      <c r="D806" s="23" t="s">
        <v>1016</v>
      </c>
      <c r="E806" s="9">
        <f>_xll.BDP($D806,E$40)</f>
        <v>2.8</v>
      </c>
      <c r="F806" s="9">
        <f>_xll.BDP($D806,F$40)</f>
        <v>2.79</v>
      </c>
      <c r="G806" s="9">
        <f>_xll.BDP($D806,G$40)</f>
        <v>2.8</v>
      </c>
      <c r="H806" s="9" t="str">
        <f>_xll.BDP($D806,H$40)</f>
        <v>#N/A Field Not Applicable</v>
      </c>
      <c r="L806" s="9">
        <f t="shared" si="84"/>
        <v>2.8</v>
      </c>
    </row>
    <row r="807" spans="1:12" s="9" customFormat="1" x14ac:dyDescent="0.2">
      <c r="A807" s="9" t="s">
        <v>16</v>
      </c>
      <c r="B807" s="22" t="s">
        <v>1019</v>
      </c>
      <c r="C807" s="17" t="s">
        <v>1019</v>
      </c>
      <c r="D807" s="23" t="s">
        <v>1020</v>
      </c>
      <c r="E807" s="9">
        <f>_xll.BDP($D807,E$40)</f>
        <v>55.38</v>
      </c>
      <c r="F807" s="9">
        <f>_xll.BDP($D807,F$40)</f>
        <v>55.3</v>
      </c>
      <c r="G807" s="9">
        <f>_xll.BDP($D807,G$40)</f>
        <v>55.66</v>
      </c>
      <c r="H807" s="9" t="str">
        <f>_xll.BDP($D807,H$40)</f>
        <v>#N/A Field Not Applicable</v>
      </c>
      <c r="L807" s="9">
        <f t="shared" si="84"/>
        <v>55.38</v>
      </c>
    </row>
    <row r="808" spans="1:12" s="9" customFormat="1" x14ac:dyDescent="0.2">
      <c r="A808" s="9" t="s">
        <v>16</v>
      </c>
      <c r="B808" s="22" t="s">
        <v>1022</v>
      </c>
      <c r="C808" s="17" t="s">
        <v>1022</v>
      </c>
      <c r="D808" s="23" t="s">
        <v>1023</v>
      </c>
      <c r="E808" s="9">
        <f>_xll.BDP($D808,E$40)</f>
        <v>704</v>
      </c>
      <c r="F808" s="9">
        <f>_xll.BDP($D808,F$40)</f>
        <v>700</v>
      </c>
      <c r="G808" s="9">
        <f>_xll.BDP($D808,G$40)</f>
        <v>705</v>
      </c>
      <c r="H808" s="9" t="str">
        <f>_xll.BDP($D808,H$40)</f>
        <v>#N/A Field Not Applicable</v>
      </c>
    </row>
    <row r="809" spans="1:12" s="9" customFormat="1" x14ac:dyDescent="0.2">
      <c r="A809" s="9" t="s">
        <v>16</v>
      </c>
      <c r="B809" s="22" t="s">
        <v>1024</v>
      </c>
      <c r="C809" s="17" t="s">
        <v>1024</v>
      </c>
      <c r="D809" s="23" t="s">
        <v>1025</v>
      </c>
      <c r="E809" s="9">
        <f>_xll.BDP($D809,E$40)</f>
        <v>4.03</v>
      </c>
      <c r="F809" s="9">
        <f>_xll.BDP($D809,F$40)</f>
        <v>4.0199999999999996</v>
      </c>
      <c r="G809" s="9">
        <f>_xll.BDP($D809,G$40)</f>
        <v>4.03</v>
      </c>
      <c r="H809" s="9" t="str">
        <f>_xll.BDP($D809,H$40)</f>
        <v>#N/A Field Not Applicable</v>
      </c>
    </row>
    <row r="810" spans="1:12" s="9" customFormat="1" x14ac:dyDescent="0.2">
      <c r="A810" s="9" t="s">
        <v>16</v>
      </c>
      <c r="B810" s="23" t="s">
        <v>1026</v>
      </c>
      <c r="C810" s="17" t="s">
        <v>1028</v>
      </c>
      <c r="D810" s="22" t="s">
        <v>1027</v>
      </c>
      <c r="E810" s="21">
        <f>_xll.BDP($D810,E$40)</f>
        <v>65.94</v>
      </c>
      <c r="F810" s="9">
        <f>_xll.BDP($D810,F$40)</f>
        <v>65.900000000000006</v>
      </c>
      <c r="G810" s="9">
        <f>_xll.BDP($D810,G$40)</f>
        <v>65.94</v>
      </c>
      <c r="H810" s="9" t="str">
        <f>_xll.BDP($D810,H$40)</f>
        <v>#N/A Field Not Applicable</v>
      </c>
      <c r="L810" s="9">
        <f t="shared" ref="L810" si="86">IF(A810="STOCK",E810,IF(A810="SOPTION",G810,IF(A810="LOPTION",F810,"")))</f>
        <v>65.94</v>
      </c>
    </row>
    <row r="811" spans="1:12" s="9" customFormat="1" x14ac:dyDescent="0.2">
      <c r="A811" s="9" t="s">
        <v>16</v>
      </c>
      <c r="B811" s="23" t="s">
        <v>1030</v>
      </c>
      <c r="C811" s="17" t="s">
        <v>1030</v>
      </c>
      <c r="D811" s="22" t="s">
        <v>1031</v>
      </c>
      <c r="E811" s="21">
        <f>_xll.BDP($D811,E$40)</f>
        <v>38.22</v>
      </c>
      <c r="F811" s="9">
        <f>_xll.BDP($D811,F$40)</f>
        <v>38.21</v>
      </c>
      <c r="G811" s="9">
        <f>_xll.BDP($D811,G$40)</f>
        <v>38.22</v>
      </c>
      <c r="H811" s="9" t="str">
        <f>_xll.BDP($D811,H$40)</f>
        <v>#N/A Field Not Applicable</v>
      </c>
    </row>
    <row r="812" spans="1:12" s="9" customFormat="1" x14ac:dyDescent="0.2">
      <c r="A812" s="9" t="s">
        <v>16</v>
      </c>
      <c r="B812" s="23" t="s">
        <v>1032</v>
      </c>
      <c r="C812" s="17" t="s">
        <v>1032</v>
      </c>
      <c r="D812" s="22" t="s">
        <v>1033</v>
      </c>
      <c r="E812" s="21">
        <f>_xll.BDP($D812,E$40)</f>
        <v>15.79</v>
      </c>
      <c r="F812" s="9">
        <f>_xll.BDP($D812,F$40)</f>
        <v>15.78</v>
      </c>
      <c r="G812" s="9">
        <f>_xll.BDP($D812,G$40)</f>
        <v>15.79</v>
      </c>
      <c r="H812" s="9" t="str">
        <f>_xll.BDP($D812,H$40)</f>
        <v>#N/A Field Not Applicable</v>
      </c>
    </row>
    <row r="813" spans="1:12" s="9" customFormat="1" x14ac:dyDescent="0.2">
      <c r="A813" s="9" t="s">
        <v>16</v>
      </c>
      <c r="B813" s="23" t="s">
        <v>1034</v>
      </c>
      <c r="C813" s="17" t="s">
        <v>1034</v>
      </c>
      <c r="D813" s="22" t="s">
        <v>1035</v>
      </c>
      <c r="E813" s="21" t="str">
        <f>_xll.BDP($D813,E$40)</f>
        <v>#N/A N/A</v>
      </c>
      <c r="F813" s="9" t="str">
        <f>_xll.BDP($D813,F$40)</f>
        <v>#N/A N/A</v>
      </c>
      <c r="G813" s="9" t="str">
        <f>_xll.BDP($D813,G$40)</f>
        <v>#N/A N/A</v>
      </c>
      <c r="H813" s="9" t="str">
        <f>_xll.BDP($D813,H$40)</f>
        <v>#N/A Field Not Applicable</v>
      </c>
    </row>
    <row r="814" spans="1:12" s="9" customFormat="1" x14ac:dyDescent="0.2">
      <c r="A814" s="9" t="s">
        <v>16</v>
      </c>
      <c r="B814" s="23" t="s">
        <v>537</v>
      </c>
      <c r="C814" s="17" t="s">
        <v>537</v>
      </c>
      <c r="D814" s="22" t="s">
        <v>535</v>
      </c>
      <c r="E814" s="21">
        <f>_xll.BDP($D814,E$40)</f>
        <v>12.16</v>
      </c>
      <c r="F814" s="9">
        <f>_xll.BDP($D814,F$40)</f>
        <v>12.14</v>
      </c>
      <c r="G814" s="9">
        <f>_xll.BDP($D814,G$40)</f>
        <v>12.16</v>
      </c>
      <c r="H814" s="9" t="str">
        <f>_xll.BDP($D814,H$40)</f>
        <v>#N/A Field Not Applicable</v>
      </c>
    </row>
    <row r="815" spans="1:12" s="9" customFormat="1" x14ac:dyDescent="0.2">
      <c r="A815" s="9" t="s">
        <v>16</v>
      </c>
      <c r="B815" s="23" t="s">
        <v>1036</v>
      </c>
      <c r="C815" s="17" t="s">
        <v>1036</v>
      </c>
      <c r="D815" s="22" t="s">
        <v>477</v>
      </c>
      <c r="E815" s="21" t="str">
        <f>_xll.BDP($D815,E$40)</f>
        <v>#N/A N/A</v>
      </c>
      <c r="F815" s="9" t="str">
        <f>_xll.BDP($D815,F$40)</f>
        <v>#N/A N/A</v>
      </c>
      <c r="G815" s="9" t="str">
        <f>_xll.BDP($D815,G$40)</f>
        <v>#N/A N/A</v>
      </c>
      <c r="H815" s="9" t="str">
        <f>_xll.BDP($D815,H$40)</f>
        <v>#N/A Field Not Applicable</v>
      </c>
    </row>
    <row r="816" spans="1:12" s="9" customFormat="1" x14ac:dyDescent="0.2">
      <c r="A816" s="9" t="s">
        <v>16</v>
      </c>
      <c r="B816" s="23" t="s">
        <v>1037</v>
      </c>
      <c r="C816" s="17" t="s">
        <v>1038</v>
      </c>
      <c r="D816" s="22" t="s">
        <v>1039</v>
      </c>
      <c r="E816" s="21">
        <f>_xll.BDP($D816,E$40)</f>
        <v>52.3</v>
      </c>
      <c r="F816" s="9">
        <f>_xll.BDP($D816,F$40)</f>
        <v>52.3</v>
      </c>
      <c r="G816" s="9">
        <f>_xll.BDP($D816,G$40)</f>
        <v>52.31</v>
      </c>
      <c r="H816" s="9" t="str">
        <f>_xll.BDP($D816,H$40)</f>
        <v>#N/A Field Not Applicable</v>
      </c>
    </row>
    <row r="817" spans="1:8" s="9" customFormat="1" x14ac:dyDescent="0.2">
      <c r="A817" s="9" t="s">
        <v>16</v>
      </c>
      <c r="B817" s="23" t="s">
        <v>1043</v>
      </c>
      <c r="C817" s="17" t="s">
        <v>1044</v>
      </c>
      <c r="D817" s="22" t="s">
        <v>1045</v>
      </c>
      <c r="E817" s="21">
        <f>_xll.BDP($D817,E$40)</f>
        <v>14.2</v>
      </c>
      <c r="F817" s="9">
        <f>_xll.BDP($D817,F$40)</f>
        <v>14.21</v>
      </c>
      <c r="G817" s="9">
        <f>_xll.BDP($D817,G$40)</f>
        <v>14.22</v>
      </c>
      <c r="H817" s="9" t="str">
        <f>_xll.BDP($D817,H$40)</f>
        <v>#N/A Field Not Applicable</v>
      </c>
    </row>
    <row r="818" spans="1:8" s="9" customFormat="1" x14ac:dyDescent="0.2">
      <c r="A818" s="9" t="s">
        <v>16</v>
      </c>
      <c r="B818" s="23" t="s">
        <v>1047</v>
      </c>
      <c r="C818" s="17" t="s">
        <v>1047</v>
      </c>
      <c r="D818" s="22" t="s">
        <v>1048</v>
      </c>
      <c r="E818" s="21">
        <f>_xll.BDP($D818,E$40)</f>
        <v>4.68</v>
      </c>
      <c r="F818" s="9">
        <f>_xll.BDP($D818,F$40)</f>
        <v>4.67</v>
      </c>
      <c r="G818" s="9">
        <f>_xll.BDP($D818,G$40)</f>
        <v>4.68</v>
      </c>
      <c r="H818" s="9" t="str">
        <f>_xll.BDP($D818,H$40)</f>
        <v>#N/A Field Not Applicable</v>
      </c>
    </row>
    <row r="819" spans="1:8" s="9" customFormat="1" x14ac:dyDescent="0.2">
      <c r="A819" s="9" t="s">
        <v>16</v>
      </c>
      <c r="B819" s="23" t="s">
        <v>1049</v>
      </c>
      <c r="C819" s="17" t="s">
        <v>1049</v>
      </c>
      <c r="D819" s="22" t="s">
        <v>1050</v>
      </c>
      <c r="E819" s="21">
        <f>_xll.BDP($D819,E$40)</f>
        <v>445.07</v>
      </c>
      <c r="F819" s="9">
        <f>_xll.BDP($D819,F$40)</f>
        <v>444.01</v>
      </c>
      <c r="G819" s="9">
        <f>_xll.BDP($D819,G$40)</f>
        <v>444.98</v>
      </c>
      <c r="H819" s="9" t="str">
        <f>_xll.BDP($D819,H$40)</f>
        <v>#N/A Field Not Applicable</v>
      </c>
    </row>
    <row r="820" spans="1:8" s="9" customFormat="1" x14ac:dyDescent="0.2">
      <c r="A820" s="9" t="s">
        <v>16</v>
      </c>
      <c r="B820" s="23" t="s">
        <v>1054</v>
      </c>
      <c r="C820" s="17" t="s">
        <v>1054</v>
      </c>
      <c r="D820" s="22" t="s">
        <v>481</v>
      </c>
      <c r="E820" s="21">
        <f>_xll.BDP($D820,E$40)</f>
        <v>131.44999999999999</v>
      </c>
      <c r="F820" s="9">
        <f>_xll.BDP($D820,F$40)</f>
        <v>131.44</v>
      </c>
      <c r="G820" s="9">
        <f>_xll.BDP($D820,G$40)</f>
        <v>131.44999999999999</v>
      </c>
      <c r="H820" s="9" t="str">
        <f>_xll.BDP($D820,H$40)</f>
        <v>#N/A Field Not Applicable</v>
      </c>
    </row>
    <row r="821" spans="1:8" s="9" customFormat="1" x14ac:dyDescent="0.2">
      <c r="A821" s="9" t="s">
        <v>16</v>
      </c>
      <c r="B821" s="23" t="s">
        <v>1052</v>
      </c>
      <c r="C821" s="17" t="s">
        <v>1052</v>
      </c>
      <c r="D821" s="22" t="s">
        <v>1053</v>
      </c>
      <c r="E821" s="21">
        <f>_xll.BDP($D821,E$40)</f>
        <v>7.53</v>
      </c>
      <c r="F821" s="9">
        <f>_xll.BDP($D821,F$40)</f>
        <v>7.5</v>
      </c>
      <c r="G821" s="9">
        <f>_xll.BDP($D821,G$40)</f>
        <v>7.51</v>
      </c>
      <c r="H821" s="9" t="str">
        <f>_xll.BDP($D821,H$40)</f>
        <v>#N/A Field Not Applicable</v>
      </c>
    </row>
    <row r="822" spans="1:8" s="9" customFormat="1" x14ac:dyDescent="0.2">
      <c r="A822" s="9" t="s">
        <v>16</v>
      </c>
      <c r="B822" s="23" t="s">
        <v>1055</v>
      </c>
      <c r="C822" s="17" t="s">
        <v>1055</v>
      </c>
      <c r="D822" s="22" t="s">
        <v>102</v>
      </c>
      <c r="E822" s="21">
        <f>_xll.BDP($D822,E$40)</f>
        <v>44.22</v>
      </c>
      <c r="F822" s="9">
        <f>_xll.BDP($D822,F$40)</f>
        <v>44.21</v>
      </c>
      <c r="G822" s="9">
        <f>_xll.BDP($D822,G$40)</f>
        <v>44.22</v>
      </c>
      <c r="H822" s="9" t="str">
        <f>_xll.BDP($D822,H$40)</f>
        <v>#N/A Field Not Applicable</v>
      </c>
    </row>
    <row r="823" spans="1:8" s="9" customFormat="1" x14ac:dyDescent="0.2">
      <c r="A823" s="9" t="s">
        <v>16</v>
      </c>
      <c r="B823" s="23" t="s">
        <v>1059</v>
      </c>
      <c r="C823" s="17" t="s">
        <v>1059</v>
      </c>
      <c r="D823" s="22" t="s">
        <v>1060</v>
      </c>
      <c r="E823" s="21">
        <f>_xll.BDP($D823,E$40)</f>
        <v>6.7</v>
      </c>
      <c r="F823" s="9">
        <f>_xll.BDP($D823,F$40)</f>
        <v>6.69</v>
      </c>
      <c r="G823" s="9">
        <f>_xll.BDP($D823,G$40)</f>
        <v>6.7</v>
      </c>
      <c r="H823" s="9" t="str">
        <f>_xll.BDP($D823,H$40)</f>
        <v>#N/A Field Not Applicable</v>
      </c>
    </row>
    <row r="824" spans="1:8" s="9" customFormat="1" x14ac:dyDescent="0.2">
      <c r="A824" s="9" t="s">
        <v>16</v>
      </c>
      <c r="B824" s="23" t="s">
        <v>1056</v>
      </c>
      <c r="C824" s="17" t="s">
        <v>1056</v>
      </c>
      <c r="D824" s="22" t="s">
        <v>1057</v>
      </c>
      <c r="E824" s="21">
        <f>_xll.BDP($D824,E$40)</f>
        <v>11.51</v>
      </c>
      <c r="F824" s="9">
        <f>_xll.BDP($D824,F$40)</f>
        <v>11.42</v>
      </c>
      <c r="G824" s="9">
        <f>_xll.BDP($D824,G$40)</f>
        <v>11.43</v>
      </c>
      <c r="H824" s="9" t="str">
        <f>_xll.BDP($D824,H$40)</f>
        <v>#N/A Field Not Applicable</v>
      </c>
    </row>
    <row r="825" spans="1:8" s="9" customFormat="1" x14ac:dyDescent="0.2">
      <c r="A825" s="9" t="s">
        <v>16</v>
      </c>
      <c r="B825" s="23" t="s">
        <v>1058</v>
      </c>
      <c r="C825" s="17" t="s">
        <v>1058</v>
      </c>
      <c r="D825" s="22" t="s">
        <v>151</v>
      </c>
      <c r="E825" s="21" t="str">
        <f>_xll.BDP($D825,E$40)</f>
        <v>#N/A N/A</v>
      </c>
      <c r="F825" s="9" t="str">
        <f>_xll.BDP($D825,F$40)</f>
        <v>#N/A N/A</v>
      </c>
      <c r="G825" s="9" t="str">
        <f>_xll.BDP($D825,G$40)</f>
        <v>#N/A N/A</v>
      </c>
      <c r="H825" s="9" t="str">
        <f>_xll.BDP($D825,H$40)</f>
        <v>#N/A Field Not Applicable</v>
      </c>
    </row>
    <row r="826" spans="1:8" s="9" customFormat="1" x14ac:dyDescent="0.2">
      <c r="A826" s="9" t="s">
        <v>16</v>
      </c>
      <c r="B826" s="23" t="s">
        <v>1069</v>
      </c>
      <c r="C826" s="17" t="s">
        <v>1069</v>
      </c>
      <c r="D826" s="22" t="s">
        <v>1070</v>
      </c>
      <c r="E826" s="21">
        <f>_xll.BDP($D826,E$40)</f>
        <v>57.36</v>
      </c>
      <c r="F826" s="9">
        <f>_xll.BDP($D826,F$40)</f>
        <v>57.35</v>
      </c>
      <c r="G826" s="9">
        <f>_xll.BDP($D826,G$40)</f>
        <v>57.36</v>
      </c>
      <c r="H826" s="9" t="str">
        <f>_xll.BDP($D826,H$40)</f>
        <v>#N/A Field Not Applicable</v>
      </c>
    </row>
    <row r="827" spans="1:8" s="9" customFormat="1" x14ac:dyDescent="0.2">
      <c r="A827" s="9" t="s">
        <v>16</v>
      </c>
      <c r="B827" s="23" t="s">
        <v>1071</v>
      </c>
      <c r="C827" s="17" t="s">
        <v>1071</v>
      </c>
      <c r="D827" s="22" t="s">
        <v>1072</v>
      </c>
      <c r="E827" s="21">
        <f>_xll.BDP($D827,E$40)</f>
        <v>239.85</v>
      </c>
      <c r="F827" s="9">
        <f>_xll.BDP($D827,F$40)</f>
        <v>239.41</v>
      </c>
      <c r="G827" s="9">
        <f>_xll.BDP($D827,G$40)</f>
        <v>239.44</v>
      </c>
      <c r="H827" s="9" t="str">
        <f>_xll.BDP($D827,H$40)</f>
        <v>#N/A Field Not Applicable</v>
      </c>
    </row>
    <row r="828" spans="1:8" s="9" customFormat="1" x14ac:dyDescent="0.2">
      <c r="A828" s="9" t="s">
        <v>16</v>
      </c>
      <c r="B828" s="23" t="s">
        <v>1073</v>
      </c>
      <c r="C828" s="17" t="s">
        <v>1073</v>
      </c>
      <c r="D828" s="22" t="s">
        <v>1074</v>
      </c>
      <c r="E828" s="21">
        <f>_xll.BDP($D828,E$40)</f>
        <v>28.83</v>
      </c>
      <c r="F828" s="9">
        <f>_xll.BDP($D828,F$40)</f>
        <v>28.6</v>
      </c>
      <c r="G828" s="9">
        <f>_xll.BDP($D828,G$40)</f>
        <v>28.82</v>
      </c>
      <c r="H828" s="9" t="str">
        <f>_xll.BDP($D828,H$40)</f>
        <v>#N/A Field Not Applicable</v>
      </c>
    </row>
    <row r="829" spans="1:8" s="9" customFormat="1" x14ac:dyDescent="0.2">
      <c r="A829" s="9" t="s">
        <v>16</v>
      </c>
      <c r="B829" s="23" t="s">
        <v>1075</v>
      </c>
      <c r="C829" s="17" t="s">
        <v>1075</v>
      </c>
      <c r="D829" s="22" t="s">
        <v>1076</v>
      </c>
      <c r="E829" s="21">
        <f>_xll.BDP($D829,E$40)</f>
        <v>199</v>
      </c>
      <c r="F829" s="9">
        <f>_xll.BDP($D829,F$40)</f>
        <v>198.96</v>
      </c>
      <c r="G829" s="9">
        <f>_xll.BDP($D829,G$40)</f>
        <v>199.3</v>
      </c>
      <c r="H829" s="9" t="str">
        <f>_xll.BDP($D829,H$40)</f>
        <v>#N/A Field Not Applicable</v>
      </c>
    </row>
    <row r="830" spans="1:8" s="9" customFormat="1" x14ac:dyDescent="0.2">
      <c r="A830" s="9" t="s">
        <v>16</v>
      </c>
      <c r="B830" s="23" t="s">
        <v>1079</v>
      </c>
      <c r="C830" s="17" t="s">
        <v>1079</v>
      </c>
      <c r="D830" s="22" t="s">
        <v>1080</v>
      </c>
      <c r="E830" s="21">
        <f>_xll.BDP($D830,E$40)</f>
        <v>29.66</v>
      </c>
      <c r="F830" s="9">
        <f>_xll.BDP($D830,F$40)</f>
        <v>29.65</v>
      </c>
      <c r="G830" s="9">
        <f>_xll.BDP($D830,G$40)</f>
        <v>29.78</v>
      </c>
      <c r="H830" s="9" t="str">
        <f>_xll.BDP($D830,H$40)</f>
        <v>#N/A Field Not Applicable</v>
      </c>
    </row>
    <row r="831" spans="1:8" s="9" customFormat="1" x14ac:dyDescent="0.2">
      <c r="A831" s="9" t="s">
        <v>16</v>
      </c>
      <c r="B831" s="23" t="s">
        <v>1081</v>
      </c>
      <c r="C831" s="17" t="s">
        <v>1081</v>
      </c>
      <c r="D831" s="22" t="s">
        <v>1082</v>
      </c>
      <c r="E831" s="21">
        <f>_xll.BDP($D831,E$40)</f>
        <v>103.62</v>
      </c>
      <c r="F831" s="9">
        <f>_xll.BDP($D831,F$40)</f>
        <v>103.3</v>
      </c>
      <c r="G831" s="9">
        <f>_xll.BDP($D831,G$40)</f>
        <v>103.3</v>
      </c>
      <c r="H831" s="9" t="str">
        <f>_xll.BDP($D831,H$40)</f>
        <v>#N/A Field Not Applicable</v>
      </c>
    </row>
    <row r="832" spans="1:8" s="9" customFormat="1" x14ac:dyDescent="0.2">
      <c r="A832" s="9" t="s">
        <v>16</v>
      </c>
      <c r="B832" s="23" t="s">
        <v>1083</v>
      </c>
      <c r="C832" s="17" t="s">
        <v>1083</v>
      </c>
      <c r="D832" s="22" t="s">
        <v>1084</v>
      </c>
      <c r="E832" s="21">
        <f>_xll.BDP($D832,E$40)</f>
        <v>240.12</v>
      </c>
      <c r="F832" s="9">
        <f>_xll.BDP($D832,F$40)</f>
        <v>240.12</v>
      </c>
      <c r="G832" s="9">
        <f>_xll.BDP($D832,G$40)</f>
        <v>240.13</v>
      </c>
      <c r="H832" s="9" t="str">
        <f>_xll.BDP($D832,H$40)</f>
        <v>#N/A Field Not Applicable</v>
      </c>
    </row>
    <row r="833" spans="1:12" s="9" customFormat="1" x14ac:dyDescent="0.2">
      <c r="A833" s="9" t="s">
        <v>16</v>
      </c>
      <c r="B833" s="23" t="s">
        <v>1085</v>
      </c>
      <c r="C833" s="17" t="s">
        <v>1085</v>
      </c>
      <c r="D833" s="22" t="s">
        <v>329</v>
      </c>
      <c r="E833" s="21">
        <f>_xll.BDP($D833,E$40)</f>
        <v>22.95</v>
      </c>
      <c r="F833" s="9">
        <f>_xll.BDP($D833,F$40)</f>
        <v>22.96</v>
      </c>
      <c r="G833" s="9">
        <f>_xll.BDP($D833,G$40)</f>
        <v>23.07</v>
      </c>
      <c r="H833" s="9" t="str">
        <f>_xll.BDP($D833,H$40)</f>
        <v>#N/A Field Not Applicable</v>
      </c>
    </row>
    <row r="834" spans="1:12" s="9" customFormat="1" x14ac:dyDescent="0.2">
      <c r="A834" s="9" t="s">
        <v>16</v>
      </c>
      <c r="B834" s="23" t="s">
        <v>1086</v>
      </c>
      <c r="C834" s="17" t="s">
        <v>1086</v>
      </c>
      <c r="D834" s="22" t="s">
        <v>1087</v>
      </c>
      <c r="E834" s="21">
        <f>_xll.BDP($D834,E$40)</f>
        <v>5.09</v>
      </c>
      <c r="F834" s="9">
        <f>_xll.BDP($D834,F$40)</f>
        <v>5.09</v>
      </c>
      <c r="G834" s="9">
        <f>_xll.BDP($D834,G$40)</f>
        <v>5.0999999999999996</v>
      </c>
      <c r="H834" s="9" t="str">
        <f>_xll.BDP($D834,H$40)</f>
        <v>#N/A Field Not Applicable</v>
      </c>
    </row>
    <row r="835" spans="1:12" s="9" customFormat="1" x14ac:dyDescent="0.2">
      <c r="A835" s="9" t="s">
        <v>16</v>
      </c>
      <c r="B835" s="23" t="s">
        <v>1089</v>
      </c>
      <c r="C835" s="17" t="s">
        <v>1089</v>
      </c>
      <c r="D835" s="22" t="s">
        <v>1088</v>
      </c>
      <c r="E835" s="21">
        <f>_xll.BDP($D835,E$40)</f>
        <v>12.47</v>
      </c>
      <c r="F835" s="9">
        <f>_xll.BDP($D835,F$40)</f>
        <v>12.46</v>
      </c>
      <c r="G835" s="9">
        <f>_xll.BDP($D835,G$40)</f>
        <v>12.47</v>
      </c>
      <c r="H835" s="9" t="str">
        <f>_xll.BDP($D835,H$40)</f>
        <v>#N/A Field Not Applicable</v>
      </c>
    </row>
    <row r="836" spans="1:12" s="9" customFormat="1" x14ac:dyDescent="0.2">
      <c r="A836" s="9" t="s">
        <v>16</v>
      </c>
      <c r="B836" s="23" t="s">
        <v>1137</v>
      </c>
      <c r="C836" s="17" t="s">
        <v>1137</v>
      </c>
      <c r="D836" s="22" t="s">
        <v>1138</v>
      </c>
      <c r="E836" s="21">
        <f>_xll.BDP($D836,E$40)</f>
        <v>13.74</v>
      </c>
      <c r="F836" s="9">
        <f>_xll.BDP($D836,F$40)</f>
        <v>13.73</v>
      </c>
      <c r="G836" s="9">
        <f>_xll.BDP($D836,G$40)</f>
        <v>13.74</v>
      </c>
      <c r="H836" s="9" t="str">
        <f>_xll.BDP($D836,H$40)</f>
        <v>#N/A Field Not Applicable</v>
      </c>
    </row>
    <row r="837" spans="1:12" s="9" customFormat="1" x14ac:dyDescent="0.2">
      <c r="A837" s="9" t="s">
        <v>16</v>
      </c>
      <c r="B837" s="23" t="s">
        <v>1090</v>
      </c>
      <c r="C837" s="17" t="s">
        <v>1090</v>
      </c>
      <c r="D837" s="22" t="s">
        <v>1091</v>
      </c>
      <c r="E837" s="21">
        <f>_xll.BDP($D837,E$40)</f>
        <v>19.12</v>
      </c>
      <c r="F837" s="9">
        <f>_xll.BDP($D837,F$40)</f>
        <v>19.11</v>
      </c>
      <c r="G837" s="9">
        <f>_xll.BDP($D837,G$40)</f>
        <v>19.12</v>
      </c>
      <c r="H837" s="9" t="str">
        <f>_xll.BDP($D837,H$40)</f>
        <v>#N/A Field Not Applicable</v>
      </c>
    </row>
    <row r="838" spans="1:12" s="9" customFormat="1" x14ac:dyDescent="0.2">
      <c r="A838" s="9" t="s">
        <v>16</v>
      </c>
      <c r="B838" s="23" t="s">
        <v>1098</v>
      </c>
      <c r="C838" s="17" t="s">
        <v>1098</v>
      </c>
      <c r="D838" s="22" t="s">
        <v>1099</v>
      </c>
      <c r="E838" s="21">
        <f>_xll.BDP($D838,E$40)</f>
        <v>8.83</v>
      </c>
      <c r="F838" s="9">
        <f>_xll.BDP($D838,F$40)</f>
        <v>8.82</v>
      </c>
      <c r="G838" s="9">
        <f>_xll.BDP($D838,G$40)</f>
        <v>8.83</v>
      </c>
      <c r="H838" s="9" t="str">
        <f>_xll.BDP($D838,H$40)</f>
        <v>#N/A Field Not Applicable</v>
      </c>
    </row>
    <row r="839" spans="1:12" s="9" customFormat="1" x14ac:dyDescent="0.2">
      <c r="A839" s="9" t="s">
        <v>16</v>
      </c>
      <c r="B839" s="23" t="s">
        <v>1100</v>
      </c>
      <c r="C839" s="17" t="s">
        <v>1100</v>
      </c>
      <c r="D839" s="23" t="s">
        <v>1101</v>
      </c>
      <c r="E839" s="21">
        <f>_xll.BDP($D839,E$40)</f>
        <v>7.34</v>
      </c>
      <c r="F839" s="9">
        <f>_xll.BDP($D839,F$40)</f>
        <v>7.3</v>
      </c>
      <c r="G839" s="9">
        <f>_xll.BDP($D839,G$40)</f>
        <v>7.35</v>
      </c>
      <c r="H839" s="9" t="str">
        <f>_xll.BDP($D839,H$40)</f>
        <v>#N/A Field Not Applicable</v>
      </c>
    </row>
    <row r="840" spans="1:12" s="9" customFormat="1" x14ac:dyDescent="0.2">
      <c r="A840" s="9" t="s">
        <v>16</v>
      </c>
      <c r="B840" s="23" t="s">
        <v>1102</v>
      </c>
      <c r="C840" s="17" t="s">
        <v>1102</v>
      </c>
      <c r="D840" s="23" t="s">
        <v>1103</v>
      </c>
      <c r="E840" s="21" t="str">
        <f>_xll.BDP($D840,E$40)</f>
        <v>#N/A N/A</v>
      </c>
      <c r="F840" s="9" t="str">
        <f>_xll.BDP($D840,F$40)</f>
        <v>#N/A N/A</v>
      </c>
      <c r="G840" s="9" t="str">
        <f>_xll.BDP($D840,G$40)</f>
        <v>#N/A N/A</v>
      </c>
      <c r="H840" s="9" t="str">
        <f>_xll.BDP($D840,H$40)</f>
        <v>#N/A Field Not Applicable</v>
      </c>
    </row>
    <row r="841" spans="1:12" s="9" customFormat="1" x14ac:dyDescent="0.2">
      <c r="A841" s="9" t="s">
        <v>16</v>
      </c>
      <c r="B841" s="23" t="s">
        <v>1145</v>
      </c>
      <c r="C841" s="17" t="s">
        <v>1145</v>
      </c>
      <c r="D841" s="23" t="s">
        <v>1146</v>
      </c>
      <c r="E841" s="21">
        <f>_xll.BDP($D841,E$40)</f>
        <v>3.05</v>
      </c>
      <c r="F841" s="9">
        <f>_xll.BDP($D841,F$40)</f>
        <v>3.04</v>
      </c>
      <c r="G841" s="9">
        <f>_xll.BDP($D841,G$40)</f>
        <v>3.05</v>
      </c>
      <c r="H841" s="9" t="str">
        <f>_xll.BDP($D841,H$40)</f>
        <v>#N/A Field Not Applicable</v>
      </c>
    </row>
    <row r="842" spans="1:12" s="9" customFormat="1" x14ac:dyDescent="0.2">
      <c r="A842" s="9" t="s">
        <v>16</v>
      </c>
      <c r="B842" s="23" t="s">
        <v>1155</v>
      </c>
      <c r="C842" s="17" t="s">
        <v>1155</v>
      </c>
      <c r="D842" s="23" t="s">
        <v>1156</v>
      </c>
      <c r="E842" s="21">
        <f>_xll.BDP($D842,E$40)</f>
        <v>20.29</v>
      </c>
      <c r="F842" s="9">
        <f>_xll.BDP($D842,F$40)</f>
        <v>20.28</v>
      </c>
      <c r="G842" s="9">
        <f>_xll.BDP($D842,G$40)</f>
        <v>20.29</v>
      </c>
      <c r="H842" s="9" t="str">
        <f>_xll.BDP($D842,H$40)</f>
        <v>#N/A Field Not Applicable</v>
      </c>
    </row>
    <row r="843" spans="1:12" s="9" customFormat="1" x14ac:dyDescent="0.2">
      <c r="A843" s="9" t="s">
        <v>16</v>
      </c>
      <c r="B843" s="23" t="s">
        <v>1204</v>
      </c>
      <c r="C843" s="17" t="s">
        <v>1204</v>
      </c>
      <c r="D843" s="23" t="s">
        <v>1205</v>
      </c>
      <c r="E843" s="21">
        <f>_xll.BDP($D843,E$40)</f>
        <v>22.54</v>
      </c>
      <c r="F843" s="9">
        <f>_xll.BDP($D843,F$40)</f>
        <v>22.53</v>
      </c>
      <c r="G843" s="9">
        <f>_xll.BDP($D843,G$40)</f>
        <v>22.54</v>
      </c>
      <c r="H843" s="9" t="str">
        <f>_xll.BDP($D843,H$40)</f>
        <v>#N/A Field Not Applicable</v>
      </c>
    </row>
    <row r="844" spans="1:12" s="9" customFormat="1" x14ac:dyDescent="0.2">
      <c r="A844" s="9" t="s">
        <v>16</v>
      </c>
      <c r="B844" s="23" t="s">
        <v>774</v>
      </c>
      <c r="C844" s="17" t="s">
        <v>774</v>
      </c>
      <c r="D844" s="23" t="s">
        <v>324</v>
      </c>
      <c r="E844" s="21">
        <f>_xll.BDP($D844,E$40)</f>
        <v>30.56</v>
      </c>
      <c r="F844" s="9">
        <f>_xll.BDP($D844,F$40)</f>
        <v>30.57</v>
      </c>
      <c r="G844" s="9">
        <f>_xll.BDP($D844,G$40)</f>
        <v>30.58</v>
      </c>
      <c r="H844" s="9" t="str">
        <f>_xll.BDP($D844,H$40)</f>
        <v>#N/A Field Not Applicable</v>
      </c>
    </row>
    <row r="845" spans="1:12" s="9" customFormat="1" x14ac:dyDescent="0.2">
      <c r="A845" s="9" t="s">
        <v>16</v>
      </c>
      <c r="B845" s="23" t="s">
        <v>722</v>
      </c>
      <c r="C845" s="17" t="s">
        <v>722</v>
      </c>
      <c r="D845" s="23" t="s">
        <v>723</v>
      </c>
      <c r="E845" s="21">
        <f>_xll.BDP($D845,E$40)</f>
        <v>6.44</v>
      </c>
      <c r="F845" s="9">
        <f>_xll.BDP($D845,F$40)</f>
        <v>6.42</v>
      </c>
      <c r="G845" s="9">
        <f>_xll.BDP($D845,G$40)</f>
        <v>6.43</v>
      </c>
      <c r="H845" s="9" t="str">
        <f>_xll.BDP($D845,H$40)</f>
        <v>#N/A Field Not Applicable</v>
      </c>
    </row>
    <row r="846" spans="1:12" s="9" customFormat="1" x14ac:dyDescent="0.2">
      <c r="A846" s="9" t="s">
        <v>16</v>
      </c>
      <c r="B846" s="23" t="s">
        <v>1253</v>
      </c>
      <c r="C846" s="17" t="s">
        <v>1253</v>
      </c>
      <c r="D846" s="23" t="s">
        <v>1250</v>
      </c>
      <c r="E846" s="21">
        <f>_xll.BDP($D846,E$40)</f>
        <v>55.8</v>
      </c>
      <c r="F846" s="9">
        <f>_xll.BDP($D846,F$40)</f>
        <v>55.7</v>
      </c>
      <c r="G846" s="9">
        <f>_xll.BDP($D846,G$40)</f>
        <v>55.77</v>
      </c>
      <c r="H846" s="9" t="str">
        <f>_xll.BDP($D846,H$40)</f>
        <v>#N/A Field Not Applicable</v>
      </c>
    </row>
    <row r="847" spans="1:12" s="9" customFormat="1" x14ac:dyDescent="0.2">
      <c r="A847" s="9" t="s">
        <v>16</v>
      </c>
      <c r="B847" s="23" t="s">
        <v>1256</v>
      </c>
      <c r="C847" s="17" t="s">
        <v>1256</v>
      </c>
      <c r="D847" s="23" t="s">
        <v>1257</v>
      </c>
      <c r="E847" s="21">
        <f>_xll.BDP($D847,E$40)</f>
        <v>69.540000000000006</v>
      </c>
      <c r="F847" s="9">
        <f>_xll.BDP($D847,F$40)</f>
        <v>69.53</v>
      </c>
      <c r="G847" s="9">
        <f>_xll.BDP($D847,G$40)</f>
        <v>69.540000000000006</v>
      </c>
      <c r="H847" s="9" t="str">
        <f>_xll.BDP($D847,H$40)</f>
        <v>#N/A Field Not Applicable</v>
      </c>
    </row>
    <row r="848" spans="1:12" ht="14.25" customHeight="1" x14ac:dyDescent="0.25">
      <c r="A848" s="9" t="s">
        <v>16</v>
      </c>
      <c r="C848" s="16" t="s">
        <v>760</v>
      </c>
      <c r="D848" s="24" t="s">
        <v>764</v>
      </c>
      <c r="E848" s="9" t="e">
        <f>_xll.BDP($D848,E$40)/100</f>
        <v>#VALUE!</v>
      </c>
      <c r="F848" s="9" t="str">
        <f>_xll.BDP($D848,F$40)</f>
        <v>#N/A Invalid Security</v>
      </c>
      <c r="G848" s="9" t="str">
        <f>_xll.BDP($D848,G$40)</f>
        <v>#N/A Invalid Security</v>
      </c>
      <c r="H848" s="9" t="str">
        <f>_xll.BDP($D848,H$40)</f>
        <v>#N/A Invalid Security</v>
      </c>
      <c r="L848" s="9" t="e">
        <f t="shared" si="84"/>
        <v>#VALUE!</v>
      </c>
    </row>
    <row r="849" spans="1:12" ht="15" x14ac:dyDescent="0.25">
      <c r="A849" s="9" t="s">
        <v>16</v>
      </c>
      <c r="C849" s="16" t="s">
        <v>761</v>
      </c>
      <c r="D849" s="24" t="s">
        <v>767</v>
      </c>
      <c r="E849" s="9" t="e">
        <f>_xll.BDP($D849,E$40)/100</f>
        <v>#VALUE!</v>
      </c>
      <c r="F849" s="9" t="str">
        <f>_xll.BDP($D849,F$40)</f>
        <v>#N/A Invalid Security</v>
      </c>
      <c r="G849" s="9" t="str">
        <f>_xll.BDP($D849,G$40)</f>
        <v>#N/A Invalid Security</v>
      </c>
      <c r="H849" s="9" t="str">
        <f>_xll.BDP($D849,H$40)</f>
        <v>#N/A Invalid Security</v>
      </c>
      <c r="L849" s="9" t="e">
        <f t="shared" si="84"/>
        <v>#VALUE!</v>
      </c>
    </row>
    <row r="850" spans="1:12" ht="15" x14ac:dyDescent="0.25">
      <c r="A850" s="9" t="s">
        <v>16</v>
      </c>
      <c r="C850" s="16" t="s">
        <v>762</v>
      </c>
      <c r="D850" s="24" t="s">
        <v>765</v>
      </c>
      <c r="E850" s="9" t="e">
        <f>_xll.BDP($D850,E$40)/100</f>
        <v>#VALUE!</v>
      </c>
      <c r="F850" s="9" t="str">
        <f>_xll.BDP($D850,F$40)</f>
        <v>#N/A Invalid Security</v>
      </c>
      <c r="G850" s="9" t="str">
        <f>_xll.BDP($D850,G$40)</f>
        <v>#N/A Invalid Security</v>
      </c>
      <c r="H850" s="9" t="str">
        <f>_xll.BDP($D850,H$40)</f>
        <v>#N/A Invalid Security</v>
      </c>
      <c r="L850" s="9" t="e">
        <f t="shared" si="84"/>
        <v>#VALUE!</v>
      </c>
    </row>
    <row r="851" spans="1:12" ht="15" x14ac:dyDescent="0.25">
      <c r="A851" s="9" t="s">
        <v>16</v>
      </c>
      <c r="C851" s="16" t="s">
        <v>763</v>
      </c>
      <c r="D851" s="24" t="s">
        <v>766</v>
      </c>
      <c r="E851" s="9" t="e">
        <f>_xll.BDP($D851,E$40)/100</f>
        <v>#VALUE!</v>
      </c>
      <c r="F851" s="9" t="str">
        <f>_xll.BDP($D851,F$40)</f>
        <v>#N/A Invalid Security</v>
      </c>
      <c r="G851" s="9" t="str">
        <f>_xll.BDP($D851,G$40)</f>
        <v>#N/A Invalid Security</v>
      </c>
      <c r="H851" s="9" t="str">
        <f>_xll.BDP($D851,H$40)</f>
        <v>#N/A Invalid Security</v>
      </c>
      <c r="L851" s="9" t="e">
        <f t="shared" si="84"/>
        <v>#VALUE!</v>
      </c>
    </row>
    <row r="852" spans="1:12" x14ac:dyDescent="0.2">
      <c r="A852" t="s">
        <v>412</v>
      </c>
      <c r="B852" s="22" t="s">
        <v>1104</v>
      </c>
      <c r="C852" s="25" t="s">
        <v>1105</v>
      </c>
      <c r="D852" s="22" t="s">
        <v>1104</v>
      </c>
      <c r="E852" s="9" t="str">
        <f>_xll.BDP($D852,E$40)</f>
        <v>#N/A N/A</v>
      </c>
      <c r="F852" s="9" t="str">
        <f>_xll.BDP($D852,F$40)</f>
        <v>#N/A N/A</v>
      </c>
      <c r="G852" s="9" t="str">
        <f>_xll.BDP($D852,G$40)</f>
        <v>#N/A N/A</v>
      </c>
      <c r="H852" s="9" t="str">
        <f>_xll.BDP($D852,H$40)</f>
        <v>#N/A N/A</v>
      </c>
      <c r="I852" s="9"/>
      <c r="J852" s="9"/>
      <c r="K852" s="9"/>
      <c r="L852" s="9" t="str">
        <f t="shared" ref="L852" si="87">IF(A852="STOCK",E852,IF(A852="SOPTION",G852,IF(A852="LOPTION",F852,"")))</f>
        <v>#N/A N/A</v>
      </c>
    </row>
    <row r="853" spans="1:12" x14ac:dyDescent="0.2">
      <c r="A853" t="s">
        <v>412</v>
      </c>
      <c r="B853" s="22" t="s">
        <v>1106</v>
      </c>
      <c r="C853" s="25" t="s">
        <v>1107</v>
      </c>
      <c r="D853" s="22" t="s">
        <v>1106</v>
      </c>
      <c r="E853" s="9" t="str">
        <f>_xll.BDP($D853,E$40)</f>
        <v>#N/A N/A</v>
      </c>
      <c r="F853" s="9" t="str">
        <f>_xll.BDP($D853,F$40)</f>
        <v>#N/A N/A</v>
      </c>
      <c r="G853" s="9" t="str">
        <f>_xll.BDP($D853,G$40)</f>
        <v>#N/A N/A</v>
      </c>
      <c r="H853" s="9" t="str">
        <f>_xll.BDP($D853,H$40)</f>
        <v>#N/A N/A</v>
      </c>
      <c r="I853" s="9"/>
      <c r="J853" s="9"/>
      <c r="K853" s="9"/>
      <c r="L853" s="9" t="str">
        <f t="shared" ref="L853:L855" si="88">IF(A853="STOCK",E853,IF(A853="SOPTION",G853,IF(A853="LOPTION",F853,"")))</f>
        <v>#N/A N/A</v>
      </c>
    </row>
    <row r="854" spans="1:12" x14ac:dyDescent="0.2">
      <c r="A854" t="s">
        <v>1112</v>
      </c>
      <c r="B854" s="22" t="s">
        <v>1108</v>
      </c>
      <c r="C854" s="25" t="s">
        <v>1109</v>
      </c>
      <c r="D854" s="22" t="s">
        <v>1108</v>
      </c>
      <c r="E854" s="9">
        <f>_xll.BDP($D854,E$40)</f>
        <v>0.62</v>
      </c>
      <c r="F854" s="9">
        <f>_xll.BDP($D854,F$40)</f>
        <v>0.15</v>
      </c>
      <c r="G854" s="9">
        <f>_xll.BDP($D854,G$40)</f>
        <v>0.8</v>
      </c>
      <c r="H854" s="9">
        <f>_xll.BDP($D854,H$40)</f>
        <v>0.25829039999999998</v>
      </c>
      <c r="I854" s="9"/>
      <c r="J854" s="9"/>
      <c r="K854" s="9"/>
      <c r="L854" s="9">
        <f t="shared" si="88"/>
        <v>0.15</v>
      </c>
    </row>
    <row r="855" spans="1:12" x14ac:dyDescent="0.2">
      <c r="A855" t="s">
        <v>412</v>
      </c>
      <c r="B855" s="22" t="s">
        <v>1110</v>
      </c>
      <c r="C855" s="25" t="s">
        <v>1111</v>
      </c>
      <c r="D855" s="22" t="s">
        <v>1110</v>
      </c>
      <c r="E855" s="9">
        <f>_xll.BDP($D855,E$40)</f>
        <v>0.25</v>
      </c>
      <c r="F855" s="9">
        <f>_xll.BDP($D855,F$40)</f>
        <v>0.15</v>
      </c>
      <c r="G855" s="9">
        <f>_xll.BDP($D855,G$40)</f>
        <v>0.3</v>
      </c>
      <c r="H855" s="9">
        <f>_xll.BDP($D855,H$40)</f>
        <v>0.1227907</v>
      </c>
      <c r="I855" s="9"/>
      <c r="J855" s="9"/>
      <c r="K855" s="9"/>
      <c r="L855" s="9">
        <f t="shared" si="88"/>
        <v>0.3</v>
      </c>
    </row>
    <row r="856" spans="1:12" x14ac:dyDescent="0.2">
      <c r="A856" t="s">
        <v>412</v>
      </c>
      <c r="B856" s="22" t="s">
        <v>1113</v>
      </c>
      <c r="C856" s="25" t="s">
        <v>1114</v>
      </c>
      <c r="D856" s="22" t="s">
        <v>1113</v>
      </c>
      <c r="E856" s="9">
        <f>_xll.BDP($D856,E$40)</f>
        <v>0.9</v>
      </c>
      <c r="F856" s="9" t="str">
        <f>_xll.BDP($D856,F$40)</f>
        <v>#N/A N/A</v>
      </c>
      <c r="G856" s="9">
        <f>_xll.BDP($D856,G$40)</f>
        <v>0.05</v>
      </c>
      <c r="H856" s="9">
        <f>_xll.BDP($D856,H$40)</f>
        <v>4.3234950000000001E-2</v>
      </c>
      <c r="I856" s="9"/>
      <c r="J856" s="9"/>
      <c r="K856" s="9"/>
      <c r="L856" s="9">
        <f t="shared" ref="L856" si="89">IF(A856="STOCK",E856,IF(A856="SOPTION",G856,IF(A856="LOPTION",F856,"")))</f>
        <v>0.05</v>
      </c>
    </row>
    <row r="857" spans="1:12" x14ac:dyDescent="0.2">
      <c r="A857" t="s">
        <v>412</v>
      </c>
      <c r="B857" s="22" t="s">
        <v>1115</v>
      </c>
      <c r="C857" s="25" t="s">
        <v>1116</v>
      </c>
      <c r="D857" s="22" t="s">
        <v>1115</v>
      </c>
      <c r="E857" s="9" t="str">
        <f>_xll.BDP($D857,E$40)</f>
        <v>#N/A N/A</v>
      </c>
      <c r="F857" s="9" t="str">
        <f>_xll.BDP($D857,F$40)</f>
        <v>#N/A N/A</v>
      </c>
      <c r="G857" s="9">
        <f>_xll.BDP($D857,G$40)</f>
        <v>2.0499999999999998</v>
      </c>
      <c r="H857" s="9">
        <f>_xll.BDP($D857,H$40)</f>
        <v>0.48750490000000002</v>
      </c>
      <c r="I857" s="9"/>
      <c r="J857" s="9"/>
      <c r="K857" s="9"/>
      <c r="L857" s="9">
        <f t="shared" ref="L857" si="90">IF(A857="STOCK",E857,IF(A857="SOPTION",G857,IF(A857="LOPTION",F857,"")))</f>
        <v>2.0499999999999998</v>
      </c>
    </row>
    <row r="858" spans="1:12" x14ac:dyDescent="0.2">
      <c r="A858" t="s">
        <v>412</v>
      </c>
      <c r="B858" s="22" t="s">
        <v>1117</v>
      </c>
      <c r="C858" s="25" t="s">
        <v>1118</v>
      </c>
      <c r="D858" s="22" t="s">
        <v>1117</v>
      </c>
      <c r="E858" s="9" t="str">
        <f>_xll.BDP($D858,E$40)</f>
        <v>#N/A N/A</v>
      </c>
      <c r="F858" s="9" t="str">
        <f>_xll.BDP($D858,F$40)</f>
        <v>#N/A N/A</v>
      </c>
      <c r="G858" s="9" t="str">
        <f>_xll.BDP($D858,G$40)</f>
        <v>#N/A N/A</v>
      </c>
      <c r="H858" s="9" t="str">
        <f>_xll.BDP($D858,H$40)</f>
        <v>#N/A N/A</v>
      </c>
      <c r="I858" s="9"/>
      <c r="J858" s="9"/>
      <c r="K858" s="9"/>
      <c r="L858" s="9" t="str">
        <f t="shared" ref="L858" si="91">IF(A858="STOCK",E858,IF(A858="SOPTION",G858,IF(A858="LOPTION",F858,"")))</f>
        <v>#N/A N/A</v>
      </c>
    </row>
    <row r="859" spans="1:12" x14ac:dyDescent="0.2">
      <c r="A859" t="s">
        <v>1112</v>
      </c>
      <c r="B859" s="22" t="s">
        <v>1119</v>
      </c>
      <c r="C859" s="25" t="s">
        <v>1120</v>
      </c>
      <c r="D859" s="22" t="s">
        <v>1119</v>
      </c>
      <c r="E859" s="9">
        <f>_xll.BDP($D859,E$40)</f>
        <v>4.5999999999999996</v>
      </c>
      <c r="F859" s="9">
        <f>_xll.BDP($D859,F$40)</f>
        <v>2.5499999999999998</v>
      </c>
      <c r="G859" s="9">
        <f>_xll.BDP($D859,G$40)</f>
        <v>6.6</v>
      </c>
      <c r="H859" s="9">
        <f>_xll.BDP($D859,H$40)</f>
        <v>0.33008419999999999</v>
      </c>
      <c r="I859" s="9"/>
      <c r="J859" s="9"/>
      <c r="K859" s="9"/>
      <c r="L859" s="9">
        <f t="shared" ref="L859:L860" si="92">IF(A859="STOCK",E859,IF(A859="SOPTION",G859,IF(A859="LOPTION",F859,"")))</f>
        <v>2.5499999999999998</v>
      </c>
    </row>
    <row r="860" spans="1:12" x14ac:dyDescent="0.2">
      <c r="A860" t="s">
        <v>412</v>
      </c>
      <c r="B860" s="22" t="s">
        <v>1121</v>
      </c>
      <c r="C860" s="25" t="s">
        <v>1122</v>
      </c>
      <c r="D860" s="22" t="s">
        <v>1121</v>
      </c>
      <c r="E860" s="9">
        <f>_xll.BDP($D860,E$40)</f>
        <v>1.8</v>
      </c>
      <c r="F860" s="9">
        <f>_xll.BDP($D860,F$40)</f>
        <v>1</v>
      </c>
      <c r="G860" s="9">
        <f>_xll.BDP($D860,G$40)</f>
        <v>4.7</v>
      </c>
      <c r="H860" s="9">
        <f>_xll.BDP($D860,H$40)</f>
        <v>0.16419020000000001</v>
      </c>
      <c r="I860" s="9"/>
      <c r="J860" s="9"/>
      <c r="K860" s="9"/>
      <c r="L860" s="9">
        <f t="shared" si="92"/>
        <v>4.7</v>
      </c>
    </row>
    <row r="861" spans="1:12" x14ac:dyDescent="0.2">
      <c r="A861" t="s">
        <v>412</v>
      </c>
      <c r="B861" s="22" t="s">
        <v>1123</v>
      </c>
      <c r="C861" s="25" t="s">
        <v>1124</v>
      </c>
      <c r="D861" s="22" t="s">
        <v>1123</v>
      </c>
      <c r="E861" s="9" t="str">
        <f>_xll.BDP($D861,E$40)</f>
        <v>#N/A N/A</v>
      </c>
      <c r="F861" s="9" t="str">
        <f>_xll.BDP($D861,F$40)</f>
        <v>#N/A N/A</v>
      </c>
      <c r="G861" s="9" t="str">
        <f>_xll.BDP($D861,G$40)</f>
        <v>#N/A N/A</v>
      </c>
      <c r="H861" s="9" t="str">
        <f>_xll.BDP($D861,H$40)</f>
        <v>#N/A N/A</v>
      </c>
      <c r="I861" s="9"/>
      <c r="J861" s="9"/>
      <c r="K861" s="9"/>
      <c r="L861" s="9" t="str">
        <f t="shared" ref="L861" si="93">IF(A861="STOCK",E861,IF(A861="SOPTION",G861,IF(A861="LOPTION",F861,"")))</f>
        <v>#N/A N/A</v>
      </c>
    </row>
    <row r="862" spans="1:12" x14ac:dyDescent="0.2">
      <c r="A862" t="s">
        <v>412</v>
      </c>
      <c r="B862" s="22" t="s">
        <v>1131</v>
      </c>
      <c r="C862" s="25" t="s">
        <v>1132</v>
      </c>
      <c r="D862" s="22" t="s">
        <v>1131</v>
      </c>
      <c r="E862" s="9" t="str">
        <f>_xll.BDP($D862,E$40)</f>
        <v>#N/A N/A</v>
      </c>
      <c r="F862" s="9" t="str">
        <f>_xll.BDP($D862,F$40)</f>
        <v>#N/A N/A</v>
      </c>
      <c r="G862" s="9" t="str">
        <f>_xll.BDP($D862,G$40)</f>
        <v>#N/A N/A</v>
      </c>
      <c r="H862" s="9" t="str">
        <f>_xll.BDP($D862,H$40)</f>
        <v>#N/A N/A</v>
      </c>
      <c r="I862" s="9"/>
      <c r="J862" s="9"/>
      <c r="K862" s="9"/>
      <c r="L862" s="9" t="str">
        <f t="shared" ref="L862" si="94">IF(A862="STOCK",E862,IF(A862="SOPTION",G862,IF(A862="LOPTION",F862,"")))</f>
        <v>#N/A N/A</v>
      </c>
    </row>
    <row r="863" spans="1:12" x14ac:dyDescent="0.2">
      <c r="A863" t="s">
        <v>412</v>
      </c>
      <c r="B863" s="22" t="s">
        <v>1133</v>
      </c>
      <c r="C863" s="25" t="s">
        <v>1135</v>
      </c>
      <c r="D863" s="22" t="s">
        <v>1133</v>
      </c>
      <c r="E863" s="9">
        <f>_xll.BDP($D863,E$40)</f>
        <v>0.25</v>
      </c>
      <c r="F863" s="9" t="str">
        <f>_xll.BDP($D863,F$40)</f>
        <v>#N/A N/A</v>
      </c>
      <c r="G863" s="9">
        <f>_xll.BDP($D863,G$40)</f>
        <v>0.25</v>
      </c>
      <c r="H863" s="9">
        <f>_xll.BDP($D863,H$40)</f>
        <v>5.7457750000000002E-2</v>
      </c>
      <c r="I863" s="9"/>
      <c r="J863" s="9"/>
      <c r="K863" s="9"/>
      <c r="L863" s="9">
        <f t="shared" ref="L863:L864" si="95">IF(A863="STOCK",E863,IF(A863="SOPTION",G863,IF(A863="LOPTION",F863,"")))</f>
        <v>0.25</v>
      </c>
    </row>
    <row r="864" spans="1:12" x14ac:dyDescent="0.2">
      <c r="A864" t="s">
        <v>412</v>
      </c>
      <c r="B864" s="22" t="s">
        <v>1134</v>
      </c>
      <c r="C864" s="25" t="s">
        <v>1136</v>
      </c>
      <c r="D864" s="22" t="s">
        <v>1134</v>
      </c>
      <c r="E864" s="9">
        <f>_xll.BDP($D864,E$40)</f>
        <v>4</v>
      </c>
      <c r="F864" s="9">
        <f>_xll.BDP($D864,F$40)</f>
        <v>0.1</v>
      </c>
      <c r="G864" s="9">
        <f>_xll.BDP($D864,G$40)</f>
        <v>5</v>
      </c>
      <c r="H864" s="9">
        <f>_xll.BDP($D864,H$40)</f>
        <v>0.221247</v>
      </c>
      <c r="I864" s="9"/>
      <c r="J864" s="9"/>
      <c r="K864" s="9"/>
      <c r="L864" s="9">
        <f t="shared" si="95"/>
        <v>5</v>
      </c>
    </row>
    <row r="865" spans="1:12" x14ac:dyDescent="0.2">
      <c r="A865" t="s">
        <v>412</v>
      </c>
      <c r="B865" s="22" t="s">
        <v>1139</v>
      </c>
      <c r="C865" s="25" t="s">
        <v>1140</v>
      </c>
      <c r="D865" s="22" t="s">
        <v>1139</v>
      </c>
      <c r="E865" s="9" t="str">
        <f>_xll.BDP($D865,E$40)</f>
        <v>#N/A N/A</v>
      </c>
      <c r="F865" s="9" t="str">
        <f>_xll.BDP($D865,F$40)</f>
        <v>#N/A N/A</v>
      </c>
      <c r="G865" s="9" t="str">
        <f>_xll.BDP($D865,G$40)</f>
        <v>#N/A N/A</v>
      </c>
      <c r="H865" s="9" t="str">
        <f>_xll.BDP($D865,H$40)</f>
        <v>#N/A N/A</v>
      </c>
      <c r="I865" s="9"/>
      <c r="J865" s="9"/>
      <c r="K865" s="9"/>
      <c r="L865" s="9" t="str">
        <f t="shared" ref="L865" si="96">IF(A865="STOCK",E865,IF(A865="SOPTION",G865,IF(A865="LOPTION",F865,"")))</f>
        <v>#N/A N/A</v>
      </c>
    </row>
    <row r="866" spans="1:12" x14ac:dyDescent="0.2">
      <c r="A866" t="s">
        <v>412</v>
      </c>
      <c r="B866" s="22" t="s">
        <v>1141</v>
      </c>
      <c r="C866" s="25" t="s">
        <v>1142</v>
      </c>
      <c r="D866" s="22" t="s">
        <v>1141</v>
      </c>
      <c r="E866" s="9">
        <f>_xll.BDP($D866,E$40)</f>
        <v>0.13</v>
      </c>
      <c r="F866" s="9">
        <f>_xll.BDP($D866,F$40)</f>
        <v>0.05</v>
      </c>
      <c r="G866" s="9">
        <f>_xll.BDP($D866,G$40)</f>
        <v>0.5</v>
      </c>
      <c r="H866" s="9">
        <f>_xll.BDP($D866,H$40)</f>
        <v>3.1141970000000001E-2</v>
      </c>
      <c r="I866" s="9"/>
      <c r="J866" s="9"/>
      <c r="K866" s="9"/>
      <c r="L866" s="9">
        <f t="shared" ref="L866" si="97">IF(A866="STOCK",E866,IF(A866="SOPTION",G866,IF(A866="LOPTION",F866,"")))</f>
        <v>0.5</v>
      </c>
    </row>
    <row r="867" spans="1:12" x14ac:dyDescent="0.2">
      <c r="A867" t="s">
        <v>412</v>
      </c>
      <c r="B867" s="22" t="s">
        <v>1143</v>
      </c>
      <c r="C867" s="25" t="s">
        <v>1144</v>
      </c>
      <c r="D867" s="22" t="s">
        <v>1143</v>
      </c>
      <c r="E867" s="9">
        <f>_xll.BDP($D867,E$40)</f>
        <v>0.28999999999999998</v>
      </c>
      <c r="F867" s="9">
        <f>_xll.BDP($D867,F$40)</f>
        <v>0.25</v>
      </c>
      <c r="G867" s="9">
        <f>_xll.BDP($D867,G$40)</f>
        <v>0.5</v>
      </c>
      <c r="H867" s="9">
        <f>_xll.BDP($D867,H$40)</f>
        <v>4.5239870000000001E-2</v>
      </c>
      <c r="I867" s="9"/>
      <c r="J867" s="9"/>
      <c r="K867" s="9"/>
      <c r="L867" s="9">
        <f t="shared" ref="L867" si="98">IF(A867="STOCK",E867,IF(A867="SOPTION",G867,IF(A867="LOPTION",F867,"")))</f>
        <v>0.5</v>
      </c>
    </row>
    <row r="868" spans="1:12" x14ac:dyDescent="0.2">
      <c r="A868" t="s">
        <v>412</v>
      </c>
      <c r="B868" s="22" t="s">
        <v>1147</v>
      </c>
      <c r="C868" s="25" t="s">
        <v>1150</v>
      </c>
      <c r="D868" s="22" t="s">
        <v>1147</v>
      </c>
      <c r="E868" s="9">
        <f>_xll.BDP($D868,E$40)</f>
        <v>9.0299999999999994</v>
      </c>
      <c r="F868" s="9">
        <f>_xll.BDP($D868,F$40)</f>
        <v>9.6999999999999993</v>
      </c>
      <c r="G868" s="9">
        <f>_xll.BDP($D868,G$40)</f>
        <v>12</v>
      </c>
      <c r="H868" s="9">
        <f>_xll.BDP($D868,H$40)</f>
        <v>-1</v>
      </c>
      <c r="I868" s="9"/>
      <c r="J868" s="9"/>
      <c r="K868" s="9"/>
      <c r="L868" s="9">
        <f t="shared" ref="L868:L870" si="99">IF(A868="STOCK",E868,IF(A868="SOPTION",G868,IF(A868="LOPTION",F868,"")))</f>
        <v>12</v>
      </c>
    </row>
    <row r="869" spans="1:12" x14ac:dyDescent="0.2">
      <c r="A869" t="s">
        <v>412</v>
      </c>
      <c r="B869" s="22" t="s">
        <v>1148</v>
      </c>
      <c r="C869" s="25" t="s">
        <v>1151</v>
      </c>
      <c r="D869" s="22" t="s">
        <v>1148</v>
      </c>
      <c r="E869" s="9">
        <f>_xll.BDP($D869,E$40)</f>
        <v>43.53</v>
      </c>
      <c r="F869" s="9">
        <f>_xll.BDP($D869,F$40)</f>
        <v>40.21</v>
      </c>
      <c r="G869" s="9">
        <f>_xll.BDP($D869,G$40)</f>
        <v>41.99</v>
      </c>
      <c r="H869" s="9">
        <f>_xll.BDP($D869,H$40)</f>
        <v>-0.93074590000000001</v>
      </c>
      <c r="I869" s="9"/>
      <c r="J869" s="9"/>
      <c r="K869" s="9"/>
      <c r="L869" s="9">
        <f t="shared" si="99"/>
        <v>41.99</v>
      </c>
    </row>
    <row r="870" spans="1:12" x14ac:dyDescent="0.2">
      <c r="A870" t="s">
        <v>1112</v>
      </c>
      <c r="B870" s="22" t="s">
        <v>1149</v>
      </c>
      <c r="C870" s="25" t="s">
        <v>1152</v>
      </c>
      <c r="D870" s="22" t="s">
        <v>1149</v>
      </c>
      <c r="E870" s="9">
        <f>_xll.BDP($D870,E$40)</f>
        <v>50.12</v>
      </c>
      <c r="F870" s="9">
        <f>_xll.BDP($D870,F$40)</f>
        <v>50.21</v>
      </c>
      <c r="G870" s="9">
        <f>_xll.BDP($D870,G$40)</f>
        <v>51.99</v>
      </c>
      <c r="H870" s="9">
        <f>_xll.BDP($D870,H$40)</f>
        <v>-1</v>
      </c>
      <c r="I870" s="9"/>
      <c r="J870" s="9"/>
      <c r="K870" s="9"/>
      <c r="L870" s="9">
        <f t="shared" si="99"/>
        <v>50.21</v>
      </c>
    </row>
    <row r="871" spans="1:12" s="9" customFormat="1" x14ac:dyDescent="0.2">
      <c r="A871" s="9" t="s">
        <v>412</v>
      </c>
      <c r="B871" s="22" t="s">
        <v>1153</v>
      </c>
      <c r="C871" s="25" t="s">
        <v>1154</v>
      </c>
      <c r="D871" s="22" t="s">
        <v>1153</v>
      </c>
      <c r="E871" s="9">
        <f>_xll.BDP($D871,E$40)</f>
        <v>0.08</v>
      </c>
      <c r="F871" s="9" t="str">
        <f>_xll.BDP($D871,F$40)</f>
        <v>#N/A N/A</v>
      </c>
      <c r="G871" s="9">
        <f>_xll.BDP($D871,G$40)</f>
        <v>0.05</v>
      </c>
      <c r="H871" s="9">
        <f>_xll.BDP($D871,H$40)</f>
        <v>4.8945780000000001E-2</v>
      </c>
      <c r="L871" s="9">
        <f t="shared" ref="L871" si="100">IF(A871="STOCK",E871,IF(A871="SOPTION",G871,IF(A871="LOPTION",F871,"")))</f>
        <v>0.05</v>
      </c>
    </row>
    <row r="872" spans="1:12" x14ac:dyDescent="0.2">
      <c r="A872" t="s">
        <v>412</v>
      </c>
      <c r="B872" s="22" t="s">
        <v>1157</v>
      </c>
      <c r="C872" s="25" t="s">
        <v>1158</v>
      </c>
      <c r="D872" s="22" t="s">
        <v>1157</v>
      </c>
      <c r="E872" s="9">
        <f>_xll.BDP($D872,E$40)</f>
        <v>0.45</v>
      </c>
      <c r="F872" s="9">
        <f>_xll.BDP($D872,F$40)</f>
        <v>0.25</v>
      </c>
      <c r="G872" s="9">
        <f>_xll.BDP($D872,G$40)</f>
        <v>0.53</v>
      </c>
      <c r="H872" s="9">
        <f>_xll.BDP($D872,H$40)</f>
        <v>4.5612989999999999E-2</v>
      </c>
      <c r="I872" s="9"/>
      <c r="J872" s="9"/>
      <c r="K872" s="9"/>
      <c r="L872" s="9">
        <f t="shared" ref="L872" si="101">IF(A872="STOCK",E872,IF(A872="SOPTION",G872,IF(A872="LOPTION",F872,"")))</f>
        <v>0.53</v>
      </c>
    </row>
    <row r="873" spans="1:12" x14ac:dyDescent="0.2">
      <c r="A873" t="s">
        <v>412</v>
      </c>
      <c r="B873" s="22" t="s">
        <v>1159</v>
      </c>
      <c r="C873" s="25" t="s">
        <v>1160</v>
      </c>
      <c r="D873" s="22" t="s">
        <v>1159</v>
      </c>
      <c r="E873" s="9">
        <f>_xll.BDP($D873,E$40)</f>
        <v>26.6</v>
      </c>
      <c r="F873" s="9">
        <f>_xll.BDP($D873,F$40)</f>
        <v>25.2</v>
      </c>
      <c r="G873" s="9">
        <f>_xll.BDP($D873,G$40)</f>
        <v>28</v>
      </c>
      <c r="H873" s="9">
        <f>_xll.BDP($D873,H$40)</f>
        <v>-0.84157420000000005</v>
      </c>
      <c r="I873" s="9"/>
      <c r="J873" s="9"/>
      <c r="K873" s="9"/>
      <c r="L873" s="9">
        <f t="shared" ref="L873" si="102">IF(A873="STOCK",E873,IF(A873="SOPTION",G873,IF(A873="LOPTION",F873,"")))</f>
        <v>28</v>
      </c>
    </row>
    <row r="874" spans="1:12" x14ac:dyDescent="0.2">
      <c r="A874" t="s">
        <v>412</v>
      </c>
      <c r="B874" s="22" t="s">
        <v>1161</v>
      </c>
      <c r="C874" s="25" t="s">
        <v>1162</v>
      </c>
      <c r="D874" s="22" t="s">
        <v>1161</v>
      </c>
      <c r="E874" s="9">
        <f>_xll.BDP($D874,E$40)</f>
        <v>0.6</v>
      </c>
      <c r="F874" s="9" t="str">
        <f>_xll.BDP($D874,F$40)</f>
        <v>#N/A N/A</v>
      </c>
      <c r="G874" s="9">
        <f>_xll.BDP($D874,G$40)</f>
        <v>1.95</v>
      </c>
      <c r="H874" s="9">
        <f>_xll.BDP($D874,H$40)</f>
        <v>0.18651019999999999</v>
      </c>
      <c r="I874" s="9"/>
      <c r="J874" s="9"/>
      <c r="K874" s="9"/>
      <c r="L874" s="9">
        <f t="shared" ref="L874" si="103">IF(A874="STOCK",E874,IF(A874="SOPTION",G874,IF(A874="LOPTION",F874,"")))</f>
        <v>1.95</v>
      </c>
    </row>
    <row r="875" spans="1:12" x14ac:dyDescent="0.2">
      <c r="A875" t="s">
        <v>412</v>
      </c>
      <c r="B875" s="22" t="s">
        <v>1163</v>
      </c>
      <c r="C875" s="25" t="s">
        <v>1164</v>
      </c>
      <c r="D875" s="22" t="s">
        <v>1163</v>
      </c>
      <c r="E875" s="9">
        <f>_xll.BDP($D875,E$40)</f>
        <v>0.05</v>
      </c>
      <c r="F875" s="9" t="str">
        <f>_xll.BDP($D875,F$40)</f>
        <v>#N/A N/A</v>
      </c>
      <c r="G875" s="9">
        <f>_xll.BDP($D875,G$40)</f>
        <v>0.05</v>
      </c>
      <c r="H875" s="9">
        <f>_xll.BDP($D875,H$40)</f>
        <v>5.0527320000000001E-2</v>
      </c>
      <c r="I875" s="9"/>
      <c r="J875" s="9"/>
      <c r="K875" s="9"/>
      <c r="L875" s="9">
        <f t="shared" ref="L875" si="104">IF(A875="STOCK",E875,IF(A875="SOPTION",G875,IF(A875="LOPTION",F875,"")))</f>
        <v>0.05</v>
      </c>
    </row>
    <row r="876" spans="1:12" x14ac:dyDescent="0.2">
      <c r="A876" t="s">
        <v>412</v>
      </c>
      <c r="B876" s="22" t="s">
        <v>1165</v>
      </c>
      <c r="C876" s="25" t="s">
        <v>1166</v>
      </c>
      <c r="D876" s="22" t="s">
        <v>1165</v>
      </c>
      <c r="E876" s="9">
        <f>_xll.BDP($D876,E$40)</f>
        <v>10.09</v>
      </c>
      <c r="F876" s="9">
        <f>_xll.BDP($D876,F$40)</f>
        <v>9.9</v>
      </c>
      <c r="G876" s="9">
        <f>_xll.BDP($D876,G$40)</f>
        <v>14.2</v>
      </c>
      <c r="H876" s="9">
        <f>_xll.BDP($D876,H$40)</f>
        <v>-0.96746180000000004</v>
      </c>
      <c r="I876" s="9"/>
      <c r="J876" s="9"/>
      <c r="K876" s="9"/>
      <c r="L876" s="9">
        <f t="shared" ref="L876" si="105">IF(A876="STOCK",E876,IF(A876="SOPTION",G876,IF(A876="LOPTION",F876,"")))</f>
        <v>14.2</v>
      </c>
    </row>
    <row r="877" spans="1:12" x14ac:dyDescent="0.2">
      <c r="A877" t="s">
        <v>412</v>
      </c>
      <c r="B877" s="22" t="s">
        <v>1167</v>
      </c>
      <c r="C877" s="25" t="s">
        <v>1168</v>
      </c>
      <c r="D877" s="22" t="s">
        <v>1167</v>
      </c>
      <c r="E877" s="9">
        <f>_xll.BDP($D877,E$40)</f>
        <v>10</v>
      </c>
      <c r="F877" s="9">
        <f>_xll.BDP($D877,F$40)</f>
        <v>10.6</v>
      </c>
      <c r="G877" s="9">
        <f>_xll.BDP($D877,G$40)</f>
        <v>15.4</v>
      </c>
      <c r="H877" s="9">
        <f>_xll.BDP($D877,H$40)</f>
        <v>-1</v>
      </c>
      <c r="I877" s="9"/>
      <c r="J877" s="9"/>
      <c r="K877" s="9"/>
      <c r="L877" s="9">
        <f t="shared" ref="L877" si="106">IF(A877="STOCK",E877,IF(A877="SOPTION",G877,IF(A877="LOPTION",F877,"")))</f>
        <v>15.4</v>
      </c>
    </row>
    <row r="878" spans="1:12" x14ac:dyDescent="0.2">
      <c r="A878" t="s">
        <v>412</v>
      </c>
      <c r="B878" s="22" t="s">
        <v>1170</v>
      </c>
      <c r="C878" s="25" t="s">
        <v>1171</v>
      </c>
      <c r="D878" s="22" t="s">
        <v>1170</v>
      </c>
      <c r="E878" s="9">
        <f>_xll.BDP($D878,E$40)</f>
        <v>0.25</v>
      </c>
      <c r="F878" s="9" t="str">
        <f>_xll.BDP($D878,F$40)</f>
        <v>#N/A N/A</v>
      </c>
      <c r="G878" s="9">
        <f>_xll.BDP($D878,G$40)</f>
        <v>0.8</v>
      </c>
      <c r="H878" s="9">
        <f>_xll.BDP($D878,H$40)</f>
        <v>5.4223519999999997E-2</v>
      </c>
      <c r="I878" s="9"/>
      <c r="J878" s="9"/>
      <c r="K878" s="9"/>
      <c r="L878" s="9">
        <f t="shared" ref="L878" si="107">IF(A878="STOCK",E878,IF(A878="SOPTION",G878,IF(A878="LOPTION",F878,"")))</f>
        <v>0.8</v>
      </c>
    </row>
    <row r="879" spans="1:12" x14ac:dyDescent="0.2">
      <c r="A879" t="s">
        <v>412</v>
      </c>
      <c r="B879" s="22" t="s">
        <v>1172</v>
      </c>
      <c r="C879" s="25" t="s">
        <v>1173</v>
      </c>
      <c r="D879" s="22" t="s">
        <v>1172</v>
      </c>
      <c r="E879" s="9" t="str">
        <f>_xll.BDP($D879,E$40)</f>
        <v>#N/A N/A</v>
      </c>
      <c r="F879" s="9" t="str">
        <f>_xll.BDP($D879,F$40)</f>
        <v>#N/A N/A</v>
      </c>
      <c r="G879" s="9" t="str">
        <f>_xll.BDP($D879,G$40)</f>
        <v>#N/A N/A</v>
      </c>
      <c r="H879" s="9" t="str">
        <f>_xll.BDP($D879,H$40)</f>
        <v>#N/A N/A</v>
      </c>
      <c r="I879" s="9"/>
      <c r="J879" s="9"/>
      <c r="K879" s="9"/>
      <c r="L879" s="9" t="str">
        <f t="shared" ref="L879" si="108">IF(A879="STOCK",E879,IF(A879="SOPTION",G879,IF(A879="LOPTION",F879,"")))</f>
        <v>#N/A N/A</v>
      </c>
    </row>
    <row r="880" spans="1:12" x14ac:dyDescent="0.2">
      <c r="A880" t="s">
        <v>412</v>
      </c>
      <c r="B880" s="22" t="s">
        <v>1180</v>
      </c>
      <c r="C880" s="25" t="s">
        <v>1182</v>
      </c>
      <c r="D880" s="22" t="s">
        <v>1180</v>
      </c>
      <c r="E880" s="9" t="str">
        <f>_xll.BDP($D880,E$40)</f>
        <v>#N/A N/A</v>
      </c>
      <c r="F880" s="9" t="str">
        <f>_xll.BDP($D880,F$40)</f>
        <v>#N/A N/A</v>
      </c>
      <c r="G880" s="9" t="str">
        <f>_xll.BDP($D880,G$40)</f>
        <v>#N/A N/A</v>
      </c>
      <c r="H880" s="9" t="str">
        <f>_xll.BDP($D880,H$40)</f>
        <v>#N/A N/A</v>
      </c>
      <c r="I880" s="9"/>
      <c r="J880" s="9"/>
      <c r="K880" s="9"/>
      <c r="L880" s="9" t="str">
        <f t="shared" ref="L880:L881" si="109">IF(A880="STOCK",E880,IF(A880="SOPTION",G880,IF(A880="LOPTION",F880,"")))</f>
        <v>#N/A N/A</v>
      </c>
    </row>
    <row r="881" spans="1:12" x14ac:dyDescent="0.2">
      <c r="A881" t="s">
        <v>412</v>
      </c>
      <c r="B881" s="22" t="s">
        <v>1181</v>
      </c>
      <c r="C881" s="25" t="s">
        <v>1183</v>
      </c>
      <c r="D881" s="22" t="s">
        <v>1181</v>
      </c>
      <c r="E881" s="9">
        <f>_xll.BDP($D881,E$40)</f>
        <v>28.85</v>
      </c>
      <c r="F881" s="9">
        <f>_xll.BDP($D881,F$40)</f>
        <v>31.3</v>
      </c>
      <c r="G881" s="9">
        <f>_xll.BDP($D881,G$40)</f>
        <v>36</v>
      </c>
      <c r="H881" s="9">
        <f>_xll.BDP($D881,H$40)</f>
        <v>-1</v>
      </c>
      <c r="I881" s="9"/>
      <c r="J881" s="9"/>
      <c r="K881" s="9"/>
      <c r="L881" s="9">
        <f t="shared" si="109"/>
        <v>36</v>
      </c>
    </row>
    <row r="882" spans="1:12" x14ac:dyDescent="0.2">
      <c r="A882" t="s">
        <v>412</v>
      </c>
      <c r="B882" s="22" t="s">
        <v>1186</v>
      </c>
      <c r="C882" s="25" t="s">
        <v>1187</v>
      </c>
      <c r="D882" s="22" t="s">
        <v>1186</v>
      </c>
      <c r="E882" s="9" t="str">
        <f>_xll.BDP($D882,E$40)</f>
        <v>#N/A N/A</v>
      </c>
      <c r="F882" s="9" t="str">
        <f>_xll.BDP($D882,F$40)</f>
        <v>#N/A N/A</v>
      </c>
      <c r="G882" s="9" t="str">
        <f>_xll.BDP($D882,G$40)</f>
        <v>#N/A N/A</v>
      </c>
      <c r="H882" s="9" t="str">
        <f>_xll.BDP($D882,H$40)</f>
        <v>#N/A N/A</v>
      </c>
      <c r="I882" s="9"/>
      <c r="J882" s="9"/>
      <c r="K882" s="9"/>
      <c r="L882" s="9" t="str">
        <f t="shared" ref="L882:L885" si="110">IF(A882="STOCK",E882,IF(A882="SOPTION",G882,IF(A882="LOPTION",F882,"")))</f>
        <v>#N/A N/A</v>
      </c>
    </row>
    <row r="883" spans="1:12" s="9" customFormat="1" x14ac:dyDescent="0.2">
      <c r="A883" s="9" t="s">
        <v>412</v>
      </c>
      <c r="B883" s="22" t="s">
        <v>1190</v>
      </c>
      <c r="C883" s="25" t="s">
        <v>1191</v>
      </c>
      <c r="D883" s="22" t="s">
        <v>1190</v>
      </c>
      <c r="E883" s="9" t="str">
        <f>_xll.BDP($D883,E$40)</f>
        <v>#N/A N/A</v>
      </c>
      <c r="F883" s="9" t="str">
        <f>_xll.BDP($D883,F$40)</f>
        <v>#N/A N/A</v>
      </c>
      <c r="G883" s="9" t="str">
        <f>_xll.BDP($D883,G$40)</f>
        <v>#N/A N/A</v>
      </c>
      <c r="H883" s="9" t="str">
        <f>_xll.BDP($D883,H$40)</f>
        <v>#N/A N/A</v>
      </c>
      <c r="L883" s="9" t="str">
        <f t="shared" si="110"/>
        <v>#N/A N/A</v>
      </c>
    </row>
    <row r="884" spans="1:12" s="9" customFormat="1" x14ac:dyDescent="0.2">
      <c r="A884" s="9" t="s">
        <v>412</v>
      </c>
      <c r="B884" s="22" t="s">
        <v>1192</v>
      </c>
      <c r="C884" s="25" t="s">
        <v>1193</v>
      </c>
      <c r="D884" s="22" t="s">
        <v>1192</v>
      </c>
      <c r="E884" s="9">
        <f>_xll.BDP($D884,E$40)</f>
        <v>3.28</v>
      </c>
      <c r="F884" s="9">
        <f>_xll.BDP($D884,F$40)</f>
        <v>11.5</v>
      </c>
      <c r="G884" s="9">
        <f>_xll.BDP($D884,G$40)</f>
        <v>15.9</v>
      </c>
      <c r="H884" s="9">
        <f>_xll.BDP($D884,H$40)</f>
        <v>-1</v>
      </c>
      <c r="L884" s="9">
        <f t="shared" si="110"/>
        <v>15.9</v>
      </c>
    </row>
    <row r="885" spans="1:12" s="9" customFormat="1" x14ac:dyDescent="0.2">
      <c r="A885" s="9" t="s">
        <v>412</v>
      </c>
      <c r="B885" s="22" t="s">
        <v>1194</v>
      </c>
      <c r="C885" s="25" t="s">
        <v>1195</v>
      </c>
      <c r="D885" s="22" t="s">
        <v>1194</v>
      </c>
      <c r="E885" s="9">
        <f>_xll.BDP($D885,E$40)</f>
        <v>33.200000000000003</v>
      </c>
      <c r="F885" s="9">
        <f>_xll.BDP($D885,F$40)</f>
        <v>33</v>
      </c>
      <c r="G885" s="9">
        <f>_xll.BDP($D885,G$40)</f>
        <v>35.200000000000003</v>
      </c>
      <c r="H885" s="9">
        <f>_xll.BDP($D885,H$40)</f>
        <v>-0.87219080000000004</v>
      </c>
      <c r="L885" s="9">
        <f t="shared" si="110"/>
        <v>35.200000000000003</v>
      </c>
    </row>
    <row r="886" spans="1:12" s="9" customFormat="1" x14ac:dyDescent="0.2">
      <c r="A886" s="9" t="s">
        <v>412</v>
      </c>
      <c r="B886" s="22" t="s">
        <v>1196</v>
      </c>
      <c r="C886" s="25" t="s">
        <v>1197</v>
      </c>
      <c r="D886" s="22" t="s">
        <v>1196</v>
      </c>
      <c r="E886" s="9">
        <f>_xll.BDP($D886,E$40)</f>
        <v>32.799999999999997</v>
      </c>
      <c r="F886" s="9">
        <f>_xll.BDP($D886,F$40)</f>
        <v>35.35</v>
      </c>
      <c r="G886" s="9">
        <f>_xll.BDP($D886,G$40)</f>
        <v>37.299999999999997</v>
      </c>
      <c r="H886" s="9">
        <f>_xll.BDP($D886,H$40)</f>
        <v>-1</v>
      </c>
      <c r="L886" s="9">
        <f t="shared" ref="L886" si="111">IF(A886="STOCK",E886,IF(A886="SOPTION",G886,IF(A886="LOPTION",F886,"")))</f>
        <v>37.299999999999997</v>
      </c>
    </row>
    <row r="887" spans="1:12" x14ac:dyDescent="0.2">
      <c r="A887" t="s">
        <v>412</v>
      </c>
      <c r="B887" s="22" t="s">
        <v>1198</v>
      </c>
      <c r="C887" s="25" t="s">
        <v>1199</v>
      </c>
      <c r="D887" s="22" t="s">
        <v>1198</v>
      </c>
      <c r="E887" s="9">
        <f>_xll.BDP($D887,E$40)</f>
        <v>11.4</v>
      </c>
      <c r="F887" s="9">
        <f>_xll.BDP($D887,F$40)</f>
        <v>13.8</v>
      </c>
      <c r="G887" s="9">
        <f>_xll.BDP($D887,G$40)</f>
        <v>14.4</v>
      </c>
      <c r="H887" s="9">
        <f>_xll.BDP($D887,H$40)</f>
        <v>-1</v>
      </c>
      <c r="I887" s="9"/>
      <c r="J887" s="9"/>
      <c r="K887" s="9"/>
      <c r="L887" s="9">
        <f t="shared" ref="L887" si="112">IF(A887="STOCK",E887,IF(A887="SOPTION",G887,IF(A887="LOPTION",F887,"")))</f>
        <v>14.4</v>
      </c>
    </row>
    <row r="888" spans="1:12" x14ac:dyDescent="0.2">
      <c r="A888" t="s">
        <v>412</v>
      </c>
      <c r="B888" s="22" t="s">
        <v>1200</v>
      </c>
      <c r="C888" s="25" t="s">
        <v>1201</v>
      </c>
      <c r="D888" s="22" t="s">
        <v>1200</v>
      </c>
      <c r="E888" s="9">
        <f>_xll.BDP($D888,E$40)</f>
        <v>0.05</v>
      </c>
      <c r="F888" s="9" t="str">
        <f>_xll.BDP($D888,F$40)</f>
        <v>#N/A N/A</v>
      </c>
      <c r="G888" s="9">
        <f>_xll.BDP($D888,G$40)</f>
        <v>0.05</v>
      </c>
      <c r="H888" s="9">
        <f>_xll.BDP($D888,H$40)</f>
        <v>2.816192E-2</v>
      </c>
      <c r="I888" s="9"/>
      <c r="J888" s="9"/>
      <c r="K888" s="9"/>
      <c r="L888" s="9">
        <f t="shared" ref="L888" si="113">IF(A888="STOCK",E888,IF(A888="SOPTION",G888,IF(A888="LOPTION",F888,"")))</f>
        <v>0.05</v>
      </c>
    </row>
    <row r="889" spans="1:12" x14ac:dyDescent="0.2">
      <c r="A889" t="s">
        <v>412</v>
      </c>
      <c r="B889" s="22" t="s">
        <v>1202</v>
      </c>
      <c r="C889" s="25" t="s">
        <v>1203</v>
      </c>
      <c r="D889" s="22" t="s">
        <v>1202</v>
      </c>
      <c r="E889" s="9">
        <f>_xll.BDP($D889,E$40)</f>
        <v>0.04</v>
      </c>
      <c r="F889" s="9" t="str">
        <f>_xll.BDP($D889,F$40)</f>
        <v>#N/A N/A</v>
      </c>
      <c r="G889" s="9">
        <f>_xll.BDP($D889,G$40)</f>
        <v>0.05</v>
      </c>
      <c r="H889" s="9">
        <f>_xll.BDP($D889,H$40)</f>
        <v>1.804743E-2</v>
      </c>
      <c r="I889" s="9"/>
      <c r="J889" s="9"/>
      <c r="K889" s="9"/>
      <c r="L889" s="9">
        <f t="shared" ref="L889" si="114">IF(A889="STOCK",E889,IF(A889="SOPTION",G889,IF(A889="LOPTION",F889,"")))</f>
        <v>0.05</v>
      </c>
    </row>
    <row r="890" spans="1:12" x14ac:dyDescent="0.2">
      <c r="A890" t="s">
        <v>412</v>
      </c>
      <c r="B890" s="22" t="s">
        <v>1206</v>
      </c>
      <c r="C890" s="25" t="s">
        <v>1207</v>
      </c>
      <c r="D890" s="22" t="s">
        <v>1206</v>
      </c>
      <c r="E890" s="9">
        <f>_xll.BDP($D890,E$40)</f>
        <v>7.26</v>
      </c>
      <c r="F890" s="9">
        <f>_xll.BDP($D890,F$40)</f>
        <v>11.7</v>
      </c>
      <c r="G890" s="9">
        <f>_xll.BDP($D890,G$40)</f>
        <v>15.2</v>
      </c>
      <c r="H890" s="9">
        <f>_xll.BDP($D890,H$40)</f>
        <v>-1</v>
      </c>
      <c r="I890" s="9"/>
      <c r="J890" s="9"/>
      <c r="K890" s="9"/>
      <c r="L890" s="9">
        <f t="shared" ref="L890" si="115">IF(A890="STOCK",E890,IF(A890="SOPTION",G890,IF(A890="LOPTION",F890,"")))</f>
        <v>15.2</v>
      </c>
    </row>
    <row r="891" spans="1:12" x14ac:dyDescent="0.2">
      <c r="A891" t="s">
        <v>412</v>
      </c>
      <c r="B891" s="22" t="s">
        <v>1208</v>
      </c>
      <c r="C891" s="25" t="s">
        <v>1209</v>
      </c>
      <c r="D891" s="22" t="s">
        <v>1208</v>
      </c>
      <c r="E891" s="9">
        <f>_xll.BDP($D891,E$40)</f>
        <v>6</v>
      </c>
      <c r="F891" s="9">
        <f>_xll.BDP($D891,F$40)</f>
        <v>0.95</v>
      </c>
      <c r="G891" s="9">
        <f>_xll.BDP($D891,G$40)</f>
        <v>2.2000000000000002</v>
      </c>
      <c r="H891" s="9">
        <f>_xll.BDP($D891,H$40)</f>
        <v>0.10360800000000001</v>
      </c>
      <c r="I891" s="9"/>
      <c r="J891" s="9"/>
      <c r="K891" s="9"/>
      <c r="L891" s="9">
        <f t="shared" ref="L891" si="116">IF(A891="STOCK",E891,IF(A891="SOPTION",G891,IF(A891="LOPTION",F891,"")))</f>
        <v>2.2000000000000002</v>
      </c>
    </row>
    <row r="892" spans="1:12" x14ac:dyDescent="0.2">
      <c r="A892" t="s">
        <v>412</v>
      </c>
      <c r="B892" s="22" t="s">
        <v>1210</v>
      </c>
      <c r="C892" s="25" t="s">
        <v>1211</v>
      </c>
      <c r="D892" s="22" t="s">
        <v>1210</v>
      </c>
      <c r="E892" s="9">
        <f>_xll.BDP($D892,E$40)</f>
        <v>0.05</v>
      </c>
      <c r="F892" s="9" t="str">
        <f>_xll.BDP($D892,F$40)</f>
        <v>#N/A N/A</v>
      </c>
      <c r="G892" s="9">
        <f>_xll.BDP($D892,G$40)</f>
        <v>0.15</v>
      </c>
      <c r="H892" s="9">
        <f>_xll.BDP($D892,H$40)</f>
        <v>1.093132E-2</v>
      </c>
      <c r="I892" s="9"/>
      <c r="J892" s="9"/>
      <c r="K892" s="9"/>
      <c r="L892" s="9">
        <f t="shared" ref="L892" si="117">IF(A892="STOCK",E892,IF(A892="SOPTION",G892,IF(A892="LOPTION",F892,"")))</f>
        <v>0.15</v>
      </c>
    </row>
    <row r="893" spans="1:12" x14ac:dyDescent="0.2">
      <c r="A893" t="s">
        <v>412</v>
      </c>
      <c r="B893" s="22" t="s">
        <v>1212</v>
      </c>
      <c r="C893" s="25" t="s">
        <v>1213</v>
      </c>
      <c r="D893" s="22" t="s">
        <v>1212</v>
      </c>
      <c r="E893" s="9">
        <f>_xll.BDP($D893,E$40)</f>
        <v>0.5</v>
      </c>
      <c r="F893" s="9" t="str">
        <f>_xll.BDP($D893,F$40)</f>
        <v>#N/A N/A</v>
      </c>
      <c r="G893" s="9">
        <f>_xll.BDP($D893,G$40)</f>
        <v>0.6</v>
      </c>
      <c r="H893" s="9">
        <f>_xll.BDP($D893,H$40)</f>
        <v>0.106456</v>
      </c>
      <c r="I893" s="9"/>
      <c r="J893" s="9"/>
      <c r="K893" s="9"/>
      <c r="L893" s="9">
        <f t="shared" ref="L893" si="118">IF(A893="STOCK",E893,IF(A893="SOPTION",G893,IF(A893="LOPTION",F893,"")))</f>
        <v>0.6</v>
      </c>
    </row>
    <row r="894" spans="1:12" x14ac:dyDescent="0.2">
      <c r="A894" t="s">
        <v>412</v>
      </c>
      <c r="B894" s="22" t="s">
        <v>1214</v>
      </c>
      <c r="C894" s="25" t="s">
        <v>1215</v>
      </c>
      <c r="D894" s="22" t="s">
        <v>1214</v>
      </c>
      <c r="E894" s="9">
        <f>_xll.BDP($D894,E$40)</f>
        <v>0.03</v>
      </c>
      <c r="F894" s="9" t="str">
        <f>_xll.BDP($D894,F$40)</f>
        <v>#N/A N/A</v>
      </c>
      <c r="G894" s="9">
        <f>_xll.BDP($D894,G$40)</f>
        <v>0.05</v>
      </c>
      <c r="H894" s="9">
        <f>_xll.BDP($D894,H$40)</f>
        <v>1.573571E-2</v>
      </c>
      <c r="I894" s="9"/>
      <c r="J894" s="9"/>
      <c r="K894" s="9"/>
      <c r="L894" s="9">
        <f t="shared" ref="L894" si="119">IF(A894="STOCK",E894,IF(A894="SOPTION",G894,IF(A894="LOPTION",F894,"")))</f>
        <v>0.05</v>
      </c>
    </row>
    <row r="895" spans="1:12" x14ac:dyDescent="0.2">
      <c r="A895" t="s">
        <v>412</v>
      </c>
      <c r="B895" s="22" t="s">
        <v>1216</v>
      </c>
      <c r="C895" s="25" t="s">
        <v>1218</v>
      </c>
      <c r="D895" s="22" t="s">
        <v>1216</v>
      </c>
      <c r="E895" s="9">
        <f>_xll.BDP($D895,E$40)</f>
        <v>17</v>
      </c>
      <c r="F895" s="9">
        <f>_xll.BDP($D895,F$40)</f>
        <v>43.7</v>
      </c>
      <c r="G895" s="9">
        <f>_xll.BDP($D895,G$40)</f>
        <v>48.4</v>
      </c>
      <c r="H895" s="9">
        <f>_xll.BDP($D895,H$40)</f>
        <v>-1</v>
      </c>
      <c r="I895" s="9"/>
      <c r="J895" s="9"/>
      <c r="K895" s="9"/>
      <c r="L895" s="9">
        <f t="shared" ref="L895:L896" si="120">IF(A895="STOCK",E895,IF(A895="SOPTION",G895,IF(A895="LOPTION",F895,"")))</f>
        <v>48.4</v>
      </c>
    </row>
    <row r="896" spans="1:12" x14ac:dyDescent="0.2">
      <c r="A896" t="s">
        <v>412</v>
      </c>
      <c r="B896" s="22" t="s">
        <v>1217</v>
      </c>
      <c r="C896" s="25" t="s">
        <v>1219</v>
      </c>
      <c r="D896" s="22" t="s">
        <v>1217</v>
      </c>
      <c r="E896" s="9">
        <f>_xll.BDP($D896,E$40)</f>
        <v>0.24</v>
      </c>
      <c r="F896" s="9" t="str">
        <f>_xll.BDP($D896,F$40)</f>
        <v>#N/A N/A</v>
      </c>
      <c r="G896" s="9">
        <f>_xll.BDP($D896,G$40)</f>
        <v>1.55</v>
      </c>
      <c r="H896" s="9">
        <f>_xll.BDP($D896,H$40)</f>
        <v>7.7908169999999999E-2</v>
      </c>
      <c r="I896" s="9"/>
      <c r="J896" s="9"/>
      <c r="K896" s="9"/>
      <c r="L896" s="9">
        <f t="shared" si="120"/>
        <v>1.55</v>
      </c>
    </row>
    <row r="897" spans="1:12" x14ac:dyDescent="0.2">
      <c r="A897" t="s">
        <v>412</v>
      </c>
      <c r="B897" s="22" t="s">
        <v>1220</v>
      </c>
      <c r="C897" s="25" t="s">
        <v>1221</v>
      </c>
      <c r="D897" s="22" t="s">
        <v>1220</v>
      </c>
      <c r="E897" s="9">
        <f>_xll.BDP($D897,E$40)</f>
        <v>2.4</v>
      </c>
      <c r="F897" s="9">
        <f>_xll.BDP($D897,F$40)</f>
        <v>0.35</v>
      </c>
      <c r="G897" s="9">
        <f>_xll.BDP($D897,G$40)</f>
        <v>0.95</v>
      </c>
      <c r="H897" s="9">
        <f>_xll.BDP($D897,H$40)</f>
        <v>0.20606530000000001</v>
      </c>
      <c r="I897" s="9"/>
      <c r="J897" s="9"/>
      <c r="K897" s="9"/>
      <c r="L897" s="9">
        <f t="shared" ref="L897" si="121">IF(A897="STOCK",E897,IF(A897="SOPTION",G897,IF(A897="LOPTION",F897,"")))</f>
        <v>0.95</v>
      </c>
    </row>
    <row r="898" spans="1:12" x14ac:dyDescent="0.2">
      <c r="A898" t="s">
        <v>412</v>
      </c>
      <c r="B898" s="22" t="s">
        <v>1222</v>
      </c>
      <c r="C898" s="25" t="s">
        <v>1223</v>
      </c>
      <c r="D898" s="22" t="s">
        <v>1222</v>
      </c>
      <c r="E898" s="9">
        <f>_xll.BDP($D898,E$40)</f>
        <v>1.1000000000000001</v>
      </c>
      <c r="F898" s="9">
        <f>_xll.BDP($D898,F$40)</f>
        <v>0.2</v>
      </c>
      <c r="G898" s="9">
        <f>_xll.BDP($D898,G$40)</f>
        <v>1.1000000000000001</v>
      </c>
      <c r="H898" s="9">
        <f>_xll.BDP($D898,H$40)</f>
        <v>0.24080950000000001</v>
      </c>
      <c r="I898" s="9"/>
      <c r="J898" s="9"/>
      <c r="K898" s="9"/>
      <c r="L898" s="9">
        <f t="shared" ref="L898" si="122">IF(A898="STOCK",E898,IF(A898="SOPTION",G898,IF(A898="LOPTION",F898,"")))</f>
        <v>1.1000000000000001</v>
      </c>
    </row>
    <row r="899" spans="1:12" x14ac:dyDescent="0.2">
      <c r="A899" t="s">
        <v>412</v>
      </c>
      <c r="B899" s="22" t="s">
        <v>1224</v>
      </c>
      <c r="C899" s="25" t="s">
        <v>1226</v>
      </c>
      <c r="D899" s="22" t="s">
        <v>1224</v>
      </c>
      <c r="E899" s="9">
        <f>_xll.BDP($D899,E$40)</f>
        <v>30.58</v>
      </c>
      <c r="F899" s="9">
        <f>_xll.BDP($D899,F$40)</f>
        <v>53.7</v>
      </c>
      <c r="G899" s="9">
        <f>_xll.BDP($D899,G$40)</f>
        <v>58.45</v>
      </c>
      <c r="H899" s="9">
        <f>_xll.BDP($D899,H$40)</f>
        <v>-1</v>
      </c>
      <c r="I899" s="9"/>
      <c r="J899" s="9"/>
      <c r="K899" s="9"/>
      <c r="L899" s="9">
        <f t="shared" ref="L899:L900" si="123">IF(A899="STOCK",E899,IF(A899="SOPTION",G899,IF(A899="LOPTION",F899,"")))</f>
        <v>58.45</v>
      </c>
    </row>
    <row r="900" spans="1:12" x14ac:dyDescent="0.2">
      <c r="A900" t="s">
        <v>412</v>
      </c>
      <c r="B900" s="22" t="s">
        <v>1225</v>
      </c>
      <c r="C900" s="25" t="s">
        <v>1227</v>
      </c>
      <c r="D900" s="22" t="s">
        <v>1225</v>
      </c>
      <c r="E900" s="9">
        <f>_xll.BDP($D900,E$40)</f>
        <v>4.9000000000000004</v>
      </c>
      <c r="F900" s="9">
        <f>_xll.BDP($D900,F$40)</f>
        <v>12.6</v>
      </c>
      <c r="G900" s="9">
        <f>_xll.BDP($D900,G$40)</f>
        <v>17.399999999999999</v>
      </c>
      <c r="H900" s="9">
        <f>_xll.BDP($D900,H$40)</f>
        <v>-1</v>
      </c>
      <c r="I900" s="9"/>
      <c r="J900" s="9"/>
      <c r="K900" s="9"/>
      <c r="L900" s="9">
        <f t="shared" si="123"/>
        <v>17.399999999999999</v>
      </c>
    </row>
    <row r="901" spans="1:12" x14ac:dyDescent="0.2">
      <c r="A901" t="s">
        <v>412</v>
      </c>
      <c r="B901" s="22" t="s">
        <v>1228</v>
      </c>
      <c r="C901" s="25" t="s">
        <v>1230</v>
      </c>
      <c r="D901" s="22" t="s">
        <v>1228</v>
      </c>
      <c r="E901" s="9">
        <f>_xll.BDP($D901,E$40)</f>
        <v>10.07</v>
      </c>
      <c r="F901" s="9">
        <f>_xll.BDP($D901,F$40)</f>
        <v>9.6999999999999993</v>
      </c>
      <c r="G901" s="9">
        <f>_xll.BDP($D901,G$40)</f>
        <v>13.2</v>
      </c>
      <c r="H901" s="9">
        <f>_xll.BDP($D901,H$40)</f>
        <v>-1</v>
      </c>
      <c r="I901" s="9"/>
      <c r="J901" s="9"/>
      <c r="K901" s="9"/>
      <c r="L901" s="9">
        <f t="shared" ref="L901:L902" si="124">IF(A901="STOCK",E901,IF(A901="SOPTION",G901,IF(A901="LOPTION",F901,"")))</f>
        <v>13.2</v>
      </c>
    </row>
    <row r="902" spans="1:12" x14ac:dyDescent="0.2">
      <c r="A902" t="s">
        <v>412</v>
      </c>
      <c r="B902" s="22" t="s">
        <v>1229</v>
      </c>
      <c r="C902" s="25" t="s">
        <v>1231</v>
      </c>
      <c r="D902" s="22" t="s">
        <v>1229</v>
      </c>
      <c r="E902" s="9">
        <f>_xll.BDP($D902,E$40)</f>
        <v>0.05</v>
      </c>
      <c r="F902" s="9" t="str">
        <f>_xll.BDP($D902,F$40)</f>
        <v>#N/A N/A</v>
      </c>
      <c r="G902" s="9">
        <f>_xll.BDP($D902,G$40)</f>
        <v>0.05</v>
      </c>
      <c r="H902" s="9">
        <f>_xll.BDP($D902,H$40)</f>
        <v>4.091434E-2</v>
      </c>
      <c r="I902" s="9"/>
      <c r="J902" s="9"/>
      <c r="K902" s="9"/>
      <c r="L902" s="9">
        <f t="shared" si="124"/>
        <v>0.05</v>
      </c>
    </row>
    <row r="903" spans="1:12" x14ac:dyDescent="0.2">
      <c r="A903" t="s">
        <v>412</v>
      </c>
      <c r="B903" s="22" t="s">
        <v>1232</v>
      </c>
      <c r="C903" s="25" t="s">
        <v>1235</v>
      </c>
      <c r="D903" s="22" t="s">
        <v>1232</v>
      </c>
      <c r="E903" s="9">
        <f>_xll.BDP($D903,E$40)</f>
        <v>0.12</v>
      </c>
      <c r="F903" s="9" t="str">
        <f>_xll.BDP($D903,F$40)</f>
        <v>#N/A N/A</v>
      </c>
      <c r="G903" s="9">
        <f>_xll.BDP($D903,G$40)</f>
        <v>0.25</v>
      </c>
      <c r="H903" s="9">
        <f>_xll.BDP($D903,H$40)</f>
        <v>7.8830269999999994E-2</v>
      </c>
      <c r="I903" s="9"/>
      <c r="J903" s="9"/>
      <c r="K903" s="9"/>
      <c r="L903" s="9">
        <f t="shared" ref="L903:L904" si="125">IF(A903="STOCK",E903,IF(A903="SOPTION",G903,IF(A903="LOPTION",F903,"")))</f>
        <v>0.25</v>
      </c>
    </row>
    <row r="904" spans="1:12" x14ac:dyDescent="0.2">
      <c r="A904" t="s">
        <v>412</v>
      </c>
      <c r="B904" s="22" t="s">
        <v>1233</v>
      </c>
      <c r="C904" s="25" t="s">
        <v>1234</v>
      </c>
      <c r="D904" s="22" t="s">
        <v>1233</v>
      </c>
      <c r="E904" s="9">
        <f>_xll.BDP($D904,E$40)</f>
        <v>0.05</v>
      </c>
      <c r="F904" s="9" t="str">
        <f>_xll.BDP($D904,F$40)</f>
        <v>#N/A N/A</v>
      </c>
      <c r="G904" s="9">
        <f>_xll.BDP($D904,G$40)</f>
        <v>0.5</v>
      </c>
      <c r="H904" s="9">
        <f>_xll.BDP($D904,H$40)</f>
        <v>1.0306289999999999E-3</v>
      </c>
      <c r="I904" s="9"/>
      <c r="J904" s="9"/>
      <c r="K904" s="9"/>
      <c r="L904" s="9">
        <f t="shared" si="125"/>
        <v>0.5</v>
      </c>
    </row>
    <row r="905" spans="1:12" x14ac:dyDescent="0.2">
      <c r="A905" t="s">
        <v>412</v>
      </c>
      <c r="B905" s="22" t="s">
        <v>1236</v>
      </c>
      <c r="C905" s="25" t="s">
        <v>1239</v>
      </c>
      <c r="D905" s="22" t="s">
        <v>1236</v>
      </c>
      <c r="E905" s="9">
        <f>_xll.BDP($D905,E$40)</f>
        <v>0.45</v>
      </c>
      <c r="F905" s="9" t="str">
        <f>_xll.BDP($D905,F$40)</f>
        <v>#N/A N/A</v>
      </c>
      <c r="G905" s="9">
        <f>_xll.BDP($D905,G$40)</f>
        <v>0.9</v>
      </c>
      <c r="H905" s="9">
        <f>_xll.BDP($D905,H$40)</f>
        <v>5.3201190000000002E-2</v>
      </c>
      <c r="I905" s="9"/>
      <c r="J905" s="9"/>
      <c r="K905" s="9"/>
      <c r="L905" s="9">
        <f t="shared" ref="L905:L907" si="126">IF(A905="STOCK",E905,IF(A905="SOPTION",G905,IF(A905="LOPTION",F905,"")))</f>
        <v>0.9</v>
      </c>
    </row>
    <row r="906" spans="1:12" x14ac:dyDescent="0.2">
      <c r="A906" t="s">
        <v>412</v>
      </c>
      <c r="B906" s="22" t="s">
        <v>1237</v>
      </c>
      <c r="C906" s="25" t="s">
        <v>1240</v>
      </c>
      <c r="D906" s="22" t="s">
        <v>1237</v>
      </c>
      <c r="E906" s="9">
        <f>_xll.BDP($D906,E$40)</f>
        <v>1.1000000000000001</v>
      </c>
      <c r="F906" s="9">
        <f>_xll.BDP($D906,F$40)</f>
        <v>1</v>
      </c>
      <c r="G906" s="9">
        <f>_xll.BDP($D906,G$40)</f>
        <v>1.4</v>
      </c>
      <c r="H906" s="9">
        <f>_xll.BDP($D906,H$40)</f>
        <v>0.4097113</v>
      </c>
      <c r="I906" s="9"/>
      <c r="J906" s="9"/>
      <c r="K906" s="9"/>
      <c r="L906" s="9">
        <f t="shared" si="126"/>
        <v>1.4</v>
      </c>
    </row>
    <row r="907" spans="1:12" x14ac:dyDescent="0.2">
      <c r="A907" t="s">
        <v>412</v>
      </c>
      <c r="B907" s="22" t="s">
        <v>1238</v>
      </c>
      <c r="C907" s="25" t="s">
        <v>1241</v>
      </c>
      <c r="D907" s="22" t="s">
        <v>1238</v>
      </c>
      <c r="E907" s="9" t="str">
        <f>_xll.BDP($D907,E$40)</f>
        <v>#N/A N/A</v>
      </c>
      <c r="F907" s="9" t="str">
        <f>_xll.BDP($D907,F$40)</f>
        <v>#N/A N/A</v>
      </c>
      <c r="G907" s="9" t="str">
        <f>_xll.BDP($D907,G$40)</f>
        <v>#N/A N/A</v>
      </c>
      <c r="H907" s="9" t="str">
        <f>_xll.BDP($D907,H$40)</f>
        <v>#N/A N/A</v>
      </c>
      <c r="I907" s="9"/>
      <c r="J907" s="9"/>
      <c r="K907" s="9"/>
      <c r="L907" s="9" t="str">
        <f t="shared" si="126"/>
        <v>#N/A N/A</v>
      </c>
    </row>
    <row r="908" spans="1:12" x14ac:dyDescent="0.2">
      <c r="A908" t="s">
        <v>412</v>
      </c>
      <c r="B908" s="22" t="s">
        <v>1244</v>
      </c>
      <c r="C908" s="25" t="s">
        <v>1245</v>
      </c>
      <c r="D908" s="22" t="s">
        <v>1244</v>
      </c>
      <c r="E908" s="9">
        <f>_xll.BDP($D908,E$40)</f>
        <v>0.05</v>
      </c>
      <c r="F908" s="9" t="str">
        <f>_xll.BDP($D908,F$40)</f>
        <v>#N/A N/A</v>
      </c>
      <c r="G908" s="9">
        <f>_xll.BDP($D908,G$40)</f>
        <v>0.1</v>
      </c>
      <c r="H908" s="9">
        <f>_xll.BDP($D908,H$40)</f>
        <v>2.7038739999999999E-2</v>
      </c>
      <c r="I908" s="9"/>
      <c r="J908" s="9"/>
      <c r="K908" s="9"/>
      <c r="L908" s="9">
        <f t="shared" ref="L908:L910" si="127">IF(A908="STOCK",E908,IF(A908="SOPTION",G908,IF(A908="LOPTION",F908,"")))</f>
        <v>0.1</v>
      </c>
    </row>
    <row r="909" spans="1:12" x14ac:dyDescent="0.2">
      <c r="A909" t="s">
        <v>412</v>
      </c>
      <c r="B909" s="22" t="s">
        <v>1242</v>
      </c>
      <c r="C909" s="25" t="s">
        <v>1246</v>
      </c>
      <c r="D909" s="22" t="s">
        <v>1242</v>
      </c>
      <c r="E909" s="9">
        <f>_xll.BDP($D909,E$40)</f>
        <v>0.26</v>
      </c>
      <c r="F909" s="9" t="str">
        <f>_xll.BDP($D909,F$40)</f>
        <v>#N/A N/A</v>
      </c>
      <c r="G909" s="9">
        <f>_xll.BDP($D909,G$40)</f>
        <v>0.7</v>
      </c>
      <c r="H909" s="9">
        <f>_xll.BDP($D909,H$40)</f>
        <v>6.1719959999999997E-2</v>
      </c>
      <c r="I909" s="9"/>
      <c r="J909" s="9"/>
      <c r="K909" s="9"/>
      <c r="L909" s="9">
        <f t="shared" si="127"/>
        <v>0.7</v>
      </c>
    </row>
    <row r="910" spans="1:12" x14ac:dyDescent="0.2">
      <c r="A910" t="s">
        <v>1112</v>
      </c>
      <c r="B910" s="22" t="s">
        <v>1243</v>
      </c>
      <c r="C910" s="25" t="s">
        <v>1247</v>
      </c>
      <c r="D910" s="22" t="s">
        <v>1243</v>
      </c>
      <c r="E910" s="9">
        <f>_xll.BDP($D910,E$40)</f>
        <v>17</v>
      </c>
      <c r="F910" s="9">
        <f>_xll.BDP($D910,F$40)</f>
        <v>16.600000000000001</v>
      </c>
      <c r="G910" s="9">
        <f>_xll.BDP($D910,G$40)</f>
        <v>18.8</v>
      </c>
      <c r="H910" s="9">
        <f>_xll.BDP($D910,H$40)</f>
        <v>-0.85419290000000003</v>
      </c>
      <c r="I910" s="9"/>
      <c r="J910" s="9"/>
      <c r="K910" s="9"/>
      <c r="L910" s="9">
        <f t="shared" si="127"/>
        <v>16.600000000000001</v>
      </c>
    </row>
    <row r="911" spans="1:12" x14ac:dyDescent="0.2">
      <c r="A911" t="s">
        <v>412</v>
      </c>
      <c r="B911" s="22" t="s">
        <v>1248</v>
      </c>
      <c r="C911" s="25" t="s">
        <v>1249</v>
      </c>
      <c r="D911" s="22" t="s">
        <v>1248</v>
      </c>
      <c r="E911" s="9">
        <f>_xll.BDP($D911,E$40)</f>
        <v>39.049999999999997</v>
      </c>
      <c r="F911" s="9">
        <f>_xll.BDP($D911,F$40)</f>
        <v>36.6</v>
      </c>
      <c r="G911" s="9">
        <f>_xll.BDP($D911,G$40)</f>
        <v>39.549999999999997</v>
      </c>
      <c r="H911" s="9">
        <f>_xll.BDP($D911,H$40)</f>
        <v>-0.90089200000000003</v>
      </c>
      <c r="I911" s="9"/>
      <c r="J911" s="9"/>
      <c r="K911" s="9"/>
      <c r="L911" s="9">
        <f t="shared" ref="L911" si="128">IF(A911="STOCK",E911,IF(A911="SOPTION",G911,IF(A911="LOPTION",F911,"")))</f>
        <v>39.549999999999997</v>
      </c>
    </row>
    <row r="912" spans="1:12" x14ac:dyDescent="0.2">
      <c r="A912" t="s">
        <v>412</v>
      </c>
      <c r="B912" s="22" t="s">
        <v>1251</v>
      </c>
      <c r="C912" s="25" t="s">
        <v>1252</v>
      </c>
      <c r="D912" s="22" t="s">
        <v>1251</v>
      </c>
      <c r="E912" s="9">
        <f>_xll.BDP($D912,E$40)</f>
        <v>2.4300000000000002</v>
      </c>
      <c r="F912" s="9">
        <f>_xll.BDP($D912,F$40)</f>
        <v>1.5</v>
      </c>
      <c r="G912" s="9">
        <f>_xll.BDP($D912,G$40)</f>
        <v>4.45</v>
      </c>
      <c r="H912" s="9">
        <f>_xll.BDP($D912,H$40)</f>
        <v>0.32732460000000002</v>
      </c>
      <c r="I912" s="9"/>
      <c r="J912" s="9"/>
      <c r="K912" s="9"/>
      <c r="L912" s="9">
        <f t="shared" ref="L912" si="129">IF(A912="STOCK",E912,IF(A912="SOPTION",G912,IF(A912="LOPTION",F912,"")))</f>
        <v>4.45</v>
      </c>
    </row>
    <row r="913" spans="1:12" x14ac:dyDescent="0.2">
      <c r="A913" t="s">
        <v>412</v>
      </c>
      <c r="B913" s="22" t="s">
        <v>1254</v>
      </c>
      <c r="C913" s="25" t="s">
        <v>1255</v>
      </c>
      <c r="D913" s="22" t="s">
        <v>1254</v>
      </c>
      <c r="E913" s="9">
        <f>_xll.BDP($D913,E$40)</f>
        <v>6.31</v>
      </c>
      <c r="F913" s="9">
        <f>_xll.BDP($D913,F$40)</f>
        <v>5.5</v>
      </c>
      <c r="G913" s="9">
        <f>_xll.BDP($D913,G$40)</f>
        <v>7.1</v>
      </c>
      <c r="H913" s="9">
        <f>_xll.BDP($D913,H$40)</f>
        <v>0.46675729999999999</v>
      </c>
      <c r="I913" s="9"/>
      <c r="J913" s="9"/>
      <c r="K913" s="9"/>
      <c r="L913" s="9">
        <f t="shared" ref="L913" si="130">IF(A913="STOCK",E913,IF(A913="SOPTION",G913,IF(A913="LOPTION",F913,"")))</f>
        <v>7.1</v>
      </c>
    </row>
    <row r="914" spans="1:12" x14ac:dyDescent="0.2">
      <c r="A914" t="s">
        <v>412</v>
      </c>
      <c r="B914" s="22" t="s">
        <v>1258</v>
      </c>
      <c r="C914" s="25" t="s">
        <v>1264</v>
      </c>
      <c r="D914" s="22" t="s">
        <v>1258</v>
      </c>
      <c r="E914" s="9">
        <f>_xll.BDP($D914,E$40)</f>
        <v>3</v>
      </c>
      <c r="F914" s="9">
        <f>_xll.BDP($D914,F$40)</f>
        <v>2.66</v>
      </c>
      <c r="G914" s="9">
        <f>_xll.BDP($D914,G$40)</f>
        <v>4.9000000000000004</v>
      </c>
      <c r="H914" s="9">
        <f>_xll.BDP($D914,H$40)</f>
        <v>0.44590879999999999</v>
      </c>
      <c r="I914" s="9"/>
      <c r="J914" s="9"/>
      <c r="K914" s="9"/>
      <c r="L914" s="9">
        <f t="shared" ref="L914:L919" si="131">IF(A914="STOCK",E914,IF(A914="SOPTION",G914,IF(A914="LOPTION",F914,"")))</f>
        <v>4.9000000000000004</v>
      </c>
    </row>
    <row r="915" spans="1:12" x14ac:dyDescent="0.2">
      <c r="A915" t="s">
        <v>412</v>
      </c>
      <c r="B915" s="22" t="s">
        <v>1259</v>
      </c>
      <c r="C915" s="25" t="s">
        <v>1265</v>
      </c>
      <c r="D915" s="22" t="s">
        <v>1259</v>
      </c>
      <c r="E915" s="9">
        <f>_xll.BDP($D915,E$40)</f>
        <v>1.1299999999999999</v>
      </c>
      <c r="F915" s="9">
        <f>_xll.BDP($D915,F$40)</f>
        <v>0.5</v>
      </c>
      <c r="G915" s="9">
        <f>_xll.BDP($D915,G$40)</f>
        <v>1.45</v>
      </c>
      <c r="H915" s="9">
        <f>_xll.BDP($D915,H$40)</f>
        <v>0.20700289999999999</v>
      </c>
      <c r="I915" s="9"/>
      <c r="J915" s="9"/>
      <c r="K915" s="9"/>
      <c r="L915" s="9">
        <f t="shared" si="131"/>
        <v>1.45</v>
      </c>
    </row>
    <row r="916" spans="1:12" x14ac:dyDescent="0.2">
      <c r="A916" t="s">
        <v>412</v>
      </c>
      <c r="B916" s="22" t="s">
        <v>1260</v>
      </c>
      <c r="C916" s="25" t="s">
        <v>1266</v>
      </c>
      <c r="D916" s="22" t="s">
        <v>1260</v>
      </c>
      <c r="E916" s="9">
        <f>_xll.BDP($D916,E$40)</f>
        <v>7.95</v>
      </c>
      <c r="F916" s="9">
        <f>_xll.BDP($D916,F$40)</f>
        <v>7.75</v>
      </c>
      <c r="G916" s="9">
        <f>_xll.BDP($D916,G$40)</f>
        <v>8.8000000000000007</v>
      </c>
      <c r="H916" s="9">
        <f>_xll.BDP($D916,H$40)</f>
        <v>-0.36508960000000001</v>
      </c>
      <c r="I916" s="9"/>
      <c r="J916" s="9"/>
      <c r="K916" s="9"/>
      <c r="L916" s="9">
        <f t="shared" si="131"/>
        <v>8.8000000000000007</v>
      </c>
    </row>
    <row r="917" spans="1:12" x14ac:dyDescent="0.2">
      <c r="A917" t="s">
        <v>412</v>
      </c>
      <c r="B917" s="22" t="s">
        <v>1261</v>
      </c>
      <c r="C917" s="25" t="s">
        <v>1267</v>
      </c>
      <c r="D917" s="22" t="s">
        <v>1261</v>
      </c>
      <c r="E917" s="9">
        <f>_xll.BDP($D917,E$40)</f>
        <v>13.5</v>
      </c>
      <c r="F917" s="9">
        <f>_xll.BDP($D917,F$40)</f>
        <v>12.7</v>
      </c>
      <c r="G917" s="9">
        <f>_xll.BDP($D917,G$40)</f>
        <v>14.5</v>
      </c>
      <c r="H917" s="9">
        <f>_xll.BDP($D917,H$40)</f>
        <v>-0.59162859999999995</v>
      </c>
      <c r="I917" s="9"/>
      <c r="J917" s="9"/>
      <c r="K917" s="9"/>
      <c r="L917" s="9">
        <f t="shared" si="131"/>
        <v>14.5</v>
      </c>
    </row>
    <row r="918" spans="1:12" x14ac:dyDescent="0.2">
      <c r="A918" t="s">
        <v>412</v>
      </c>
      <c r="B918" s="22" t="s">
        <v>1262</v>
      </c>
      <c r="C918" s="25" t="s">
        <v>1268</v>
      </c>
      <c r="D918" s="22" t="s">
        <v>1262</v>
      </c>
      <c r="E918" s="9">
        <f>_xll.BDP($D918,E$40)</f>
        <v>9.26</v>
      </c>
      <c r="F918" s="9">
        <f>_xll.BDP($D918,F$40)</f>
        <v>5.4</v>
      </c>
      <c r="G918" s="9">
        <f>_xll.BDP($D918,G$40)</f>
        <v>10</v>
      </c>
      <c r="H918" s="9">
        <f>_xll.BDP($D918,H$40)</f>
        <v>0.50457399999999997</v>
      </c>
      <c r="I918" s="9"/>
      <c r="J918" s="9"/>
      <c r="K918" s="9"/>
      <c r="L918" s="9">
        <f t="shared" si="131"/>
        <v>10</v>
      </c>
    </row>
    <row r="919" spans="1:12" x14ac:dyDescent="0.2">
      <c r="A919" t="s">
        <v>412</v>
      </c>
      <c r="B919" s="22" t="s">
        <v>1263</v>
      </c>
      <c r="C919" s="25" t="s">
        <v>1269</v>
      </c>
      <c r="D919" s="22" t="s">
        <v>1263</v>
      </c>
      <c r="E919" s="9">
        <f>_xll.BDP($D919,E$40)</f>
        <v>5.64</v>
      </c>
      <c r="F919" s="9">
        <f>_xll.BDP($D919,F$40)</f>
        <v>2</v>
      </c>
      <c r="G919" s="9">
        <f>_xll.BDP($D919,G$40)</f>
        <v>5.7</v>
      </c>
      <c r="H919" s="9">
        <f>_xll.BDP($D919,H$40)</f>
        <v>0.35157909999999998</v>
      </c>
      <c r="I919" s="9"/>
      <c r="J919" s="9"/>
      <c r="K919" s="9"/>
      <c r="L919" s="9">
        <f t="shared" si="131"/>
        <v>5.7</v>
      </c>
    </row>
    <row r="920" spans="1:12" x14ac:dyDescent="0.2">
      <c r="A920" t="s">
        <v>412</v>
      </c>
      <c r="B920" s="22" t="s">
        <v>1271</v>
      </c>
      <c r="C920" s="25" t="s">
        <v>1275</v>
      </c>
      <c r="D920" s="22" t="s">
        <v>1271</v>
      </c>
      <c r="E920" s="9">
        <f>_xll.BDP($D920,E$40)</f>
        <v>7.5</v>
      </c>
      <c r="F920" s="9">
        <f>_xll.BDP($D920,F$40)</f>
        <v>4.2</v>
      </c>
      <c r="G920" s="9">
        <f>_xll.BDP($D920,G$40)</f>
        <v>7.4</v>
      </c>
      <c r="H920" s="9">
        <f>_xll.BDP($D920,H$40)</f>
        <v>0.47541040000000001</v>
      </c>
      <c r="I920" s="9"/>
      <c r="J920" s="9"/>
      <c r="K920" s="9"/>
      <c r="L920" s="9">
        <f t="shared" ref="L920:L923" si="132">IF(A920="STOCK",E920,IF(A920="SOPTION",G920,IF(A920="LOPTION",F920,"")))</f>
        <v>7.4</v>
      </c>
    </row>
    <row r="921" spans="1:12" x14ac:dyDescent="0.2">
      <c r="A921" t="s">
        <v>412</v>
      </c>
      <c r="B921" s="22" t="s">
        <v>1272</v>
      </c>
      <c r="C921" s="25" t="s">
        <v>1276</v>
      </c>
      <c r="D921" s="22" t="s">
        <v>1272</v>
      </c>
      <c r="E921" s="9">
        <f>_xll.BDP($D921,E$40)</f>
        <v>2.8</v>
      </c>
      <c r="F921" s="9">
        <f>_xll.BDP($D921,F$40)</f>
        <v>1.8</v>
      </c>
      <c r="G921" s="9">
        <f>_xll.BDP($D921,G$40)</f>
        <v>3.2</v>
      </c>
      <c r="H921" s="9">
        <f>_xll.BDP($D921,H$40)</f>
        <v>0.2472142</v>
      </c>
      <c r="I921" s="9"/>
      <c r="J921" s="9"/>
      <c r="K921" s="9"/>
      <c r="L921" s="9">
        <f t="shared" si="132"/>
        <v>3.2</v>
      </c>
    </row>
    <row r="922" spans="1:12" x14ac:dyDescent="0.2">
      <c r="A922" t="s">
        <v>412</v>
      </c>
      <c r="B922" s="22" t="s">
        <v>1273</v>
      </c>
      <c r="C922" s="25" t="s">
        <v>1277</v>
      </c>
      <c r="D922" s="22" t="s">
        <v>1273</v>
      </c>
      <c r="E922" s="9">
        <f>_xll.BDP($D922,E$40)</f>
        <v>2.83</v>
      </c>
      <c r="F922" s="9">
        <f>_xll.BDP($D922,F$40)</f>
        <v>2.67</v>
      </c>
      <c r="G922" s="9">
        <f>_xll.BDP($D922,G$40)</f>
        <v>2.98</v>
      </c>
      <c r="H922" s="9">
        <f>_xll.BDP($D922,H$40)</f>
        <v>-0.1246255</v>
      </c>
      <c r="I922" s="9"/>
      <c r="J922" s="9"/>
      <c r="K922" s="9"/>
      <c r="L922" s="9">
        <f t="shared" si="132"/>
        <v>2.98</v>
      </c>
    </row>
    <row r="923" spans="1:12" x14ac:dyDescent="0.2">
      <c r="A923" t="s">
        <v>412</v>
      </c>
      <c r="B923" s="22" t="s">
        <v>1274</v>
      </c>
      <c r="C923" s="25" t="s">
        <v>1278</v>
      </c>
      <c r="D923" s="22" t="s">
        <v>1274</v>
      </c>
      <c r="E923" s="9">
        <f>_xll.BDP($D923,E$40)</f>
        <v>3.97</v>
      </c>
      <c r="F923" s="9">
        <f>_xll.BDP($D923,F$40)</f>
        <v>3.4</v>
      </c>
      <c r="G923" s="9">
        <f>_xll.BDP($D923,G$40)</f>
        <v>4.7</v>
      </c>
      <c r="H923" s="9">
        <f>_xll.BDP($D923,H$40)</f>
        <v>0.42318070000000002</v>
      </c>
      <c r="I923" s="9"/>
      <c r="J923" s="9"/>
      <c r="K923" s="9"/>
      <c r="L923" s="9">
        <f t="shared" si="132"/>
        <v>4.7</v>
      </c>
    </row>
    <row r="924" spans="1:12" x14ac:dyDescent="0.2">
      <c r="C924"/>
      <c r="L924" s="9" t="str">
        <f t="shared" ref="L924:L956" si="133">IF(A924="STOCK",E924,IF(A924="SOPTION",G924,IF(A924="LOPTION",F924,"")))</f>
        <v/>
      </c>
    </row>
    <row r="925" spans="1:12" x14ac:dyDescent="0.2">
      <c r="C925"/>
      <c r="L925" s="9" t="str">
        <f t="shared" si="133"/>
        <v/>
      </c>
    </row>
    <row r="926" spans="1:12" x14ac:dyDescent="0.2">
      <c r="C926"/>
      <c r="L926" s="9" t="str">
        <f t="shared" si="133"/>
        <v/>
      </c>
    </row>
    <row r="927" spans="1:12" x14ac:dyDescent="0.2">
      <c r="C927"/>
      <c r="L927" s="9" t="str">
        <f t="shared" si="133"/>
        <v/>
      </c>
    </row>
    <row r="928" spans="1:12" x14ac:dyDescent="0.2">
      <c r="C928"/>
      <c r="L928" s="9" t="str">
        <f t="shared" si="133"/>
        <v/>
      </c>
    </row>
    <row r="929" spans="3:12" x14ac:dyDescent="0.2">
      <c r="C929"/>
      <c r="L929" s="9" t="str">
        <f t="shared" si="133"/>
        <v/>
      </c>
    </row>
    <row r="930" spans="3:12" x14ac:dyDescent="0.2">
      <c r="C930"/>
      <c r="L930" s="9" t="str">
        <f t="shared" si="133"/>
        <v/>
      </c>
    </row>
    <row r="931" spans="3:12" x14ac:dyDescent="0.2">
      <c r="C931"/>
      <c r="L931" s="9" t="str">
        <f t="shared" si="133"/>
        <v/>
      </c>
    </row>
    <row r="932" spans="3:12" x14ac:dyDescent="0.2">
      <c r="C932"/>
      <c r="L932" s="9" t="str">
        <f t="shared" si="133"/>
        <v/>
      </c>
    </row>
    <row r="933" spans="3:12" x14ac:dyDescent="0.2">
      <c r="C933"/>
      <c r="L933" s="9" t="str">
        <f t="shared" si="133"/>
        <v/>
      </c>
    </row>
    <row r="934" spans="3:12" x14ac:dyDescent="0.2">
      <c r="C934"/>
      <c r="L934" s="9" t="str">
        <f t="shared" si="133"/>
        <v/>
      </c>
    </row>
    <row r="935" spans="3:12" x14ac:dyDescent="0.2">
      <c r="C935"/>
      <c r="L935" s="9" t="str">
        <f t="shared" si="133"/>
        <v/>
      </c>
    </row>
    <row r="936" spans="3:12" x14ac:dyDescent="0.2">
      <c r="C936"/>
      <c r="L936" s="9" t="str">
        <f t="shared" si="133"/>
        <v/>
      </c>
    </row>
    <row r="937" spans="3:12" x14ac:dyDescent="0.2">
      <c r="C937"/>
      <c r="L937" s="9" t="str">
        <f t="shared" si="133"/>
        <v/>
      </c>
    </row>
    <row r="938" spans="3:12" x14ac:dyDescent="0.2">
      <c r="C938"/>
      <c r="L938" s="9" t="str">
        <f t="shared" si="133"/>
        <v/>
      </c>
    </row>
    <row r="939" spans="3:12" x14ac:dyDescent="0.2">
      <c r="C939"/>
      <c r="L939" s="9" t="str">
        <f t="shared" si="133"/>
        <v/>
      </c>
    </row>
    <row r="940" spans="3:12" x14ac:dyDescent="0.2">
      <c r="C940"/>
      <c r="L940" s="9" t="str">
        <f t="shared" si="133"/>
        <v/>
      </c>
    </row>
    <row r="941" spans="3:12" x14ac:dyDescent="0.2">
      <c r="C941"/>
      <c r="L941" s="9" t="str">
        <f t="shared" si="133"/>
        <v/>
      </c>
    </row>
    <row r="942" spans="3:12" x14ac:dyDescent="0.2">
      <c r="C942"/>
      <c r="L942" s="9" t="str">
        <f t="shared" si="133"/>
        <v/>
      </c>
    </row>
    <row r="943" spans="3:12" x14ac:dyDescent="0.2">
      <c r="C943"/>
      <c r="L943" s="9" t="str">
        <f t="shared" si="133"/>
        <v/>
      </c>
    </row>
    <row r="944" spans="3:12" x14ac:dyDescent="0.2">
      <c r="C944"/>
      <c r="L944" s="9" t="str">
        <f t="shared" si="133"/>
        <v/>
      </c>
    </row>
    <row r="945" spans="3:12" x14ac:dyDescent="0.2">
      <c r="C945"/>
      <c r="L945" s="9" t="str">
        <f t="shared" si="133"/>
        <v/>
      </c>
    </row>
    <row r="946" spans="3:12" x14ac:dyDescent="0.2">
      <c r="C946"/>
      <c r="L946" s="9" t="str">
        <f t="shared" si="133"/>
        <v/>
      </c>
    </row>
    <row r="947" spans="3:12" x14ac:dyDescent="0.2">
      <c r="C947"/>
      <c r="L947" s="9" t="str">
        <f t="shared" si="133"/>
        <v/>
      </c>
    </row>
    <row r="948" spans="3:12" x14ac:dyDescent="0.2">
      <c r="C948"/>
      <c r="L948" s="9" t="str">
        <f t="shared" si="133"/>
        <v/>
      </c>
    </row>
    <row r="949" spans="3:12" x14ac:dyDescent="0.2">
      <c r="C949"/>
      <c r="L949" s="9" t="str">
        <f t="shared" si="133"/>
        <v/>
      </c>
    </row>
    <row r="950" spans="3:12" x14ac:dyDescent="0.2">
      <c r="C950"/>
      <c r="L950" s="9" t="str">
        <f t="shared" si="133"/>
        <v/>
      </c>
    </row>
    <row r="951" spans="3:12" x14ac:dyDescent="0.2">
      <c r="C951"/>
      <c r="L951" s="9" t="str">
        <f t="shared" si="133"/>
        <v/>
      </c>
    </row>
    <row r="952" spans="3:12" x14ac:dyDescent="0.2">
      <c r="C952"/>
      <c r="L952" s="9" t="str">
        <f t="shared" si="133"/>
        <v/>
      </c>
    </row>
    <row r="953" spans="3:12" x14ac:dyDescent="0.2">
      <c r="C953"/>
      <c r="L953" s="9" t="str">
        <f t="shared" si="133"/>
        <v/>
      </c>
    </row>
    <row r="954" spans="3:12" x14ac:dyDescent="0.2">
      <c r="C954"/>
      <c r="L954" s="9" t="str">
        <f t="shared" si="133"/>
        <v/>
      </c>
    </row>
    <row r="955" spans="3:12" x14ac:dyDescent="0.2">
      <c r="C955"/>
      <c r="L955" s="9" t="str">
        <f t="shared" si="133"/>
        <v/>
      </c>
    </row>
    <row r="956" spans="3:12" x14ac:dyDescent="0.2">
      <c r="C956"/>
      <c r="L956" s="9" t="str">
        <f t="shared" si="133"/>
        <v/>
      </c>
    </row>
    <row r="957" spans="3:12" x14ac:dyDescent="0.2">
      <c r="C957"/>
      <c r="L957" s="9" t="str">
        <f t="shared" ref="L957:L1020" si="134">IF(A957="STOCK",E957,IF(A957="SOPTION",G957,IF(A957="LOPTION",F957,"")))</f>
        <v/>
      </c>
    </row>
    <row r="958" spans="3:12" x14ac:dyDescent="0.2">
      <c r="C958"/>
      <c r="L958" s="9" t="str">
        <f t="shared" si="134"/>
        <v/>
      </c>
    </row>
    <row r="959" spans="3:12" x14ac:dyDescent="0.2">
      <c r="C959"/>
      <c r="L959" s="9" t="str">
        <f t="shared" si="134"/>
        <v/>
      </c>
    </row>
    <row r="960" spans="3:12" x14ac:dyDescent="0.2">
      <c r="C960"/>
      <c r="L960" s="9" t="str">
        <f t="shared" si="134"/>
        <v/>
      </c>
    </row>
    <row r="961" spans="3:12" x14ac:dyDescent="0.2">
      <c r="C961"/>
      <c r="L961" s="9" t="str">
        <f t="shared" si="134"/>
        <v/>
      </c>
    </row>
    <row r="962" spans="3:12" x14ac:dyDescent="0.2">
      <c r="C962"/>
      <c r="L962" s="9" t="str">
        <f t="shared" si="134"/>
        <v/>
      </c>
    </row>
    <row r="963" spans="3:12" x14ac:dyDescent="0.2">
      <c r="C963"/>
      <c r="L963" s="9" t="str">
        <f t="shared" si="134"/>
        <v/>
      </c>
    </row>
    <row r="964" spans="3:12" x14ac:dyDescent="0.2">
      <c r="C964"/>
      <c r="L964" s="9" t="str">
        <f t="shared" si="134"/>
        <v/>
      </c>
    </row>
    <row r="965" spans="3:12" x14ac:dyDescent="0.2">
      <c r="C965"/>
      <c r="L965" s="9" t="str">
        <f t="shared" si="134"/>
        <v/>
      </c>
    </row>
    <row r="966" spans="3:12" x14ac:dyDescent="0.2">
      <c r="C966"/>
      <c r="L966" s="9" t="str">
        <f t="shared" si="134"/>
        <v/>
      </c>
    </row>
    <row r="967" spans="3:12" x14ac:dyDescent="0.2">
      <c r="C967"/>
      <c r="L967" s="9" t="str">
        <f t="shared" si="134"/>
        <v/>
      </c>
    </row>
    <row r="968" spans="3:12" x14ac:dyDescent="0.2">
      <c r="C968"/>
      <c r="L968" s="9" t="str">
        <f t="shared" si="134"/>
        <v/>
      </c>
    </row>
    <row r="969" spans="3:12" x14ac:dyDescent="0.2">
      <c r="C969"/>
      <c r="L969" s="9" t="str">
        <f t="shared" si="134"/>
        <v/>
      </c>
    </row>
    <row r="970" spans="3:12" x14ac:dyDescent="0.2">
      <c r="C970"/>
      <c r="L970" s="9" t="str">
        <f t="shared" si="134"/>
        <v/>
      </c>
    </row>
    <row r="971" spans="3:12" x14ac:dyDescent="0.2">
      <c r="C971"/>
      <c r="L971" s="9" t="str">
        <f t="shared" si="134"/>
        <v/>
      </c>
    </row>
    <row r="972" spans="3:12" x14ac:dyDescent="0.2">
      <c r="C972"/>
      <c r="L972" s="9" t="str">
        <f t="shared" si="134"/>
        <v/>
      </c>
    </row>
    <row r="973" spans="3:12" x14ac:dyDescent="0.2">
      <c r="C973"/>
      <c r="L973" s="9" t="str">
        <f t="shared" si="134"/>
        <v/>
      </c>
    </row>
    <row r="974" spans="3:12" x14ac:dyDescent="0.2">
      <c r="C974"/>
      <c r="L974" s="9" t="str">
        <f t="shared" si="134"/>
        <v/>
      </c>
    </row>
    <row r="975" spans="3:12" x14ac:dyDescent="0.2">
      <c r="C975"/>
      <c r="L975" s="9" t="str">
        <f t="shared" si="134"/>
        <v/>
      </c>
    </row>
    <row r="976" spans="3:12" x14ac:dyDescent="0.2">
      <c r="C976"/>
      <c r="L976" s="9" t="str">
        <f t="shared" si="134"/>
        <v/>
      </c>
    </row>
    <row r="977" spans="3:12" x14ac:dyDescent="0.2">
      <c r="C977"/>
      <c r="L977" s="9" t="str">
        <f t="shared" si="134"/>
        <v/>
      </c>
    </row>
    <row r="978" spans="3:12" x14ac:dyDescent="0.2">
      <c r="C978"/>
      <c r="L978" s="9" t="str">
        <f t="shared" si="134"/>
        <v/>
      </c>
    </row>
    <row r="979" spans="3:12" x14ac:dyDescent="0.2">
      <c r="C979"/>
      <c r="L979" s="9" t="str">
        <f t="shared" si="134"/>
        <v/>
      </c>
    </row>
    <row r="980" spans="3:12" x14ac:dyDescent="0.2">
      <c r="C980"/>
      <c r="L980" s="9" t="str">
        <f t="shared" si="134"/>
        <v/>
      </c>
    </row>
    <row r="981" spans="3:12" x14ac:dyDescent="0.2">
      <c r="C981"/>
      <c r="L981" s="9" t="str">
        <f t="shared" si="134"/>
        <v/>
      </c>
    </row>
    <row r="982" spans="3:12" x14ac:dyDescent="0.2">
      <c r="C982"/>
      <c r="L982" s="9" t="str">
        <f t="shared" si="134"/>
        <v/>
      </c>
    </row>
    <row r="983" spans="3:12" x14ac:dyDescent="0.2">
      <c r="C983"/>
      <c r="L983" s="9" t="str">
        <f t="shared" si="134"/>
        <v/>
      </c>
    </row>
    <row r="984" spans="3:12" x14ac:dyDescent="0.2">
      <c r="C984"/>
      <c r="L984" s="9" t="str">
        <f t="shared" si="134"/>
        <v/>
      </c>
    </row>
    <row r="985" spans="3:12" x14ac:dyDescent="0.2">
      <c r="C985"/>
      <c r="L985" s="9" t="str">
        <f t="shared" si="134"/>
        <v/>
      </c>
    </row>
    <row r="986" spans="3:12" x14ac:dyDescent="0.2">
      <c r="C986"/>
      <c r="L986" s="9" t="str">
        <f t="shared" si="134"/>
        <v/>
      </c>
    </row>
    <row r="987" spans="3:12" x14ac:dyDescent="0.2">
      <c r="C987"/>
      <c r="L987" s="9" t="str">
        <f t="shared" si="134"/>
        <v/>
      </c>
    </row>
    <row r="988" spans="3:12" x14ac:dyDescent="0.2">
      <c r="C988"/>
      <c r="L988" s="9" t="str">
        <f t="shared" si="134"/>
        <v/>
      </c>
    </row>
    <row r="989" spans="3:12" x14ac:dyDescent="0.2">
      <c r="C989"/>
      <c r="L989" s="9" t="str">
        <f t="shared" si="134"/>
        <v/>
      </c>
    </row>
    <row r="990" spans="3:12" x14ac:dyDescent="0.2">
      <c r="C990"/>
      <c r="L990" s="9" t="str">
        <f t="shared" si="134"/>
        <v/>
      </c>
    </row>
    <row r="991" spans="3:12" x14ac:dyDescent="0.2">
      <c r="C991"/>
      <c r="L991" s="9" t="str">
        <f t="shared" si="134"/>
        <v/>
      </c>
    </row>
    <row r="992" spans="3:12" x14ac:dyDescent="0.2">
      <c r="C992"/>
      <c r="L992" s="9" t="str">
        <f t="shared" si="134"/>
        <v/>
      </c>
    </row>
    <row r="993" spans="3:12" x14ac:dyDescent="0.2">
      <c r="C993"/>
      <c r="L993" s="9" t="str">
        <f t="shared" si="134"/>
        <v/>
      </c>
    </row>
    <row r="994" spans="3:12" x14ac:dyDescent="0.2">
      <c r="C994"/>
      <c r="L994" s="9" t="str">
        <f t="shared" si="134"/>
        <v/>
      </c>
    </row>
    <row r="995" spans="3:12" x14ac:dyDescent="0.2">
      <c r="C995"/>
      <c r="L995" s="9" t="str">
        <f t="shared" si="134"/>
        <v/>
      </c>
    </row>
    <row r="996" spans="3:12" x14ac:dyDescent="0.2">
      <c r="C996"/>
      <c r="L996" s="9" t="str">
        <f t="shared" si="134"/>
        <v/>
      </c>
    </row>
    <row r="997" spans="3:12" x14ac:dyDescent="0.2">
      <c r="C997"/>
      <c r="L997" s="9" t="str">
        <f t="shared" si="134"/>
        <v/>
      </c>
    </row>
    <row r="998" spans="3:12" x14ac:dyDescent="0.2">
      <c r="C998"/>
      <c r="L998" s="9" t="str">
        <f t="shared" si="134"/>
        <v/>
      </c>
    </row>
    <row r="999" spans="3:12" x14ac:dyDescent="0.2">
      <c r="C999"/>
      <c r="L999" s="9" t="str">
        <f t="shared" si="134"/>
        <v/>
      </c>
    </row>
    <row r="1000" spans="3:12" x14ac:dyDescent="0.2">
      <c r="C1000"/>
      <c r="L1000" s="9" t="str">
        <f t="shared" si="134"/>
        <v/>
      </c>
    </row>
    <row r="1001" spans="3:12" x14ac:dyDescent="0.2">
      <c r="C1001"/>
      <c r="L1001" s="9" t="str">
        <f t="shared" si="134"/>
        <v/>
      </c>
    </row>
    <row r="1002" spans="3:12" x14ac:dyDescent="0.2">
      <c r="C1002"/>
      <c r="L1002" s="9" t="str">
        <f t="shared" si="134"/>
        <v/>
      </c>
    </row>
    <row r="1003" spans="3:12" x14ac:dyDescent="0.2">
      <c r="C1003"/>
      <c r="L1003" s="9" t="str">
        <f t="shared" si="134"/>
        <v/>
      </c>
    </row>
    <row r="1004" spans="3:12" x14ac:dyDescent="0.2">
      <c r="C1004"/>
      <c r="L1004" s="9" t="str">
        <f t="shared" si="134"/>
        <v/>
      </c>
    </row>
    <row r="1005" spans="3:12" x14ac:dyDescent="0.2">
      <c r="C1005"/>
      <c r="L1005" s="9" t="str">
        <f t="shared" si="134"/>
        <v/>
      </c>
    </row>
    <row r="1006" spans="3:12" x14ac:dyDescent="0.2">
      <c r="C1006"/>
      <c r="L1006" s="9" t="str">
        <f t="shared" si="134"/>
        <v/>
      </c>
    </row>
    <row r="1007" spans="3:12" x14ac:dyDescent="0.2">
      <c r="C1007"/>
      <c r="L1007" s="9" t="str">
        <f t="shared" si="134"/>
        <v/>
      </c>
    </row>
    <row r="1008" spans="3:12" x14ac:dyDescent="0.2">
      <c r="C1008"/>
      <c r="L1008" s="9" t="str">
        <f t="shared" si="134"/>
        <v/>
      </c>
    </row>
    <row r="1009" spans="3:12" x14ac:dyDescent="0.2">
      <c r="C1009"/>
      <c r="L1009" s="9" t="str">
        <f t="shared" si="134"/>
        <v/>
      </c>
    </row>
    <row r="1010" spans="3:12" x14ac:dyDescent="0.2">
      <c r="C1010"/>
      <c r="L1010" s="9" t="str">
        <f t="shared" si="134"/>
        <v/>
      </c>
    </row>
    <row r="1011" spans="3:12" x14ac:dyDescent="0.2">
      <c r="C1011"/>
      <c r="L1011" s="9" t="str">
        <f t="shared" si="134"/>
        <v/>
      </c>
    </row>
    <row r="1012" spans="3:12" x14ac:dyDescent="0.2">
      <c r="C1012"/>
      <c r="L1012" s="9" t="str">
        <f t="shared" si="134"/>
        <v/>
      </c>
    </row>
    <row r="1013" spans="3:12" x14ac:dyDescent="0.2">
      <c r="C1013"/>
      <c r="L1013" s="9" t="str">
        <f t="shared" si="134"/>
        <v/>
      </c>
    </row>
    <row r="1014" spans="3:12" x14ac:dyDescent="0.2">
      <c r="C1014"/>
      <c r="L1014" s="9" t="str">
        <f t="shared" si="134"/>
        <v/>
      </c>
    </row>
    <row r="1015" spans="3:12" x14ac:dyDescent="0.2">
      <c r="C1015"/>
      <c r="L1015" s="9" t="str">
        <f t="shared" si="134"/>
        <v/>
      </c>
    </row>
    <row r="1016" spans="3:12" x14ac:dyDescent="0.2">
      <c r="C1016"/>
      <c r="L1016" s="9" t="str">
        <f t="shared" si="134"/>
        <v/>
      </c>
    </row>
    <row r="1017" spans="3:12" x14ac:dyDescent="0.2">
      <c r="C1017"/>
      <c r="L1017" s="9" t="str">
        <f t="shared" si="134"/>
        <v/>
      </c>
    </row>
    <row r="1018" spans="3:12" x14ac:dyDescent="0.2">
      <c r="C1018"/>
      <c r="L1018" s="9" t="str">
        <f t="shared" si="134"/>
        <v/>
      </c>
    </row>
    <row r="1019" spans="3:12" x14ac:dyDescent="0.2">
      <c r="C1019"/>
      <c r="L1019" s="9" t="str">
        <f t="shared" si="134"/>
        <v/>
      </c>
    </row>
    <row r="1020" spans="3:12" x14ac:dyDescent="0.2">
      <c r="C1020"/>
      <c r="L1020" s="9" t="str">
        <f t="shared" si="134"/>
        <v/>
      </c>
    </row>
    <row r="1021" spans="3:12" x14ac:dyDescent="0.2">
      <c r="C1021"/>
      <c r="L1021" s="9" t="str">
        <f t="shared" ref="L1021:L1084" si="135">IF(A1021="STOCK",E1021,IF(A1021="SOPTION",G1021,IF(A1021="LOPTION",F1021,"")))</f>
        <v/>
      </c>
    </row>
    <row r="1022" spans="3:12" x14ac:dyDescent="0.2">
      <c r="C1022"/>
      <c r="L1022" s="9" t="str">
        <f t="shared" si="135"/>
        <v/>
      </c>
    </row>
    <row r="1023" spans="3:12" x14ac:dyDescent="0.2">
      <c r="C1023"/>
      <c r="L1023" s="9" t="str">
        <f t="shared" si="135"/>
        <v/>
      </c>
    </row>
    <row r="1024" spans="3:12" x14ac:dyDescent="0.2">
      <c r="C1024"/>
      <c r="L1024" s="9" t="str">
        <f t="shared" si="135"/>
        <v/>
      </c>
    </row>
    <row r="1025" spans="3:12" x14ac:dyDescent="0.2">
      <c r="C1025"/>
      <c r="L1025" s="9" t="str">
        <f t="shared" si="135"/>
        <v/>
      </c>
    </row>
    <row r="1026" spans="3:12" x14ac:dyDescent="0.2">
      <c r="C1026"/>
      <c r="L1026" s="9" t="str">
        <f t="shared" si="135"/>
        <v/>
      </c>
    </row>
    <row r="1027" spans="3:12" x14ac:dyDescent="0.2">
      <c r="C1027"/>
      <c r="L1027" s="9" t="str">
        <f t="shared" si="135"/>
        <v/>
      </c>
    </row>
    <row r="1028" spans="3:12" x14ac:dyDescent="0.2">
      <c r="C1028"/>
      <c r="L1028" s="9" t="str">
        <f t="shared" si="135"/>
        <v/>
      </c>
    </row>
    <row r="1029" spans="3:12" x14ac:dyDescent="0.2">
      <c r="C1029"/>
      <c r="L1029" s="9" t="str">
        <f t="shared" si="135"/>
        <v/>
      </c>
    </row>
    <row r="1030" spans="3:12" x14ac:dyDescent="0.2">
      <c r="C1030"/>
      <c r="L1030" s="9" t="str">
        <f t="shared" si="135"/>
        <v/>
      </c>
    </row>
    <row r="1031" spans="3:12" x14ac:dyDescent="0.2">
      <c r="C1031"/>
      <c r="L1031" s="9" t="str">
        <f t="shared" si="135"/>
        <v/>
      </c>
    </row>
    <row r="1032" spans="3:12" x14ac:dyDescent="0.2">
      <c r="C1032"/>
      <c r="L1032" s="9" t="str">
        <f t="shared" si="135"/>
        <v/>
      </c>
    </row>
    <row r="1033" spans="3:12" x14ac:dyDescent="0.2">
      <c r="C1033"/>
      <c r="L1033" s="9" t="str">
        <f t="shared" si="135"/>
        <v/>
      </c>
    </row>
    <row r="1034" spans="3:12" x14ac:dyDescent="0.2">
      <c r="C1034"/>
      <c r="L1034" s="9" t="str">
        <f t="shared" si="135"/>
        <v/>
      </c>
    </row>
    <row r="1035" spans="3:12" x14ac:dyDescent="0.2">
      <c r="C1035"/>
      <c r="L1035" s="9" t="str">
        <f t="shared" si="135"/>
        <v/>
      </c>
    </row>
    <row r="1036" spans="3:12" x14ac:dyDescent="0.2">
      <c r="C1036"/>
      <c r="L1036" s="9" t="str">
        <f t="shared" si="135"/>
        <v/>
      </c>
    </row>
    <row r="1037" spans="3:12" x14ac:dyDescent="0.2">
      <c r="C1037"/>
      <c r="L1037" s="9" t="str">
        <f t="shared" si="135"/>
        <v/>
      </c>
    </row>
    <row r="1038" spans="3:12" x14ac:dyDescent="0.2">
      <c r="C1038"/>
      <c r="L1038" s="9" t="str">
        <f t="shared" si="135"/>
        <v/>
      </c>
    </row>
    <row r="1039" spans="3:12" x14ac:dyDescent="0.2">
      <c r="C1039"/>
      <c r="L1039" s="9" t="str">
        <f t="shared" si="135"/>
        <v/>
      </c>
    </row>
    <row r="1040" spans="3:12" x14ac:dyDescent="0.2">
      <c r="C1040"/>
      <c r="L1040" s="9" t="str">
        <f t="shared" si="135"/>
        <v/>
      </c>
    </row>
    <row r="1041" spans="3:12" x14ac:dyDescent="0.2">
      <c r="C1041"/>
      <c r="L1041" s="9" t="str">
        <f t="shared" si="135"/>
        <v/>
      </c>
    </row>
    <row r="1042" spans="3:12" x14ac:dyDescent="0.2">
      <c r="C1042"/>
      <c r="L1042" s="9" t="str">
        <f t="shared" si="135"/>
        <v/>
      </c>
    </row>
    <row r="1043" spans="3:12" x14ac:dyDescent="0.2">
      <c r="C1043"/>
      <c r="L1043" s="9" t="str">
        <f t="shared" si="135"/>
        <v/>
      </c>
    </row>
    <row r="1044" spans="3:12" x14ac:dyDescent="0.2">
      <c r="C1044"/>
      <c r="L1044" s="9" t="str">
        <f t="shared" si="135"/>
        <v/>
      </c>
    </row>
    <row r="1045" spans="3:12" x14ac:dyDescent="0.2">
      <c r="C1045"/>
      <c r="L1045" s="9" t="str">
        <f t="shared" si="135"/>
        <v/>
      </c>
    </row>
    <row r="1046" spans="3:12" x14ac:dyDescent="0.2">
      <c r="C1046"/>
      <c r="L1046" s="9" t="str">
        <f t="shared" si="135"/>
        <v/>
      </c>
    </row>
    <row r="1047" spans="3:12" x14ac:dyDescent="0.2">
      <c r="C1047"/>
      <c r="L1047" s="9" t="str">
        <f t="shared" si="135"/>
        <v/>
      </c>
    </row>
    <row r="1048" spans="3:12" x14ac:dyDescent="0.2">
      <c r="C1048"/>
      <c r="L1048" s="9" t="str">
        <f t="shared" si="135"/>
        <v/>
      </c>
    </row>
    <row r="1049" spans="3:12" x14ac:dyDescent="0.2">
      <c r="C1049"/>
      <c r="L1049" s="9" t="str">
        <f t="shared" si="135"/>
        <v/>
      </c>
    </row>
    <row r="1050" spans="3:12" x14ac:dyDescent="0.2">
      <c r="C1050"/>
      <c r="L1050" s="9" t="str">
        <f t="shared" si="135"/>
        <v/>
      </c>
    </row>
    <row r="1051" spans="3:12" x14ac:dyDescent="0.2">
      <c r="C1051"/>
      <c r="L1051" s="9" t="str">
        <f t="shared" si="135"/>
        <v/>
      </c>
    </row>
    <row r="1052" spans="3:12" x14ac:dyDescent="0.2">
      <c r="C1052"/>
      <c r="L1052" s="9" t="str">
        <f t="shared" si="135"/>
        <v/>
      </c>
    </row>
    <row r="1053" spans="3:12" x14ac:dyDescent="0.2">
      <c r="C1053"/>
      <c r="L1053" s="9" t="str">
        <f t="shared" si="135"/>
        <v/>
      </c>
    </row>
    <row r="1054" spans="3:12" x14ac:dyDescent="0.2">
      <c r="C1054"/>
      <c r="L1054" s="9" t="str">
        <f t="shared" si="135"/>
        <v/>
      </c>
    </row>
    <row r="1055" spans="3:12" x14ac:dyDescent="0.2">
      <c r="C1055"/>
      <c r="L1055" s="9" t="str">
        <f t="shared" si="135"/>
        <v/>
      </c>
    </row>
    <row r="1056" spans="3:12" x14ac:dyDescent="0.2">
      <c r="C1056"/>
      <c r="L1056" s="9" t="str">
        <f t="shared" si="135"/>
        <v/>
      </c>
    </row>
    <row r="1057" spans="3:12" x14ac:dyDescent="0.2">
      <c r="C1057"/>
      <c r="L1057" s="9" t="str">
        <f t="shared" si="135"/>
        <v/>
      </c>
    </row>
    <row r="1058" spans="3:12" x14ac:dyDescent="0.2">
      <c r="C1058"/>
      <c r="L1058" s="9" t="str">
        <f t="shared" si="135"/>
        <v/>
      </c>
    </row>
    <row r="1059" spans="3:12" x14ac:dyDescent="0.2">
      <c r="C1059"/>
      <c r="L1059" s="9" t="str">
        <f t="shared" si="135"/>
        <v/>
      </c>
    </row>
    <row r="1060" spans="3:12" x14ac:dyDescent="0.2">
      <c r="C1060"/>
      <c r="L1060" s="9" t="str">
        <f t="shared" si="135"/>
        <v/>
      </c>
    </row>
    <row r="1061" spans="3:12" x14ac:dyDescent="0.2">
      <c r="C1061"/>
      <c r="L1061" s="9" t="str">
        <f t="shared" si="135"/>
        <v/>
      </c>
    </row>
    <row r="1062" spans="3:12" x14ac:dyDescent="0.2">
      <c r="C1062"/>
      <c r="L1062" s="9" t="str">
        <f t="shared" si="135"/>
        <v/>
      </c>
    </row>
    <row r="1063" spans="3:12" x14ac:dyDescent="0.2">
      <c r="C1063"/>
      <c r="L1063" s="9" t="str">
        <f t="shared" si="135"/>
        <v/>
      </c>
    </row>
    <row r="1064" spans="3:12" x14ac:dyDescent="0.2">
      <c r="C1064"/>
      <c r="L1064" s="9" t="str">
        <f t="shared" si="135"/>
        <v/>
      </c>
    </row>
    <row r="1065" spans="3:12" x14ac:dyDescent="0.2">
      <c r="C1065"/>
      <c r="L1065" s="9" t="str">
        <f t="shared" si="135"/>
        <v/>
      </c>
    </row>
    <row r="1066" spans="3:12" x14ac:dyDescent="0.2">
      <c r="C1066"/>
      <c r="L1066" s="9" t="str">
        <f t="shared" si="135"/>
        <v/>
      </c>
    </row>
    <row r="1067" spans="3:12" x14ac:dyDescent="0.2">
      <c r="C1067"/>
      <c r="L1067" s="9" t="str">
        <f t="shared" si="135"/>
        <v/>
      </c>
    </row>
    <row r="1068" spans="3:12" x14ac:dyDescent="0.2">
      <c r="C1068"/>
      <c r="L1068" s="9" t="str">
        <f t="shared" si="135"/>
        <v/>
      </c>
    </row>
    <row r="1069" spans="3:12" x14ac:dyDescent="0.2">
      <c r="C1069"/>
      <c r="L1069" s="9" t="str">
        <f t="shared" si="135"/>
        <v/>
      </c>
    </row>
    <row r="1070" spans="3:12" x14ac:dyDescent="0.2">
      <c r="C1070"/>
      <c r="L1070" s="9" t="str">
        <f t="shared" si="135"/>
        <v/>
      </c>
    </row>
    <row r="1071" spans="3:12" x14ac:dyDescent="0.2">
      <c r="C1071"/>
      <c r="L1071" s="9" t="str">
        <f t="shared" si="135"/>
        <v/>
      </c>
    </row>
    <row r="1072" spans="3:12" x14ac:dyDescent="0.2">
      <c r="C1072"/>
      <c r="L1072" s="9" t="str">
        <f t="shared" si="135"/>
        <v/>
      </c>
    </row>
    <row r="1073" spans="3:12" x14ac:dyDescent="0.2">
      <c r="C1073"/>
      <c r="L1073" s="9" t="str">
        <f t="shared" si="135"/>
        <v/>
      </c>
    </row>
    <row r="1074" spans="3:12" x14ac:dyDescent="0.2">
      <c r="C1074"/>
      <c r="L1074" s="9" t="str">
        <f t="shared" si="135"/>
        <v/>
      </c>
    </row>
    <row r="1075" spans="3:12" x14ac:dyDescent="0.2">
      <c r="C1075"/>
      <c r="L1075" s="9" t="str">
        <f t="shared" si="135"/>
        <v/>
      </c>
    </row>
    <row r="1076" spans="3:12" x14ac:dyDescent="0.2">
      <c r="C1076"/>
      <c r="L1076" s="9" t="str">
        <f t="shared" si="135"/>
        <v/>
      </c>
    </row>
    <row r="1077" spans="3:12" x14ac:dyDescent="0.2">
      <c r="C1077"/>
      <c r="L1077" s="9" t="str">
        <f t="shared" si="135"/>
        <v/>
      </c>
    </row>
    <row r="1078" spans="3:12" x14ac:dyDescent="0.2">
      <c r="C1078"/>
      <c r="L1078" s="9" t="str">
        <f t="shared" si="135"/>
        <v/>
      </c>
    </row>
    <row r="1079" spans="3:12" x14ac:dyDescent="0.2">
      <c r="C1079"/>
      <c r="L1079" s="9" t="str">
        <f t="shared" si="135"/>
        <v/>
      </c>
    </row>
    <row r="1080" spans="3:12" x14ac:dyDescent="0.2">
      <c r="C1080"/>
      <c r="L1080" s="9" t="str">
        <f t="shared" si="135"/>
        <v/>
      </c>
    </row>
    <row r="1081" spans="3:12" x14ac:dyDescent="0.2">
      <c r="C1081"/>
      <c r="L1081" s="9" t="str">
        <f t="shared" si="135"/>
        <v/>
      </c>
    </row>
    <row r="1082" spans="3:12" x14ac:dyDescent="0.2">
      <c r="C1082"/>
      <c r="L1082" s="9" t="str">
        <f t="shared" si="135"/>
        <v/>
      </c>
    </row>
    <row r="1083" spans="3:12" x14ac:dyDescent="0.2">
      <c r="C1083"/>
      <c r="L1083" s="9" t="str">
        <f t="shared" si="135"/>
        <v/>
      </c>
    </row>
    <row r="1084" spans="3:12" x14ac:dyDescent="0.2">
      <c r="C1084"/>
      <c r="L1084" s="9" t="str">
        <f t="shared" si="135"/>
        <v/>
      </c>
    </row>
    <row r="1085" spans="3:12" x14ac:dyDescent="0.2">
      <c r="C1085"/>
      <c r="L1085" s="9" t="str">
        <f t="shared" ref="L1085:L1148" si="136">IF(A1085="STOCK",E1085,IF(A1085="SOPTION",G1085,IF(A1085="LOPTION",F1085,"")))</f>
        <v/>
      </c>
    </row>
    <row r="1086" spans="3:12" x14ac:dyDescent="0.2">
      <c r="C1086"/>
      <c r="L1086" s="9" t="str">
        <f t="shared" si="136"/>
        <v/>
      </c>
    </row>
    <row r="1087" spans="3:12" x14ac:dyDescent="0.2">
      <c r="C1087"/>
      <c r="L1087" s="9" t="str">
        <f t="shared" si="136"/>
        <v/>
      </c>
    </row>
    <row r="1088" spans="3:12" x14ac:dyDescent="0.2">
      <c r="C1088"/>
      <c r="L1088" s="9" t="str">
        <f t="shared" si="136"/>
        <v/>
      </c>
    </row>
    <row r="1089" spans="3:12" x14ac:dyDescent="0.2">
      <c r="C1089"/>
      <c r="L1089" s="9" t="str">
        <f t="shared" si="136"/>
        <v/>
      </c>
    </row>
    <row r="1090" spans="3:12" x14ac:dyDescent="0.2">
      <c r="C1090"/>
      <c r="L1090" s="9" t="str">
        <f t="shared" si="136"/>
        <v/>
      </c>
    </row>
    <row r="1091" spans="3:12" x14ac:dyDescent="0.2">
      <c r="C1091"/>
      <c r="L1091" s="9" t="str">
        <f t="shared" si="136"/>
        <v/>
      </c>
    </row>
    <row r="1092" spans="3:12" x14ac:dyDescent="0.2">
      <c r="C1092"/>
      <c r="L1092" s="9" t="str">
        <f t="shared" si="136"/>
        <v/>
      </c>
    </row>
    <row r="1093" spans="3:12" x14ac:dyDescent="0.2">
      <c r="C1093"/>
      <c r="L1093" s="9" t="str">
        <f t="shared" si="136"/>
        <v/>
      </c>
    </row>
    <row r="1094" spans="3:12" x14ac:dyDescent="0.2">
      <c r="C1094"/>
      <c r="L1094" s="9" t="str">
        <f t="shared" si="136"/>
        <v/>
      </c>
    </row>
    <row r="1095" spans="3:12" x14ac:dyDescent="0.2">
      <c r="C1095"/>
      <c r="L1095" s="9" t="str">
        <f t="shared" si="136"/>
        <v/>
      </c>
    </row>
    <row r="1096" spans="3:12" x14ac:dyDescent="0.2">
      <c r="C1096"/>
      <c r="L1096" s="9" t="str">
        <f t="shared" si="136"/>
        <v/>
      </c>
    </row>
    <row r="1097" spans="3:12" x14ac:dyDescent="0.2">
      <c r="C1097"/>
      <c r="L1097" s="9" t="str">
        <f t="shared" si="136"/>
        <v/>
      </c>
    </row>
    <row r="1098" spans="3:12" x14ac:dyDescent="0.2">
      <c r="C1098"/>
      <c r="L1098" s="9" t="str">
        <f t="shared" si="136"/>
        <v/>
      </c>
    </row>
    <row r="1099" spans="3:12" x14ac:dyDescent="0.2">
      <c r="C1099"/>
      <c r="L1099" s="9" t="str">
        <f t="shared" si="136"/>
        <v/>
      </c>
    </row>
    <row r="1100" spans="3:12" x14ac:dyDescent="0.2">
      <c r="C1100"/>
      <c r="L1100" s="9" t="str">
        <f t="shared" si="136"/>
        <v/>
      </c>
    </row>
    <row r="1101" spans="3:12" x14ac:dyDescent="0.2">
      <c r="C1101"/>
      <c r="L1101" s="9" t="str">
        <f t="shared" si="136"/>
        <v/>
      </c>
    </row>
    <row r="1102" spans="3:12" x14ac:dyDescent="0.2">
      <c r="C1102"/>
      <c r="L1102" s="9" t="str">
        <f t="shared" si="136"/>
        <v/>
      </c>
    </row>
    <row r="1103" spans="3:12" x14ac:dyDescent="0.2">
      <c r="C1103"/>
      <c r="L1103" s="9" t="str">
        <f t="shared" si="136"/>
        <v/>
      </c>
    </row>
    <row r="1104" spans="3:12" x14ac:dyDescent="0.2">
      <c r="C1104"/>
      <c r="L1104" s="9" t="str">
        <f t="shared" si="136"/>
        <v/>
      </c>
    </row>
    <row r="1105" spans="3:12" x14ac:dyDescent="0.2">
      <c r="C1105"/>
      <c r="L1105" s="9" t="str">
        <f t="shared" si="136"/>
        <v/>
      </c>
    </row>
    <row r="1106" spans="3:12" x14ac:dyDescent="0.2">
      <c r="C1106"/>
      <c r="L1106" s="9" t="str">
        <f t="shared" si="136"/>
        <v/>
      </c>
    </row>
    <row r="1107" spans="3:12" x14ac:dyDescent="0.2">
      <c r="C1107"/>
      <c r="L1107" s="9" t="str">
        <f t="shared" si="136"/>
        <v/>
      </c>
    </row>
    <row r="1108" spans="3:12" x14ac:dyDescent="0.2">
      <c r="C1108"/>
      <c r="L1108" s="9" t="str">
        <f t="shared" si="136"/>
        <v/>
      </c>
    </row>
    <row r="1109" spans="3:12" x14ac:dyDescent="0.2">
      <c r="C1109"/>
      <c r="L1109" s="9" t="str">
        <f t="shared" si="136"/>
        <v/>
      </c>
    </row>
    <row r="1110" spans="3:12" x14ac:dyDescent="0.2">
      <c r="C1110"/>
      <c r="L1110" s="9" t="str">
        <f t="shared" si="136"/>
        <v/>
      </c>
    </row>
    <row r="1111" spans="3:12" x14ac:dyDescent="0.2">
      <c r="C1111"/>
      <c r="L1111" s="9" t="str">
        <f t="shared" si="136"/>
        <v/>
      </c>
    </row>
    <row r="1112" spans="3:12" x14ac:dyDescent="0.2">
      <c r="C1112"/>
      <c r="L1112" s="9" t="str">
        <f t="shared" si="136"/>
        <v/>
      </c>
    </row>
    <row r="1113" spans="3:12" x14ac:dyDescent="0.2">
      <c r="C1113"/>
      <c r="L1113" s="9" t="str">
        <f t="shared" si="136"/>
        <v/>
      </c>
    </row>
    <row r="1114" spans="3:12" x14ac:dyDescent="0.2">
      <c r="C1114"/>
      <c r="L1114" s="9" t="str">
        <f t="shared" si="136"/>
        <v/>
      </c>
    </row>
    <row r="1115" spans="3:12" x14ac:dyDescent="0.2">
      <c r="C1115"/>
      <c r="L1115" s="9" t="str">
        <f t="shared" si="136"/>
        <v/>
      </c>
    </row>
    <row r="1116" spans="3:12" x14ac:dyDescent="0.2">
      <c r="C1116"/>
      <c r="L1116" s="9" t="str">
        <f t="shared" si="136"/>
        <v/>
      </c>
    </row>
    <row r="1117" spans="3:12" x14ac:dyDescent="0.2">
      <c r="C1117"/>
      <c r="L1117" s="9" t="str">
        <f t="shared" si="136"/>
        <v/>
      </c>
    </row>
    <row r="1118" spans="3:12" x14ac:dyDescent="0.2">
      <c r="C1118"/>
      <c r="L1118" s="9" t="str">
        <f t="shared" si="136"/>
        <v/>
      </c>
    </row>
    <row r="1119" spans="3:12" x14ac:dyDescent="0.2">
      <c r="C1119"/>
      <c r="L1119" s="9" t="str">
        <f t="shared" si="136"/>
        <v/>
      </c>
    </row>
    <row r="1120" spans="3:12" x14ac:dyDescent="0.2">
      <c r="C1120"/>
      <c r="L1120" s="9" t="str">
        <f t="shared" si="136"/>
        <v/>
      </c>
    </row>
    <row r="1121" spans="3:12" x14ac:dyDescent="0.2">
      <c r="C1121"/>
      <c r="L1121" s="9" t="str">
        <f t="shared" si="136"/>
        <v/>
      </c>
    </row>
    <row r="1122" spans="3:12" x14ac:dyDescent="0.2">
      <c r="C1122"/>
      <c r="L1122" s="9" t="str">
        <f t="shared" si="136"/>
        <v/>
      </c>
    </row>
    <row r="1123" spans="3:12" x14ac:dyDescent="0.2">
      <c r="C1123"/>
      <c r="L1123" s="9" t="str">
        <f t="shared" si="136"/>
        <v/>
      </c>
    </row>
    <row r="1124" spans="3:12" x14ac:dyDescent="0.2">
      <c r="C1124"/>
      <c r="L1124" s="9" t="str">
        <f t="shared" si="136"/>
        <v/>
      </c>
    </row>
    <row r="1125" spans="3:12" x14ac:dyDescent="0.2">
      <c r="C1125"/>
      <c r="L1125" s="9" t="str">
        <f t="shared" si="136"/>
        <v/>
      </c>
    </row>
    <row r="1126" spans="3:12" x14ac:dyDescent="0.2">
      <c r="C1126"/>
      <c r="L1126" s="9" t="str">
        <f t="shared" si="136"/>
        <v/>
      </c>
    </row>
    <row r="1127" spans="3:12" x14ac:dyDescent="0.2">
      <c r="C1127"/>
      <c r="L1127" s="9" t="str">
        <f t="shared" si="136"/>
        <v/>
      </c>
    </row>
    <row r="1128" spans="3:12" x14ac:dyDescent="0.2">
      <c r="C1128"/>
      <c r="L1128" s="9" t="str">
        <f t="shared" si="136"/>
        <v/>
      </c>
    </row>
    <row r="1129" spans="3:12" x14ac:dyDescent="0.2">
      <c r="C1129"/>
      <c r="L1129" s="9" t="str">
        <f t="shared" si="136"/>
        <v/>
      </c>
    </row>
    <row r="1130" spans="3:12" x14ac:dyDescent="0.2">
      <c r="C1130"/>
      <c r="L1130" s="9" t="str">
        <f t="shared" si="136"/>
        <v/>
      </c>
    </row>
    <row r="1131" spans="3:12" x14ac:dyDescent="0.2">
      <c r="C1131"/>
      <c r="L1131" s="9" t="str">
        <f t="shared" si="136"/>
        <v/>
      </c>
    </row>
    <row r="1132" spans="3:12" x14ac:dyDescent="0.2">
      <c r="C1132"/>
      <c r="L1132" s="9" t="str">
        <f t="shared" si="136"/>
        <v/>
      </c>
    </row>
    <row r="1133" spans="3:12" x14ac:dyDescent="0.2">
      <c r="C1133"/>
      <c r="L1133" s="9" t="str">
        <f t="shared" si="136"/>
        <v/>
      </c>
    </row>
    <row r="1134" spans="3:12" x14ac:dyDescent="0.2">
      <c r="C1134"/>
      <c r="L1134" s="9" t="str">
        <f t="shared" si="136"/>
        <v/>
      </c>
    </row>
    <row r="1135" spans="3:12" x14ac:dyDescent="0.2">
      <c r="C1135"/>
      <c r="L1135" s="9" t="str">
        <f t="shared" si="136"/>
        <v/>
      </c>
    </row>
    <row r="1136" spans="3:12" x14ac:dyDescent="0.2">
      <c r="C1136"/>
      <c r="L1136" s="9" t="str">
        <f t="shared" si="136"/>
        <v/>
      </c>
    </row>
    <row r="1137" spans="3:12" x14ac:dyDescent="0.2">
      <c r="C1137"/>
      <c r="L1137" s="9" t="str">
        <f t="shared" si="136"/>
        <v/>
      </c>
    </row>
    <row r="1138" spans="3:12" x14ac:dyDescent="0.2">
      <c r="C1138"/>
      <c r="L1138" s="9" t="str">
        <f t="shared" si="136"/>
        <v/>
      </c>
    </row>
    <row r="1139" spans="3:12" x14ac:dyDescent="0.2">
      <c r="C1139"/>
      <c r="L1139" s="9" t="str">
        <f t="shared" si="136"/>
        <v/>
      </c>
    </row>
    <row r="1140" spans="3:12" x14ac:dyDescent="0.2">
      <c r="C1140"/>
      <c r="L1140" s="9" t="str">
        <f t="shared" si="136"/>
        <v/>
      </c>
    </row>
    <row r="1141" spans="3:12" x14ac:dyDescent="0.2">
      <c r="C1141"/>
      <c r="L1141" s="9" t="str">
        <f t="shared" si="136"/>
        <v/>
      </c>
    </row>
    <row r="1142" spans="3:12" x14ac:dyDescent="0.2">
      <c r="C1142"/>
      <c r="L1142" s="9" t="str">
        <f t="shared" si="136"/>
        <v/>
      </c>
    </row>
    <row r="1143" spans="3:12" x14ac:dyDescent="0.2">
      <c r="C1143"/>
      <c r="L1143" s="9" t="str">
        <f t="shared" si="136"/>
        <v/>
      </c>
    </row>
    <row r="1144" spans="3:12" x14ac:dyDescent="0.2">
      <c r="C1144"/>
      <c r="L1144" s="9" t="str">
        <f t="shared" si="136"/>
        <v/>
      </c>
    </row>
    <row r="1145" spans="3:12" x14ac:dyDescent="0.2">
      <c r="C1145"/>
      <c r="L1145" s="9" t="str">
        <f t="shared" si="136"/>
        <v/>
      </c>
    </row>
    <row r="1146" spans="3:12" x14ac:dyDescent="0.2">
      <c r="C1146"/>
      <c r="L1146" s="9" t="str">
        <f t="shared" si="136"/>
        <v/>
      </c>
    </row>
    <row r="1147" spans="3:12" x14ac:dyDescent="0.2">
      <c r="C1147"/>
      <c r="L1147" s="9" t="str">
        <f t="shared" si="136"/>
        <v/>
      </c>
    </row>
    <row r="1148" spans="3:12" x14ac:dyDescent="0.2">
      <c r="C1148"/>
      <c r="L1148" s="9" t="str">
        <f t="shared" si="136"/>
        <v/>
      </c>
    </row>
    <row r="1149" spans="3:12" x14ac:dyDescent="0.2">
      <c r="C1149"/>
      <c r="L1149" s="9" t="str">
        <f t="shared" ref="L1149:L1212" si="137">IF(A1149="STOCK",E1149,IF(A1149="SOPTION",G1149,IF(A1149="LOPTION",F1149,"")))</f>
        <v/>
      </c>
    </row>
    <row r="1150" spans="3:12" x14ac:dyDescent="0.2">
      <c r="C1150"/>
      <c r="L1150" s="9" t="str">
        <f t="shared" si="137"/>
        <v/>
      </c>
    </row>
    <row r="1151" spans="3:12" x14ac:dyDescent="0.2">
      <c r="C1151"/>
      <c r="L1151" s="9" t="str">
        <f t="shared" si="137"/>
        <v/>
      </c>
    </row>
    <row r="1152" spans="3:12" x14ac:dyDescent="0.2">
      <c r="C1152"/>
      <c r="L1152" s="9" t="str">
        <f t="shared" si="137"/>
        <v/>
      </c>
    </row>
    <row r="1153" spans="3:12" x14ac:dyDescent="0.2">
      <c r="C1153"/>
      <c r="L1153" s="9" t="str">
        <f t="shared" si="137"/>
        <v/>
      </c>
    </row>
    <row r="1154" spans="3:12" x14ac:dyDescent="0.2">
      <c r="C1154"/>
      <c r="L1154" s="9" t="str">
        <f t="shared" si="137"/>
        <v/>
      </c>
    </row>
    <row r="1155" spans="3:12" x14ac:dyDescent="0.2">
      <c r="C1155"/>
      <c r="L1155" s="9" t="str">
        <f t="shared" si="137"/>
        <v/>
      </c>
    </row>
    <row r="1156" spans="3:12" x14ac:dyDescent="0.2">
      <c r="C1156"/>
      <c r="L1156" s="9" t="str">
        <f t="shared" si="137"/>
        <v/>
      </c>
    </row>
    <row r="1157" spans="3:12" x14ac:dyDescent="0.2">
      <c r="C1157"/>
      <c r="L1157" s="9" t="str">
        <f t="shared" si="137"/>
        <v/>
      </c>
    </row>
    <row r="1158" spans="3:12" x14ac:dyDescent="0.2">
      <c r="C1158"/>
      <c r="L1158" s="9" t="str">
        <f t="shared" si="137"/>
        <v/>
      </c>
    </row>
    <row r="1159" spans="3:12" x14ac:dyDescent="0.2">
      <c r="C1159"/>
      <c r="L1159" s="9" t="str">
        <f t="shared" si="137"/>
        <v/>
      </c>
    </row>
    <row r="1160" spans="3:12" x14ac:dyDescent="0.2">
      <c r="C1160"/>
      <c r="L1160" s="9" t="str">
        <f t="shared" si="137"/>
        <v/>
      </c>
    </row>
    <row r="1161" spans="3:12" x14ac:dyDescent="0.2">
      <c r="C1161"/>
      <c r="L1161" s="9" t="str">
        <f t="shared" si="137"/>
        <v/>
      </c>
    </row>
    <row r="1162" spans="3:12" x14ac:dyDescent="0.2">
      <c r="C1162"/>
      <c r="L1162" s="9" t="str">
        <f t="shared" si="137"/>
        <v/>
      </c>
    </row>
    <row r="1163" spans="3:12" x14ac:dyDescent="0.2">
      <c r="C1163"/>
      <c r="L1163" s="9" t="str">
        <f t="shared" si="137"/>
        <v/>
      </c>
    </row>
    <row r="1164" spans="3:12" x14ac:dyDescent="0.2">
      <c r="C1164"/>
      <c r="L1164" s="9" t="str">
        <f t="shared" si="137"/>
        <v/>
      </c>
    </row>
    <row r="1165" spans="3:12" x14ac:dyDescent="0.2">
      <c r="C1165"/>
      <c r="L1165" s="9" t="str">
        <f t="shared" si="137"/>
        <v/>
      </c>
    </row>
    <row r="1166" spans="3:12" x14ac:dyDescent="0.2">
      <c r="C1166"/>
      <c r="L1166" s="9" t="str">
        <f t="shared" si="137"/>
        <v/>
      </c>
    </row>
    <row r="1167" spans="3:12" x14ac:dyDescent="0.2">
      <c r="C1167"/>
      <c r="L1167" s="9" t="str">
        <f t="shared" si="137"/>
        <v/>
      </c>
    </row>
    <row r="1168" spans="3:12" x14ac:dyDescent="0.2">
      <c r="C1168"/>
      <c r="L1168" s="9" t="str">
        <f t="shared" si="137"/>
        <v/>
      </c>
    </row>
    <row r="1169" spans="3:12" x14ac:dyDescent="0.2">
      <c r="C1169"/>
      <c r="L1169" s="9" t="str">
        <f t="shared" si="137"/>
        <v/>
      </c>
    </row>
    <row r="1170" spans="3:12" x14ac:dyDescent="0.2">
      <c r="C1170"/>
      <c r="L1170" s="9" t="str">
        <f t="shared" si="137"/>
        <v/>
      </c>
    </row>
    <row r="1171" spans="3:12" x14ac:dyDescent="0.2">
      <c r="C1171"/>
      <c r="L1171" s="9" t="str">
        <f t="shared" si="137"/>
        <v/>
      </c>
    </row>
    <row r="1172" spans="3:12" x14ac:dyDescent="0.2">
      <c r="C1172"/>
      <c r="L1172" s="9" t="str">
        <f t="shared" si="137"/>
        <v/>
      </c>
    </row>
    <row r="1173" spans="3:12" x14ac:dyDescent="0.2">
      <c r="C1173"/>
      <c r="L1173" s="9" t="str">
        <f t="shared" si="137"/>
        <v/>
      </c>
    </row>
    <row r="1174" spans="3:12" x14ac:dyDescent="0.2">
      <c r="C1174"/>
      <c r="L1174" s="9" t="str">
        <f t="shared" si="137"/>
        <v/>
      </c>
    </row>
    <row r="1175" spans="3:12" x14ac:dyDescent="0.2">
      <c r="C1175"/>
      <c r="L1175" s="9" t="str">
        <f t="shared" si="137"/>
        <v/>
      </c>
    </row>
    <row r="1176" spans="3:12" x14ac:dyDescent="0.2">
      <c r="C1176"/>
      <c r="L1176" s="9" t="str">
        <f t="shared" si="137"/>
        <v/>
      </c>
    </row>
    <row r="1177" spans="3:12" x14ac:dyDescent="0.2">
      <c r="C1177"/>
      <c r="L1177" s="9" t="str">
        <f t="shared" si="137"/>
        <v/>
      </c>
    </row>
    <row r="1178" spans="3:12" x14ac:dyDescent="0.2">
      <c r="C1178"/>
      <c r="L1178" s="9" t="str">
        <f t="shared" si="137"/>
        <v/>
      </c>
    </row>
    <row r="1179" spans="3:12" x14ac:dyDescent="0.2">
      <c r="C1179"/>
      <c r="L1179" s="9" t="str">
        <f t="shared" si="137"/>
        <v/>
      </c>
    </row>
    <row r="1180" spans="3:12" x14ac:dyDescent="0.2">
      <c r="C1180"/>
      <c r="L1180" s="9" t="str">
        <f t="shared" si="137"/>
        <v/>
      </c>
    </row>
    <row r="1181" spans="3:12" x14ac:dyDescent="0.2">
      <c r="C1181"/>
      <c r="L1181" s="9" t="str">
        <f t="shared" si="137"/>
        <v/>
      </c>
    </row>
    <row r="1182" spans="3:12" x14ac:dyDescent="0.2">
      <c r="C1182"/>
      <c r="L1182" s="9" t="str">
        <f t="shared" si="137"/>
        <v/>
      </c>
    </row>
    <row r="1183" spans="3:12" x14ac:dyDescent="0.2">
      <c r="C1183"/>
      <c r="L1183" s="9" t="str">
        <f t="shared" si="137"/>
        <v/>
      </c>
    </row>
    <row r="1184" spans="3:12" x14ac:dyDescent="0.2">
      <c r="C1184"/>
      <c r="L1184" s="9" t="str">
        <f t="shared" si="137"/>
        <v/>
      </c>
    </row>
    <row r="1185" spans="3:12" x14ac:dyDescent="0.2">
      <c r="C1185"/>
      <c r="L1185" s="9" t="str">
        <f t="shared" si="137"/>
        <v/>
      </c>
    </row>
    <row r="1186" spans="3:12" x14ac:dyDescent="0.2">
      <c r="C1186"/>
      <c r="L1186" s="9" t="str">
        <f t="shared" si="137"/>
        <v/>
      </c>
    </row>
    <row r="1187" spans="3:12" x14ac:dyDescent="0.2">
      <c r="C1187"/>
      <c r="L1187" s="9" t="str">
        <f t="shared" si="137"/>
        <v/>
      </c>
    </row>
    <row r="1188" spans="3:12" x14ac:dyDescent="0.2">
      <c r="C1188"/>
      <c r="L1188" s="9" t="str">
        <f t="shared" si="137"/>
        <v/>
      </c>
    </row>
    <row r="1189" spans="3:12" x14ac:dyDescent="0.2">
      <c r="C1189"/>
      <c r="L1189" s="9" t="str">
        <f t="shared" si="137"/>
        <v/>
      </c>
    </row>
    <row r="1190" spans="3:12" x14ac:dyDescent="0.2">
      <c r="C1190"/>
      <c r="L1190" s="9" t="str">
        <f t="shared" si="137"/>
        <v/>
      </c>
    </row>
    <row r="1191" spans="3:12" x14ac:dyDescent="0.2">
      <c r="C1191"/>
      <c r="L1191" s="9" t="str">
        <f t="shared" si="137"/>
        <v/>
      </c>
    </row>
    <row r="1192" spans="3:12" x14ac:dyDescent="0.2">
      <c r="C1192"/>
      <c r="L1192" s="9" t="str">
        <f t="shared" si="137"/>
        <v/>
      </c>
    </row>
    <row r="1193" spans="3:12" x14ac:dyDescent="0.2">
      <c r="C1193"/>
      <c r="L1193" s="9" t="str">
        <f t="shared" si="137"/>
        <v/>
      </c>
    </row>
    <row r="1194" spans="3:12" x14ac:dyDescent="0.2">
      <c r="C1194"/>
      <c r="L1194" s="9" t="str">
        <f t="shared" si="137"/>
        <v/>
      </c>
    </row>
    <row r="1195" spans="3:12" x14ac:dyDescent="0.2">
      <c r="C1195"/>
      <c r="L1195" s="9" t="str">
        <f t="shared" si="137"/>
        <v/>
      </c>
    </row>
    <row r="1196" spans="3:12" x14ac:dyDescent="0.2">
      <c r="C1196"/>
      <c r="L1196" s="9" t="str">
        <f t="shared" si="137"/>
        <v/>
      </c>
    </row>
    <row r="1197" spans="3:12" x14ac:dyDescent="0.2">
      <c r="C1197"/>
      <c r="L1197" s="9" t="str">
        <f t="shared" si="137"/>
        <v/>
      </c>
    </row>
    <row r="1198" spans="3:12" x14ac:dyDescent="0.2">
      <c r="C1198"/>
      <c r="L1198" s="9" t="str">
        <f t="shared" si="137"/>
        <v/>
      </c>
    </row>
    <row r="1199" spans="3:12" x14ac:dyDescent="0.2">
      <c r="C1199"/>
      <c r="L1199" s="9" t="str">
        <f t="shared" si="137"/>
        <v/>
      </c>
    </row>
    <row r="1200" spans="3:12" x14ac:dyDescent="0.2">
      <c r="C1200"/>
      <c r="L1200" s="9" t="str">
        <f t="shared" si="137"/>
        <v/>
      </c>
    </row>
    <row r="1201" spans="3:12" x14ac:dyDescent="0.2">
      <c r="C1201"/>
      <c r="L1201" s="9" t="str">
        <f t="shared" si="137"/>
        <v/>
      </c>
    </row>
    <row r="1202" spans="3:12" x14ac:dyDescent="0.2">
      <c r="C1202"/>
      <c r="L1202" s="9" t="str">
        <f t="shared" si="137"/>
        <v/>
      </c>
    </row>
    <row r="1203" spans="3:12" x14ac:dyDescent="0.2">
      <c r="C1203"/>
      <c r="L1203" s="9" t="str">
        <f t="shared" si="137"/>
        <v/>
      </c>
    </row>
    <row r="1204" spans="3:12" x14ac:dyDescent="0.2">
      <c r="C1204"/>
      <c r="L1204" s="9" t="str">
        <f t="shared" si="137"/>
        <v/>
      </c>
    </row>
    <row r="1205" spans="3:12" x14ac:dyDescent="0.2">
      <c r="C1205"/>
      <c r="L1205" s="9" t="str">
        <f t="shared" si="137"/>
        <v/>
      </c>
    </row>
    <row r="1206" spans="3:12" x14ac:dyDescent="0.2">
      <c r="C1206"/>
      <c r="L1206" s="9" t="str">
        <f t="shared" si="137"/>
        <v/>
      </c>
    </row>
    <row r="1207" spans="3:12" x14ac:dyDescent="0.2">
      <c r="C1207"/>
      <c r="L1207" s="9" t="str">
        <f t="shared" si="137"/>
        <v/>
      </c>
    </row>
    <row r="1208" spans="3:12" x14ac:dyDescent="0.2">
      <c r="C1208"/>
      <c r="L1208" s="9" t="str">
        <f t="shared" si="137"/>
        <v/>
      </c>
    </row>
    <row r="1209" spans="3:12" x14ac:dyDescent="0.2">
      <c r="C1209"/>
      <c r="L1209" s="9" t="str">
        <f t="shared" si="137"/>
        <v/>
      </c>
    </row>
    <row r="1210" spans="3:12" x14ac:dyDescent="0.2">
      <c r="C1210"/>
      <c r="L1210" s="9" t="str">
        <f t="shared" si="137"/>
        <v/>
      </c>
    </row>
    <row r="1211" spans="3:12" x14ac:dyDescent="0.2">
      <c r="C1211"/>
      <c r="L1211" s="9" t="str">
        <f t="shared" si="137"/>
        <v/>
      </c>
    </row>
    <row r="1212" spans="3:12" x14ac:dyDescent="0.2">
      <c r="C1212"/>
      <c r="L1212" s="9" t="str">
        <f t="shared" si="137"/>
        <v/>
      </c>
    </row>
    <row r="1213" spans="3:12" x14ac:dyDescent="0.2">
      <c r="C1213"/>
      <c r="L1213" s="9" t="str">
        <f t="shared" ref="L1213:L1276" si="138">IF(A1213="STOCK",E1213,IF(A1213="SOPTION",G1213,IF(A1213="LOPTION",F1213,"")))</f>
        <v/>
      </c>
    </row>
    <row r="1214" spans="3:12" x14ac:dyDescent="0.2">
      <c r="C1214"/>
      <c r="L1214" s="9" t="str">
        <f t="shared" si="138"/>
        <v/>
      </c>
    </row>
    <row r="1215" spans="3:12" x14ac:dyDescent="0.2">
      <c r="C1215"/>
      <c r="L1215" s="9" t="str">
        <f t="shared" si="138"/>
        <v/>
      </c>
    </row>
    <row r="1216" spans="3:12" x14ac:dyDescent="0.2">
      <c r="C1216"/>
      <c r="L1216" s="9" t="str">
        <f t="shared" si="138"/>
        <v/>
      </c>
    </row>
    <row r="1217" spans="3:12" x14ac:dyDescent="0.2">
      <c r="C1217"/>
      <c r="L1217" s="9" t="str">
        <f t="shared" si="138"/>
        <v/>
      </c>
    </row>
    <row r="1218" spans="3:12" x14ac:dyDescent="0.2">
      <c r="C1218"/>
      <c r="L1218" s="9" t="str">
        <f t="shared" si="138"/>
        <v/>
      </c>
    </row>
    <row r="1219" spans="3:12" x14ac:dyDescent="0.2">
      <c r="C1219"/>
      <c r="L1219" s="9" t="str">
        <f t="shared" si="138"/>
        <v/>
      </c>
    </row>
    <row r="1220" spans="3:12" x14ac:dyDescent="0.2">
      <c r="C1220"/>
      <c r="L1220" s="9" t="str">
        <f t="shared" si="138"/>
        <v/>
      </c>
    </row>
    <row r="1221" spans="3:12" x14ac:dyDescent="0.2">
      <c r="C1221"/>
      <c r="L1221" s="9" t="str">
        <f t="shared" si="138"/>
        <v/>
      </c>
    </row>
    <row r="1222" spans="3:12" x14ac:dyDescent="0.2">
      <c r="C1222"/>
      <c r="L1222" s="9" t="str">
        <f t="shared" si="138"/>
        <v/>
      </c>
    </row>
    <row r="1223" spans="3:12" x14ac:dyDescent="0.2">
      <c r="C1223"/>
      <c r="L1223" s="9" t="str">
        <f t="shared" si="138"/>
        <v/>
      </c>
    </row>
    <row r="1224" spans="3:12" x14ac:dyDescent="0.2">
      <c r="C1224"/>
      <c r="L1224" s="9" t="str">
        <f t="shared" si="138"/>
        <v/>
      </c>
    </row>
    <row r="1225" spans="3:12" x14ac:dyDescent="0.2">
      <c r="C1225"/>
      <c r="L1225" s="9" t="str">
        <f t="shared" si="138"/>
        <v/>
      </c>
    </row>
    <row r="1226" spans="3:12" x14ac:dyDescent="0.2">
      <c r="C1226"/>
      <c r="L1226" s="9" t="str">
        <f t="shared" si="138"/>
        <v/>
      </c>
    </row>
    <row r="1227" spans="3:12" x14ac:dyDescent="0.2">
      <c r="C1227"/>
      <c r="L1227" s="9" t="str">
        <f t="shared" si="138"/>
        <v/>
      </c>
    </row>
    <row r="1228" spans="3:12" x14ac:dyDescent="0.2">
      <c r="C1228"/>
      <c r="L1228" s="9" t="str">
        <f t="shared" si="138"/>
        <v/>
      </c>
    </row>
    <row r="1229" spans="3:12" x14ac:dyDescent="0.2">
      <c r="C1229"/>
      <c r="L1229" s="9" t="str">
        <f t="shared" si="138"/>
        <v/>
      </c>
    </row>
    <row r="1230" spans="3:12" x14ac:dyDescent="0.2">
      <c r="C1230"/>
      <c r="L1230" s="9" t="str">
        <f t="shared" si="138"/>
        <v/>
      </c>
    </row>
    <row r="1231" spans="3:12" x14ac:dyDescent="0.2">
      <c r="C1231"/>
      <c r="L1231" s="9" t="str">
        <f t="shared" si="138"/>
        <v/>
      </c>
    </row>
    <row r="1232" spans="3:12" x14ac:dyDescent="0.2">
      <c r="C1232"/>
      <c r="L1232" s="9" t="str">
        <f t="shared" si="138"/>
        <v/>
      </c>
    </row>
    <row r="1233" spans="3:12" x14ac:dyDescent="0.2">
      <c r="C1233"/>
      <c r="L1233" s="9" t="str">
        <f t="shared" si="138"/>
        <v/>
      </c>
    </row>
    <row r="1234" spans="3:12" x14ac:dyDescent="0.2">
      <c r="C1234"/>
      <c r="L1234" s="9" t="str">
        <f t="shared" si="138"/>
        <v/>
      </c>
    </row>
    <row r="1235" spans="3:12" x14ac:dyDescent="0.2">
      <c r="C1235"/>
      <c r="L1235" s="9" t="str">
        <f t="shared" si="138"/>
        <v/>
      </c>
    </row>
    <row r="1236" spans="3:12" x14ac:dyDescent="0.2">
      <c r="C1236"/>
      <c r="L1236" s="9" t="str">
        <f t="shared" si="138"/>
        <v/>
      </c>
    </row>
    <row r="1237" spans="3:12" x14ac:dyDescent="0.2">
      <c r="C1237"/>
      <c r="L1237" s="9" t="str">
        <f t="shared" si="138"/>
        <v/>
      </c>
    </row>
    <row r="1238" spans="3:12" x14ac:dyDescent="0.2">
      <c r="C1238"/>
      <c r="L1238" s="9" t="str">
        <f t="shared" si="138"/>
        <v/>
      </c>
    </row>
    <row r="1239" spans="3:12" x14ac:dyDescent="0.2">
      <c r="C1239"/>
      <c r="L1239" s="9" t="str">
        <f t="shared" si="138"/>
        <v/>
      </c>
    </row>
    <row r="1240" spans="3:12" x14ac:dyDescent="0.2">
      <c r="C1240"/>
      <c r="L1240" s="9" t="str">
        <f t="shared" si="138"/>
        <v/>
      </c>
    </row>
    <row r="1241" spans="3:12" x14ac:dyDescent="0.2">
      <c r="C1241"/>
      <c r="L1241" s="9" t="str">
        <f t="shared" si="138"/>
        <v/>
      </c>
    </row>
    <row r="1242" spans="3:12" x14ac:dyDescent="0.2">
      <c r="C1242"/>
      <c r="L1242" s="9" t="str">
        <f t="shared" si="138"/>
        <v/>
      </c>
    </row>
    <row r="1243" spans="3:12" x14ac:dyDescent="0.2">
      <c r="C1243"/>
      <c r="L1243" s="9" t="str">
        <f t="shared" si="138"/>
        <v/>
      </c>
    </row>
    <row r="1244" spans="3:12" x14ac:dyDescent="0.2">
      <c r="C1244"/>
      <c r="L1244" s="9" t="str">
        <f t="shared" si="138"/>
        <v/>
      </c>
    </row>
    <row r="1245" spans="3:12" x14ac:dyDescent="0.2">
      <c r="C1245"/>
      <c r="L1245" s="9" t="str">
        <f t="shared" si="138"/>
        <v/>
      </c>
    </row>
    <row r="1246" spans="3:12" x14ac:dyDescent="0.2">
      <c r="C1246"/>
      <c r="L1246" s="9" t="str">
        <f t="shared" si="138"/>
        <v/>
      </c>
    </row>
    <row r="1247" spans="3:12" x14ac:dyDescent="0.2">
      <c r="C1247"/>
      <c r="L1247" s="9" t="str">
        <f t="shared" si="138"/>
        <v/>
      </c>
    </row>
    <row r="1248" spans="3:12" x14ac:dyDescent="0.2">
      <c r="C1248"/>
      <c r="L1248" s="9" t="str">
        <f t="shared" si="138"/>
        <v/>
      </c>
    </row>
    <row r="1249" spans="3:12" x14ac:dyDescent="0.2">
      <c r="C1249"/>
      <c r="L1249" s="9" t="str">
        <f t="shared" si="138"/>
        <v/>
      </c>
    </row>
    <row r="1250" spans="3:12" x14ac:dyDescent="0.2">
      <c r="C1250"/>
      <c r="L1250" s="9" t="str">
        <f t="shared" si="138"/>
        <v/>
      </c>
    </row>
    <row r="1251" spans="3:12" x14ac:dyDescent="0.2">
      <c r="C1251"/>
      <c r="L1251" s="9" t="str">
        <f t="shared" si="138"/>
        <v/>
      </c>
    </row>
    <row r="1252" spans="3:12" x14ac:dyDescent="0.2">
      <c r="C1252"/>
      <c r="L1252" s="9" t="str">
        <f t="shared" si="138"/>
        <v/>
      </c>
    </row>
    <row r="1253" spans="3:12" x14ac:dyDescent="0.2">
      <c r="C1253"/>
      <c r="L1253" s="9" t="str">
        <f t="shared" si="138"/>
        <v/>
      </c>
    </row>
    <row r="1254" spans="3:12" x14ac:dyDescent="0.2">
      <c r="C1254"/>
      <c r="L1254" s="9" t="str">
        <f t="shared" si="138"/>
        <v/>
      </c>
    </row>
    <row r="1255" spans="3:12" x14ac:dyDescent="0.2">
      <c r="C1255"/>
      <c r="L1255" s="9" t="str">
        <f t="shared" si="138"/>
        <v/>
      </c>
    </row>
    <row r="1256" spans="3:12" x14ac:dyDescent="0.2">
      <c r="C1256"/>
      <c r="L1256" s="9" t="str">
        <f t="shared" si="138"/>
        <v/>
      </c>
    </row>
    <row r="1257" spans="3:12" x14ac:dyDescent="0.2">
      <c r="C1257"/>
      <c r="L1257" s="9" t="str">
        <f t="shared" si="138"/>
        <v/>
      </c>
    </row>
    <row r="1258" spans="3:12" x14ac:dyDescent="0.2">
      <c r="C1258"/>
      <c r="L1258" s="9" t="str">
        <f t="shared" si="138"/>
        <v/>
      </c>
    </row>
    <row r="1259" spans="3:12" x14ac:dyDescent="0.2">
      <c r="C1259"/>
      <c r="L1259" s="9" t="str">
        <f t="shared" si="138"/>
        <v/>
      </c>
    </row>
    <row r="1260" spans="3:12" x14ac:dyDescent="0.2">
      <c r="C1260"/>
      <c r="L1260" s="9" t="str">
        <f t="shared" si="138"/>
        <v/>
      </c>
    </row>
    <row r="1261" spans="3:12" x14ac:dyDescent="0.2">
      <c r="C1261"/>
      <c r="L1261" s="9" t="str">
        <f t="shared" si="138"/>
        <v/>
      </c>
    </row>
    <row r="1262" spans="3:12" x14ac:dyDescent="0.2">
      <c r="C1262"/>
      <c r="L1262" s="9" t="str">
        <f t="shared" si="138"/>
        <v/>
      </c>
    </row>
    <row r="1263" spans="3:12" x14ac:dyDescent="0.2">
      <c r="C1263"/>
      <c r="L1263" s="9" t="str">
        <f t="shared" si="138"/>
        <v/>
      </c>
    </row>
    <row r="1264" spans="3:12" x14ac:dyDescent="0.2">
      <c r="C1264"/>
      <c r="L1264" s="9" t="str">
        <f t="shared" si="138"/>
        <v/>
      </c>
    </row>
    <row r="1265" spans="3:12" x14ac:dyDescent="0.2">
      <c r="C1265"/>
      <c r="L1265" s="9" t="str">
        <f t="shared" si="138"/>
        <v/>
      </c>
    </row>
    <row r="1266" spans="3:12" x14ac:dyDescent="0.2">
      <c r="C1266"/>
      <c r="L1266" s="9" t="str">
        <f t="shared" si="138"/>
        <v/>
      </c>
    </row>
    <row r="1267" spans="3:12" x14ac:dyDescent="0.2">
      <c r="C1267"/>
      <c r="L1267" s="9" t="str">
        <f t="shared" si="138"/>
        <v/>
      </c>
    </row>
    <row r="1268" spans="3:12" x14ac:dyDescent="0.2">
      <c r="C1268"/>
      <c r="L1268" s="9" t="str">
        <f t="shared" si="138"/>
        <v/>
      </c>
    </row>
    <row r="1269" spans="3:12" x14ac:dyDescent="0.2">
      <c r="C1269"/>
      <c r="L1269" s="9" t="str">
        <f t="shared" si="138"/>
        <v/>
      </c>
    </row>
    <row r="1270" spans="3:12" x14ac:dyDescent="0.2">
      <c r="C1270"/>
      <c r="L1270" s="9" t="str">
        <f t="shared" si="138"/>
        <v/>
      </c>
    </row>
    <row r="1271" spans="3:12" x14ac:dyDescent="0.2">
      <c r="C1271"/>
      <c r="L1271" s="9" t="str">
        <f t="shared" si="138"/>
        <v/>
      </c>
    </row>
    <row r="1272" spans="3:12" x14ac:dyDescent="0.2">
      <c r="C1272"/>
      <c r="L1272" s="9" t="str">
        <f t="shared" si="138"/>
        <v/>
      </c>
    </row>
    <row r="1273" spans="3:12" x14ac:dyDescent="0.2">
      <c r="C1273"/>
      <c r="L1273" s="9" t="str">
        <f t="shared" si="138"/>
        <v/>
      </c>
    </row>
    <row r="1274" spans="3:12" x14ac:dyDescent="0.2">
      <c r="C1274"/>
      <c r="L1274" s="9" t="str">
        <f t="shared" si="138"/>
        <v/>
      </c>
    </row>
    <row r="1275" spans="3:12" x14ac:dyDescent="0.2">
      <c r="C1275"/>
      <c r="L1275" s="9" t="str">
        <f t="shared" si="138"/>
        <v/>
      </c>
    </row>
    <row r="1276" spans="3:12" x14ac:dyDescent="0.2">
      <c r="C1276"/>
      <c r="L1276" s="9" t="str">
        <f t="shared" si="138"/>
        <v/>
      </c>
    </row>
    <row r="1277" spans="3:12" x14ac:dyDescent="0.2">
      <c r="C1277"/>
      <c r="L1277" s="9" t="str">
        <f t="shared" ref="L1277:L1340" si="139">IF(A1277="STOCK",E1277,IF(A1277="SOPTION",G1277,IF(A1277="LOPTION",F1277,"")))</f>
        <v/>
      </c>
    </row>
    <row r="1278" spans="3:12" x14ac:dyDescent="0.2">
      <c r="C1278"/>
      <c r="L1278" s="9" t="str">
        <f t="shared" si="139"/>
        <v/>
      </c>
    </row>
    <row r="1279" spans="3:12" x14ac:dyDescent="0.2">
      <c r="C1279"/>
      <c r="L1279" s="9" t="str">
        <f t="shared" si="139"/>
        <v/>
      </c>
    </row>
    <row r="1280" spans="3:12" x14ac:dyDescent="0.2">
      <c r="C1280"/>
      <c r="L1280" s="9" t="str">
        <f t="shared" si="139"/>
        <v/>
      </c>
    </row>
    <row r="1281" spans="3:12" x14ac:dyDescent="0.2">
      <c r="C1281"/>
      <c r="L1281" s="9" t="str">
        <f t="shared" si="139"/>
        <v/>
      </c>
    </row>
    <row r="1282" spans="3:12" x14ac:dyDescent="0.2">
      <c r="C1282"/>
      <c r="L1282" s="9" t="str">
        <f t="shared" si="139"/>
        <v/>
      </c>
    </row>
    <row r="1283" spans="3:12" x14ac:dyDescent="0.2">
      <c r="C1283"/>
      <c r="L1283" s="9" t="str">
        <f t="shared" si="139"/>
        <v/>
      </c>
    </row>
    <row r="1284" spans="3:12" x14ac:dyDescent="0.2">
      <c r="C1284"/>
      <c r="L1284" s="9" t="str">
        <f t="shared" si="139"/>
        <v/>
      </c>
    </row>
    <row r="1285" spans="3:12" x14ac:dyDescent="0.2">
      <c r="C1285"/>
      <c r="L1285" s="9" t="str">
        <f t="shared" si="139"/>
        <v/>
      </c>
    </row>
    <row r="1286" spans="3:12" x14ac:dyDescent="0.2">
      <c r="C1286"/>
      <c r="L1286" s="9" t="str">
        <f t="shared" si="139"/>
        <v/>
      </c>
    </row>
    <row r="1287" spans="3:12" x14ac:dyDescent="0.2">
      <c r="C1287"/>
      <c r="L1287" s="9" t="str">
        <f t="shared" si="139"/>
        <v/>
      </c>
    </row>
    <row r="1288" spans="3:12" x14ac:dyDescent="0.2">
      <c r="C1288"/>
      <c r="L1288" s="9" t="str">
        <f t="shared" si="139"/>
        <v/>
      </c>
    </row>
    <row r="1289" spans="3:12" x14ac:dyDescent="0.2">
      <c r="C1289"/>
      <c r="L1289" s="9" t="str">
        <f t="shared" si="139"/>
        <v/>
      </c>
    </row>
    <row r="1290" spans="3:12" x14ac:dyDescent="0.2">
      <c r="C1290"/>
      <c r="L1290" s="9" t="str">
        <f t="shared" si="139"/>
        <v/>
      </c>
    </row>
    <row r="1291" spans="3:12" x14ac:dyDescent="0.2">
      <c r="C1291"/>
      <c r="L1291" s="9" t="str">
        <f t="shared" si="139"/>
        <v/>
      </c>
    </row>
    <row r="1292" spans="3:12" x14ac:dyDescent="0.2">
      <c r="C1292"/>
      <c r="L1292" s="9" t="str">
        <f t="shared" si="139"/>
        <v/>
      </c>
    </row>
    <row r="1293" spans="3:12" x14ac:dyDescent="0.2">
      <c r="C1293"/>
      <c r="L1293" s="9" t="str">
        <f t="shared" si="139"/>
        <v/>
      </c>
    </row>
    <row r="1294" spans="3:12" x14ac:dyDescent="0.2">
      <c r="C1294"/>
      <c r="L1294" s="9" t="str">
        <f t="shared" si="139"/>
        <v/>
      </c>
    </row>
    <row r="1295" spans="3:12" x14ac:dyDescent="0.2">
      <c r="C1295"/>
      <c r="L1295" s="9" t="str">
        <f t="shared" si="139"/>
        <v/>
      </c>
    </row>
    <row r="1296" spans="3:12" x14ac:dyDescent="0.2">
      <c r="C1296"/>
      <c r="L1296" s="9" t="str">
        <f t="shared" si="139"/>
        <v/>
      </c>
    </row>
    <row r="1297" spans="3:12" x14ac:dyDescent="0.2">
      <c r="C1297"/>
      <c r="L1297" s="9" t="str">
        <f t="shared" si="139"/>
        <v/>
      </c>
    </row>
    <row r="1298" spans="3:12" x14ac:dyDescent="0.2">
      <c r="C1298"/>
      <c r="L1298" s="9" t="str">
        <f t="shared" si="139"/>
        <v/>
      </c>
    </row>
    <row r="1299" spans="3:12" x14ac:dyDescent="0.2">
      <c r="C1299"/>
      <c r="L1299" s="9" t="str">
        <f t="shared" si="139"/>
        <v/>
      </c>
    </row>
    <row r="1300" spans="3:12" x14ac:dyDescent="0.2">
      <c r="C1300"/>
      <c r="L1300" s="9" t="str">
        <f t="shared" si="139"/>
        <v/>
      </c>
    </row>
    <row r="1301" spans="3:12" x14ac:dyDescent="0.2">
      <c r="C1301"/>
      <c r="L1301" s="9" t="str">
        <f t="shared" si="139"/>
        <v/>
      </c>
    </row>
    <row r="1302" spans="3:12" x14ac:dyDescent="0.2">
      <c r="C1302"/>
      <c r="L1302" s="9" t="str">
        <f t="shared" si="139"/>
        <v/>
      </c>
    </row>
    <row r="1303" spans="3:12" x14ac:dyDescent="0.2">
      <c r="C1303"/>
      <c r="L1303" s="9" t="str">
        <f t="shared" si="139"/>
        <v/>
      </c>
    </row>
    <row r="1304" spans="3:12" x14ac:dyDescent="0.2">
      <c r="C1304"/>
      <c r="L1304" s="9" t="str">
        <f t="shared" si="139"/>
        <v/>
      </c>
    </row>
    <row r="1305" spans="3:12" x14ac:dyDescent="0.2">
      <c r="C1305"/>
      <c r="L1305" s="9" t="str">
        <f t="shared" si="139"/>
        <v/>
      </c>
    </row>
    <row r="1306" spans="3:12" x14ac:dyDescent="0.2">
      <c r="C1306"/>
      <c r="L1306" s="9" t="str">
        <f t="shared" si="139"/>
        <v/>
      </c>
    </row>
    <row r="1307" spans="3:12" x14ac:dyDescent="0.2">
      <c r="C1307"/>
      <c r="L1307" s="9" t="str">
        <f t="shared" si="139"/>
        <v/>
      </c>
    </row>
    <row r="1308" spans="3:12" x14ac:dyDescent="0.2">
      <c r="C1308"/>
      <c r="L1308" s="9" t="str">
        <f t="shared" si="139"/>
        <v/>
      </c>
    </row>
    <row r="1309" spans="3:12" x14ac:dyDescent="0.2">
      <c r="C1309"/>
      <c r="L1309" s="9" t="str">
        <f t="shared" si="139"/>
        <v/>
      </c>
    </row>
    <row r="1310" spans="3:12" x14ac:dyDescent="0.2">
      <c r="C1310"/>
      <c r="L1310" s="9" t="str">
        <f t="shared" si="139"/>
        <v/>
      </c>
    </row>
    <row r="1311" spans="3:12" x14ac:dyDescent="0.2">
      <c r="C1311"/>
      <c r="L1311" s="9" t="str">
        <f t="shared" si="139"/>
        <v/>
      </c>
    </row>
    <row r="1312" spans="3:12" x14ac:dyDescent="0.2">
      <c r="C1312"/>
      <c r="L1312" s="9" t="str">
        <f t="shared" si="139"/>
        <v/>
      </c>
    </row>
    <row r="1313" spans="3:12" x14ac:dyDescent="0.2">
      <c r="C1313"/>
      <c r="L1313" s="9" t="str">
        <f t="shared" si="139"/>
        <v/>
      </c>
    </row>
    <row r="1314" spans="3:12" x14ac:dyDescent="0.2">
      <c r="C1314"/>
      <c r="L1314" s="9" t="str">
        <f t="shared" si="139"/>
        <v/>
      </c>
    </row>
    <row r="1315" spans="3:12" x14ac:dyDescent="0.2">
      <c r="C1315"/>
      <c r="L1315" s="9" t="str">
        <f t="shared" si="139"/>
        <v/>
      </c>
    </row>
    <row r="1316" spans="3:12" x14ac:dyDescent="0.2">
      <c r="C1316"/>
      <c r="L1316" s="9" t="str">
        <f t="shared" si="139"/>
        <v/>
      </c>
    </row>
    <row r="1317" spans="3:12" x14ac:dyDescent="0.2">
      <c r="C1317"/>
      <c r="L1317" s="9" t="str">
        <f t="shared" si="139"/>
        <v/>
      </c>
    </row>
    <row r="1318" spans="3:12" x14ac:dyDescent="0.2">
      <c r="C1318"/>
      <c r="L1318" s="9" t="str">
        <f t="shared" si="139"/>
        <v/>
      </c>
    </row>
    <row r="1319" spans="3:12" x14ac:dyDescent="0.2">
      <c r="C1319"/>
      <c r="L1319" s="9" t="str">
        <f t="shared" si="139"/>
        <v/>
      </c>
    </row>
    <row r="1320" spans="3:12" x14ac:dyDescent="0.2">
      <c r="C1320"/>
      <c r="L1320" s="9" t="str">
        <f t="shared" si="139"/>
        <v/>
      </c>
    </row>
    <row r="1321" spans="3:12" x14ac:dyDescent="0.2">
      <c r="C1321"/>
      <c r="L1321" s="9" t="str">
        <f t="shared" si="139"/>
        <v/>
      </c>
    </row>
    <row r="1322" spans="3:12" x14ac:dyDescent="0.2">
      <c r="C1322"/>
      <c r="L1322" s="9" t="str">
        <f t="shared" si="139"/>
        <v/>
      </c>
    </row>
    <row r="1323" spans="3:12" x14ac:dyDescent="0.2">
      <c r="C1323"/>
      <c r="L1323" s="9" t="str">
        <f t="shared" si="139"/>
        <v/>
      </c>
    </row>
    <row r="1324" spans="3:12" x14ac:dyDescent="0.2">
      <c r="C1324"/>
      <c r="L1324" s="9" t="str">
        <f t="shared" si="139"/>
        <v/>
      </c>
    </row>
    <row r="1325" spans="3:12" x14ac:dyDescent="0.2">
      <c r="C1325"/>
      <c r="L1325" s="9" t="str">
        <f t="shared" si="139"/>
        <v/>
      </c>
    </row>
    <row r="1326" spans="3:12" x14ac:dyDescent="0.2">
      <c r="C1326"/>
      <c r="L1326" s="9" t="str">
        <f t="shared" si="139"/>
        <v/>
      </c>
    </row>
    <row r="1327" spans="3:12" x14ac:dyDescent="0.2">
      <c r="C1327"/>
      <c r="L1327" s="9" t="str">
        <f t="shared" si="139"/>
        <v/>
      </c>
    </row>
    <row r="1328" spans="3:12" x14ac:dyDescent="0.2">
      <c r="C1328"/>
      <c r="L1328" s="9" t="str">
        <f t="shared" si="139"/>
        <v/>
      </c>
    </row>
    <row r="1329" spans="3:12" x14ac:dyDescent="0.2">
      <c r="C1329"/>
      <c r="L1329" s="9" t="str">
        <f t="shared" si="139"/>
        <v/>
      </c>
    </row>
    <row r="1330" spans="3:12" x14ac:dyDescent="0.2">
      <c r="C1330"/>
      <c r="L1330" s="9" t="str">
        <f t="shared" si="139"/>
        <v/>
      </c>
    </row>
    <row r="1331" spans="3:12" x14ac:dyDescent="0.2">
      <c r="C1331"/>
      <c r="L1331" s="9" t="str">
        <f t="shared" si="139"/>
        <v/>
      </c>
    </row>
    <row r="1332" spans="3:12" x14ac:dyDescent="0.2">
      <c r="C1332"/>
      <c r="L1332" s="9" t="str">
        <f t="shared" si="139"/>
        <v/>
      </c>
    </row>
    <row r="1333" spans="3:12" x14ac:dyDescent="0.2">
      <c r="C1333"/>
      <c r="L1333" s="9" t="str">
        <f t="shared" si="139"/>
        <v/>
      </c>
    </row>
    <row r="1334" spans="3:12" x14ac:dyDescent="0.2">
      <c r="C1334"/>
      <c r="L1334" s="9" t="str">
        <f t="shared" si="139"/>
        <v/>
      </c>
    </row>
    <row r="1335" spans="3:12" x14ac:dyDescent="0.2">
      <c r="C1335"/>
      <c r="L1335" s="9" t="str">
        <f t="shared" si="139"/>
        <v/>
      </c>
    </row>
    <row r="1336" spans="3:12" x14ac:dyDescent="0.2">
      <c r="C1336"/>
      <c r="L1336" s="9" t="str">
        <f t="shared" si="139"/>
        <v/>
      </c>
    </row>
    <row r="1337" spans="3:12" x14ac:dyDescent="0.2">
      <c r="C1337"/>
      <c r="L1337" s="9" t="str">
        <f t="shared" si="139"/>
        <v/>
      </c>
    </row>
    <row r="1338" spans="3:12" x14ac:dyDescent="0.2">
      <c r="C1338"/>
      <c r="L1338" s="9" t="str">
        <f t="shared" si="139"/>
        <v/>
      </c>
    </row>
    <row r="1339" spans="3:12" x14ac:dyDescent="0.2">
      <c r="C1339"/>
      <c r="L1339" s="9" t="str">
        <f t="shared" si="139"/>
        <v/>
      </c>
    </row>
    <row r="1340" spans="3:12" x14ac:dyDescent="0.2">
      <c r="C1340"/>
      <c r="L1340" s="9" t="str">
        <f t="shared" si="139"/>
        <v/>
      </c>
    </row>
    <row r="1341" spans="3:12" x14ac:dyDescent="0.2">
      <c r="C1341"/>
      <c r="L1341" s="9" t="str">
        <f t="shared" ref="L1341:L1404" si="140">IF(A1341="STOCK",E1341,IF(A1341="SOPTION",G1341,IF(A1341="LOPTION",F1341,"")))</f>
        <v/>
      </c>
    </row>
    <row r="1342" spans="3:12" x14ac:dyDescent="0.2">
      <c r="C1342"/>
      <c r="L1342" s="9" t="str">
        <f t="shared" si="140"/>
        <v/>
      </c>
    </row>
    <row r="1343" spans="3:12" x14ac:dyDescent="0.2">
      <c r="C1343"/>
      <c r="L1343" s="9" t="str">
        <f t="shared" si="140"/>
        <v/>
      </c>
    </row>
    <row r="1344" spans="3:12" x14ac:dyDescent="0.2">
      <c r="C1344"/>
      <c r="L1344" s="9" t="str">
        <f t="shared" si="140"/>
        <v/>
      </c>
    </row>
    <row r="1345" spans="3:12" x14ac:dyDescent="0.2">
      <c r="C1345"/>
      <c r="L1345" s="9" t="str">
        <f t="shared" si="140"/>
        <v/>
      </c>
    </row>
    <row r="1346" spans="3:12" x14ac:dyDescent="0.2">
      <c r="C1346"/>
      <c r="L1346" s="9" t="str">
        <f t="shared" si="140"/>
        <v/>
      </c>
    </row>
    <row r="1347" spans="3:12" x14ac:dyDescent="0.2">
      <c r="C1347"/>
      <c r="L1347" s="9" t="str">
        <f t="shared" si="140"/>
        <v/>
      </c>
    </row>
    <row r="1348" spans="3:12" x14ac:dyDescent="0.2">
      <c r="C1348"/>
      <c r="L1348" s="9" t="str">
        <f t="shared" si="140"/>
        <v/>
      </c>
    </row>
    <row r="1349" spans="3:12" x14ac:dyDescent="0.2">
      <c r="C1349"/>
      <c r="L1349" s="9" t="str">
        <f t="shared" si="140"/>
        <v/>
      </c>
    </row>
    <row r="1350" spans="3:12" x14ac:dyDescent="0.2">
      <c r="C1350"/>
      <c r="L1350" s="9" t="str">
        <f t="shared" si="140"/>
        <v/>
      </c>
    </row>
    <row r="1351" spans="3:12" x14ac:dyDescent="0.2">
      <c r="C1351"/>
      <c r="L1351" s="9" t="str">
        <f t="shared" si="140"/>
        <v/>
      </c>
    </row>
    <row r="1352" spans="3:12" x14ac:dyDescent="0.2">
      <c r="C1352"/>
      <c r="L1352" s="9" t="str">
        <f t="shared" si="140"/>
        <v/>
      </c>
    </row>
    <row r="1353" spans="3:12" x14ac:dyDescent="0.2">
      <c r="C1353"/>
      <c r="L1353" s="9" t="str">
        <f t="shared" si="140"/>
        <v/>
      </c>
    </row>
    <row r="1354" spans="3:12" x14ac:dyDescent="0.2">
      <c r="C1354"/>
      <c r="L1354" s="9" t="str">
        <f t="shared" si="140"/>
        <v/>
      </c>
    </row>
    <row r="1355" spans="3:12" x14ac:dyDescent="0.2">
      <c r="C1355"/>
      <c r="L1355" s="9" t="str">
        <f t="shared" si="140"/>
        <v/>
      </c>
    </row>
    <row r="1356" spans="3:12" x14ac:dyDescent="0.2">
      <c r="C1356"/>
      <c r="L1356" s="9" t="str">
        <f t="shared" si="140"/>
        <v/>
      </c>
    </row>
    <row r="1357" spans="3:12" x14ac:dyDescent="0.2">
      <c r="C1357"/>
      <c r="L1357" s="9" t="str">
        <f t="shared" si="140"/>
        <v/>
      </c>
    </row>
    <row r="1358" spans="3:12" x14ac:dyDescent="0.2">
      <c r="C1358"/>
      <c r="L1358" s="9" t="str">
        <f t="shared" si="140"/>
        <v/>
      </c>
    </row>
    <row r="1359" spans="3:12" x14ac:dyDescent="0.2">
      <c r="C1359"/>
      <c r="L1359" s="9" t="str">
        <f t="shared" si="140"/>
        <v/>
      </c>
    </row>
    <row r="1360" spans="3:12" x14ac:dyDescent="0.2">
      <c r="C1360"/>
      <c r="L1360" s="9" t="str">
        <f t="shared" si="140"/>
        <v/>
      </c>
    </row>
    <row r="1361" spans="3:12" x14ac:dyDescent="0.2">
      <c r="C1361"/>
      <c r="L1361" s="9" t="str">
        <f t="shared" si="140"/>
        <v/>
      </c>
    </row>
    <row r="1362" spans="3:12" x14ac:dyDescent="0.2">
      <c r="C1362"/>
      <c r="L1362" s="9" t="str">
        <f t="shared" si="140"/>
        <v/>
      </c>
    </row>
    <row r="1363" spans="3:12" x14ac:dyDescent="0.2">
      <c r="C1363"/>
      <c r="L1363" s="9" t="str">
        <f t="shared" si="140"/>
        <v/>
      </c>
    </row>
    <row r="1364" spans="3:12" x14ac:dyDescent="0.2">
      <c r="C1364"/>
      <c r="L1364" s="9" t="str">
        <f t="shared" si="140"/>
        <v/>
      </c>
    </row>
    <row r="1365" spans="3:12" x14ac:dyDescent="0.2">
      <c r="C1365"/>
      <c r="L1365" s="9" t="str">
        <f t="shared" si="140"/>
        <v/>
      </c>
    </row>
    <row r="1366" spans="3:12" x14ac:dyDescent="0.2">
      <c r="C1366"/>
      <c r="L1366" s="9" t="str">
        <f t="shared" si="140"/>
        <v/>
      </c>
    </row>
    <row r="1367" spans="3:12" x14ac:dyDescent="0.2">
      <c r="C1367"/>
      <c r="L1367" s="9" t="str">
        <f t="shared" si="140"/>
        <v/>
      </c>
    </row>
    <row r="1368" spans="3:12" x14ac:dyDescent="0.2">
      <c r="C1368"/>
      <c r="L1368" s="9" t="str">
        <f t="shared" si="140"/>
        <v/>
      </c>
    </row>
    <row r="1369" spans="3:12" x14ac:dyDescent="0.2">
      <c r="C1369"/>
      <c r="L1369" s="9" t="str">
        <f t="shared" si="140"/>
        <v/>
      </c>
    </row>
    <row r="1370" spans="3:12" x14ac:dyDescent="0.2">
      <c r="C1370"/>
      <c r="L1370" s="9" t="str">
        <f t="shared" si="140"/>
        <v/>
      </c>
    </row>
    <row r="1371" spans="3:12" x14ac:dyDescent="0.2">
      <c r="C1371"/>
      <c r="L1371" s="9" t="str">
        <f t="shared" si="140"/>
        <v/>
      </c>
    </row>
    <row r="1372" spans="3:12" x14ac:dyDescent="0.2">
      <c r="C1372"/>
      <c r="L1372" s="9" t="str">
        <f t="shared" si="140"/>
        <v/>
      </c>
    </row>
    <row r="1373" spans="3:12" x14ac:dyDescent="0.2">
      <c r="C1373"/>
      <c r="L1373" s="9" t="str">
        <f t="shared" si="140"/>
        <v/>
      </c>
    </row>
    <row r="1374" spans="3:12" x14ac:dyDescent="0.2">
      <c r="C1374"/>
      <c r="L1374" s="9" t="str">
        <f t="shared" si="140"/>
        <v/>
      </c>
    </row>
    <row r="1375" spans="3:12" x14ac:dyDescent="0.2">
      <c r="C1375"/>
      <c r="L1375" s="9" t="str">
        <f t="shared" si="140"/>
        <v/>
      </c>
    </row>
    <row r="1376" spans="3:12" x14ac:dyDescent="0.2">
      <c r="C1376"/>
      <c r="L1376" s="9" t="str">
        <f t="shared" si="140"/>
        <v/>
      </c>
    </row>
    <row r="1377" spans="3:12" x14ac:dyDescent="0.2">
      <c r="C1377"/>
      <c r="L1377" s="9" t="str">
        <f t="shared" si="140"/>
        <v/>
      </c>
    </row>
    <row r="1378" spans="3:12" x14ac:dyDescent="0.2">
      <c r="C1378"/>
      <c r="L1378" s="9" t="str">
        <f t="shared" si="140"/>
        <v/>
      </c>
    </row>
    <row r="1379" spans="3:12" x14ac:dyDescent="0.2">
      <c r="C1379"/>
      <c r="L1379" s="9" t="str">
        <f t="shared" si="140"/>
        <v/>
      </c>
    </row>
    <row r="1380" spans="3:12" x14ac:dyDescent="0.2">
      <c r="C1380"/>
      <c r="L1380" s="9" t="str">
        <f t="shared" si="140"/>
        <v/>
      </c>
    </row>
    <row r="1381" spans="3:12" x14ac:dyDescent="0.2">
      <c r="C1381"/>
      <c r="L1381" s="9" t="str">
        <f t="shared" si="140"/>
        <v/>
      </c>
    </row>
    <row r="1382" spans="3:12" x14ac:dyDescent="0.2">
      <c r="C1382"/>
      <c r="L1382" s="9" t="str">
        <f t="shared" si="140"/>
        <v/>
      </c>
    </row>
    <row r="1383" spans="3:12" x14ac:dyDescent="0.2">
      <c r="C1383"/>
      <c r="L1383" s="9" t="str">
        <f t="shared" si="140"/>
        <v/>
      </c>
    </row>
    <row r="1384" spans="3:12" x14ac:dyDescent="0.2">
      <c r="C1384"/>
      <c r="L1384" s="9" t="str">
        <f t="shared" si="140"/>
        <v/>
      </c>
    </row>
    <row r="1385" spans="3:12" x14ac:dyDescent="0.2">
      <c r="C1385"/>
      <c r="L1385" s="9" t="str">
        <f t="shared" si="140"/>
        <v/>
      </c>
    </row>
    <row r="1386" spans="3:12" x14ac:dyDescent="0.2">
      <c r="C1386"/>
      <c r="L1386" s="9" t="str">
        <f t="shared" si="140"/>
        <v/>
      </c>
    </row>
    <row r="1387" spans="3:12" x14ac:dyDescent="0.2">
      <c r="C1387"/>
      <c r="L1387" s="9" t="str">
        <f t="shared" si="140"/>
        <v/>
      </c>
    </row>
    <row r="1388" spans="3:12" x14ac:dyDescent="0.2">
      <c r="C1388"/>
      <c r="L1388" s="9" t="str">
        <f t="shared" si="140"/>
        <v/>
      </c>
    </row>
    <row r="1389" spans="3:12" x14ac:dyDescent="0.2">
      <c r="C1389"/>
      <c r="L1389" s="9" t="str">
        <f t="shared" si="140"/>
        <v/>
      </c>
    </row>
    <row r="1390" spans="3:12" x14ac:dyDescent="0.2">
      <c r="C1390"/>
      <c r="L1390" s="9" t="str">
        <f t="shared" si="140"/>
        <v/>
      </c>
    </row>
    <row r="1391" spans="3:12" x14ac:dyDescent="0.2">
      <c r="C1391"/>
      <c r="L1391" s="9" t="str">
        <f t="shared" si="140"/>
        <v/>
      </c>
    </row>
    <row r="1392" spans="3:12" x14ac:dyDescent="0.2">
      <c r="C1392"/>
      <c r="L1392" s="9" t="str">
        <f t="shared" si="140"/>
        <v/>
      </c>
    </row>
    <row r="1393" spans="3:12" x14ac:dyDescent="0.2">
      <c r="C1393"/>
      <c r="L1393" s="9" t="str">
        <f t="shared" si="140"/>
        <v/>
      </c>
    </row>
    <row r="1394" spans="3:12" x14ac:dyDescent="0.2">
      <c r="C1394"/>
      <c r="L1394" s="9" t="str">
        <f t="shared" si="140"/>
        <v/>
      </c>
    </row>
    <row r="1395" spans="3:12" x14ac:dyDescent="0.2">
      <c r="C1395"/>
      <c r="L1395" s="9" t="str">
        <f t="shared" si="140"/>
        <v/>
      </c>
    </row>
    <row r="1396" spans="3:12" x14ac:dyDescent="0.2">
      <c r="C1396"/>
      <c r="L1396" s="9" t="str">
        <f t="shared" si="140"/>
        <v/>
      </c>
    </row>
    <row r="1397" spans="3:12" x14ac:dyDescent="0.2">
      <c r="C1397"/>
      <c r="L1397" s="9" t="str">
        <f t="shared" si="140"/>
        <v/>
      </c>
    </row>
    <row r="1398" spans="3:12" x14ac:dyDescent="0.2">
      <c r="C1398"/>
      <c r="L1398" s="9" t="str">
        <f t="shared" si="140"/>
        <v/>
      </c>
    </row>
    <row r="1399" spans="3:12" x14ac:dyDescent="0.2">
      <c r="C1399"/>
      <c r="L1399" s="9" t="str">
        <f t="shared" si="140"/>
        <v/>
      </c>
    </row>
    <row r="1400" spans="3:12" x14ac:dyDescent="0.2">
      <c r="C1400"/>
      <c r="L1400" s="9" t="str">
        <f t="shared" si="140"/>
        <v/>
      </c>
    </row>
    <row r="1401" spans="3:12" x14ac:dyDescent="0.2">
      <c r="C1401"/>
      <c r="L1401" s="9" t="str">
        <f t="shared" si="140"/>
        <v/>
      </c>
    </row>
    <row r="1402" spans="3:12" x14ac:dyDescent="0.2">
      <c r="C1402"/>
      <c r="L1402" s="9" t="str">
        <f t="shared" si="140"/>
        <v/>
      </c>
    </row>
    <row r="1403" spans="3:12" x14ac:dyDescent="0.2">
      <c r="C1403"/>
      <c r="L1403" s="9" t="str">
        <f t="shared" si="140"/>
        <v/>
      </c>
    </row>
    <row r="1404" spans="3:12" x14ac:dyDescent="0.2">
      <c r="C1404"/>
      <c r="L1404" s="9" t="str">
        <f t="shared" si="140"/>
        <v/>
      </c>
    </row>
    <row r="1405" spans="3:12" x14ac:dyDescent="0.2">
      <c r="C1405"/>
      <c r="L1405" s="9" t="str">
        <f t="shared" ref="L1405:L1468" si="141">IF(A1405="STOCK",E1405,IF(A1405="SOPTION",G1405,IF(A1405="LOPTION",F1405,"")))</f>
        <v/>
      </c>
    </row>
    <row r="1406" spans="3:12" x14ac:dyDescent="0.2">
      <c r="C1406"/>
      <c r="L1406" s="9" t="str">
        <f t="shared" si="141"/>
        <v/>
      </c>
    </row>
    <row r="1407" spans="3:12" x14ac:dyDescent="0.2">
      <c r="C1407"/>
      <c r="L1407" s="9" t="str">
        <f t="shared" si="141"/>
        <v/>
      </c>
    </row>
    <row r="1408" spans="3:12" x14ac:dyDescent="0.2">
      <c r="C1408"/>
      <c r="L1408" s="9" t="str">
        <f t="shared" si="141"/>
        <v/>
      </c>
    </row>
    <row r="1409" spans="3:12" x14ac:dyDescent="0.2">
      <c r="C1409"/>
      <c r="L1409" s="9" t="str">
        <f t="shared" si="141"/>
        <v/>
      </c>
    </row>
    <row r="1410" spans="3:12" x14ac:dyDescent="0.2">
      <c r="C1410"/>
      <c r="L1410" s="9" t="str">
        <f t="shared" si="141"/>
        <v/>
      </c>
    </row>
    <row r="1411" spans="3:12" x14ac:dyDescent="0.2">
      <c r="C1411"/>
      <c r="L1411" s="9" t="str">
        <f t="shared" si="141"/>
        <v/>
      </c>
    </row>
    <row r="1412" spans="3:12" x14ac:dyDescent="0.2">
      <c r="C1412"/>
      <c r="L1412" s="9" t="str">
        <f t="shared" si="141"/>
        <v/>
      </c>
    </row>
    <row r="1413" spans="3:12" x14ac:dyDescent="0.2">
      <c r="C1413"/>
      <c r="L1413" s="9" t="str">
        <f t="shared" si="141"/>
        <v/>
      </c>
    </row>
    <row r="1414" spans="3:12" x14ac:dyDescent="0.2">
      <c r="C1414"/>
      <c r="L1414" s="9" t="str">
        <f t="shared" si="141"/>
        <v/>
      </c>
    </row>
    <row r="1415" spans="3:12" x14ac:dyDescent="0.2">
      <c r="C1415"/>
      <c r="L1415" s="9" t="str">
        <f t="shared" si="141"/>
        <v/>
      </c>
    </row>
    <row r="1416" spans="3:12" x14ac:dyDescent="0.2">
      <c r="C1416"/>
      <c r="L1416" s="9" t="str">
        <f t="shared" si="141"/>
        <v/>
      </c>
    </row>
    <row r="1417" spans="3:12" x14ac:dyDescent="0.2">
      <c r="C1417"/>
      <c r="L1417" s="9" t="str">
        <f t="shared" si="141"/>
        <v/>
      </c>
    </row>
    <row r="1418" spans="3:12" x14ac:dyDescent="0.2">
      <c r="C1418"/>
      <c r="L1418" s="9" t="str">
        <f t="shared" si="141"/>
        <v/>
      </c>
    </row>
    <row r="1419" spans="3:12" x14ac:dyDescent="0.2">
      <c r="C1419"/>
      <c r="L1419" s="9" t="str">
        <f t="shared" si="141"/>
        <v/>
      </c>
    </row>
    <row r="1420" spans="3:12" x14ac:dyDescent="0.2">
      <c r="C1420"/>
      <c r="L1420" s="9" t="str">
        <f t="shared" si="141"/>
        <v/>
      </c>
    </row>
    <row r="1421" spans="3:12" x14ac:dyDescent="0.2">
      <c r="C1421"/>
      <c r="L1421" s="9" t="str">
        <f t="shared" si="141"/>
        <v/>
      </c>
    </row>
    <row r="1422" spans="3:12" x14ac:dyDescent="0.2">
      <c r="C1422"/>
      <c r="L1422" s="9" t="str">
        <f t="shared" si="141"/>
        <v/>
      </c>
    </row>
    <row r="1423" spans="3:12" x14ac:dyDescent="0.2">
      <c r="C1423"/>
      <c r="L1423" s="9" t="str">
        <f t="shared" si="141"/>
        <v/>
      </c>
    </row>
    <row r="1424" spans="3:12" x14ac:dyDescent="0.2">
      <c r="C1424"/>
      <c r="L1424" s="9" t="str">
        <f t="shared" si="141"/>
        <v/>
      </c>
    </row>
    <row r="1425" spans="3:12" x14ac:dyDescent="0.2">
      <c r="C1425"/>
      <c r="L1425" s="9" t="str">
        <f t="shared" si="141"/>
        <v/>
      </c>
    </row>
    <row r="1426" spans="3:12" x14ac:dyDescent="0.2">
      <c r="C1426"/>
      <c r="L1426" s="9" t="str">
        <f t="shared" si="141"/>
        <v/>
      </c>
    </row>
    <row r="1427" spans="3:12" x14ac:dyDescent="0.2">
      <c r="C1427"/>
      <c r="L1427" s="9" t="str">
        <f t="shared" si="141"/>
        <v/>
      </c>
    </row>
    <row r="1428" spans="3:12" x14ac:dyDescent="0.2">
      <c r="C1428"/>
      <c r="L1428" s="9" t="str">
        <f t="shared" si="141"/>
        <v/>
      </c>
    </row>
    <row r="1429" spans="3:12" x14ac:dyDescent="0.2">
      <c r="C1429"/>
      <c r="L1429" s="9" t="str">
        <f t="shared" si="141"/>
        <v/>
      </c>
    </row>
    <row r="1430" spans="3:12" x14ac:dyDescent="0.2">
      <c r="C1430"/>
      <c r="L1430" s="9" t="str">
        <f t="shared" si="141"/>
        <v/>
      </c>
    </row>
    <row r="1431" spans="3:12" x14ac:dyDescent="0.2">
      <c r="C1431"/>
      <c r="L1431" s="9" t="str">
        <f t="shared" si="141"/>
        <v/>
      </c>
    </row>
    <row r="1432" spans="3:12" x14ac:dyDescent="0.2">
      <c r="C1432"/>
      <c r="L1432" s="9" t="str">
        <f t="shared" si="141"/>
        <v/>
      </c>
    </row>
    <row r="1433" spans="3:12" x14ac:dyDescent="0.2">
      <c r="C1433"/>
      <c r="L1433" s="9" t="str">
        <f t="shared" si="141"/>
        <v/>
      </c>
    </row>
    <row r="1434" spans="3:12" x14ac:dyDescent="0.2">
      <c r="C1434"/>
      <c r="L1434" s="9" t="str">
        <f t="shared" si="141"/>
        <v/>
      </c>
    </row>
    <row r="1435" spans="3:12" x14ac:dyDescent="0.2">
      <c r="C1435"/>
      <c r="L1435" s="9" t="str">
        <f t="shared" si="141"/>
        <v/>
      </c>
    </row>
    <row r="1436" spans="3:12" x14ac:dyDescent="0.2">
      <c r="C1436"/>
      <c r="L1436" s="9" t="str">
        <f t="shared" si="141"/>
        <v/>
      </c>
    </row>
    <row r="1437" spans="3:12" x14ac:dyDescent="0.2">
      <c r="C1437"/>
      <c r="L1437" s="9" t="str">
        <f t="shared" si="141"/>
        <v/>
      </c>
    </row>
    <row r="1438" spans="3:12" x14ac:dyDescent="0.2">
      <c r="C1438"/>
      <c r="L1438" s="9" t="str">
        <f t="shared" si="141"/>
        <v/>
      </c>
    </row>
    <row r="1439" spans="3:12" x14ac:dyDescent="0.2">
      <c r="C1439"/>
      <c r="L1439" s="9" t="str">
        <f t="shared" si="141"/>
        <v/>
      </c>
    </row>
    <row r="1440" spans="3:12" x14ac:dyDescent="0.2">
      <c r="C1440"/>
      <c r="L1440" s="9" t="str">
        <f t="shared" si="141"/>
        <v/>
      </c>
    </row>
    <row r="1441" spans="3:12" x14ac:dyDescent="0.2">
      <c r="C1441"/>
      <c r="L1441" s="9" t="str">
        <f t="shared" si="141"/>
        <v/>
      </c>
    </row>
    <row r="1442" spans="3:12" x14ac:dyDescent="0.2">
      <c r="C1442"/>
      <c r="L1442" s="9" t="str">
        <f t="shared" si="141"/>
        <v/>
      </c>
    </row>
    <row r="1443" spans="3:12" x14ac:dyDescent="0.2">
      <c r="C1443"/>
      <c r="L1443" s="9" t="str">
        <f t="shared" si="141"/>
        <v/>
      </c>
    </row>
    <row r="1444" spans="3:12" x14ac:dyDescent="0.2">
      <c r="C1444"/>
      <c r="L1444" s="9" t="str">
        <f t="shared" si="141"/>
        <v/>
      </c>
    </row>
    <row r="1445" spans="3:12" x14ac:dyDescent="0.2">
      <c r="C1445"/>
      <c r="L1445" s="9" t="str">
        <f t="shared" si="141"/>
        <v/>
      </c>
    </row>
    <row r="1446" spans="3:12" x14ac:dyDescent="0.2">
      <c r="C1446"/>
      <c r="L1446" s="9" t="str">
        <f t="shared" si="141"/>
        <v/>
      </c>
    </row>
    <row r="1447" spans="3:12" x14ac:dyDescent="0.2">
      <c r="C1447"/>
      <c r="L1447" s="9" t="str">
        <f t="shared" si="141"/>
        <v/>
      </c>
    </row>
    <row r="1448" spans="3:12" x14ac:dyDescent="0.2">
      <c r="C1448"/>
      <c r="L1448" s="9" t="str">
        <f t="shared" si="141"/>
        <v/>
      </c>
    </row>
    <row r="1449" spans="3:12" x14ac:dyDescent="0.2">
      <c r="C1449"/>
      <c r="L1449" s="9" t="str">
        <f t="shared" si="141"/>
        <v/>
      </c>
    </row>
    <row r="1450" spans="3:12" x14ac:dyDescent="0.2">
      <c r="C1450"/>
      <c r="L1450" s="9" t="str">
        <f t="shared" si="141"/>
        <v/>
      </c>
    </row>
    <row r="1451" spans="3:12" x14ac:dyDescent="0.2">
      <c r="C1451"/>
      <c r="L1451" s="9" t="str">
        <f t="shared" si="141"/>
        <v/>
      </c>
    </row>
    <row r="1452" spans="3:12" x14ac:dyDescent="0.2">
      <c r="C1452"/>
      <c r="L1452" s="9" t="str">
        <f t="shared" si="141"/>
        <v/>
      </c>
    </row>
    <row r="1453" spans="3:12" x14ac:dyDescent="0.2">
      <c r="C1453"/>
      <c r="L1453" s="9" t="str">
        <f t="shared" si="141"/>
        <v/>
      </c>
    </row>
    <row r="1454" spans="3:12" x14ac:dyDescent="0.2">
      <c r="C1454"/>
      <c r="L1454" s="9" t="str">
        <f t="shared" si="141"/>
        <v/>
      </c>
    </row>
    <row r="1455" spans="3:12" x14ac:dyDescent="0.2">
      <c r="C1455"/>
      <c r="L1455" s="9" t="str">
        <f t="shared" si="141"/>
        <v/>
      </c>
    </row>
    <row r="1456" spans="3:12" x14ac:dyDescent="0.2">
      <c r="C1456"/>
      <c r="L1456" s="9" t="str">
        <f t="shared" si="141"/>
        <v/>
      </c>
    </row>
    <row r="1457" spans="3:12" x14ac:dyDescent="0.2">
      <c r="C1457"/>
      <c r="L1457" s="9" t="str">
        <f t="shared" si="141"/>
        <v/>
      </c>
    </row>
    <row r="1458" spans="3:12" x14ac:dyDescent="0.2">
      <c r="C1458"/>
      <c r="L1458" s="9" t="str">
        <f t="shared" si="141"/>
        <v/>
      </c>
    </row>
    <row r="1459" spans="3:12" x14ac:dyDescent="0.2">
      <c r="C1459"/>
      <c r="L1459" s="9" t="str">
        <f t="shared" si="141"/>
        <v/>
      </c>
    </row>
    <row r="1460" spans="3:12" x14ac:dyDescent="0.2">
      <c r="C1460"/>
      <c r="L1460" s="9" t="str">
        <f t="shared" si="141"/>
        <v/>
      </c>
    </row>
    <row r="1461" spans="3:12" x14ac:dyDescent="0.2">
      <c r="C1461"/>
      <c r="L1461" s="9" t="str">
        <f t="shared" si="141"/>
        <v/>
      </c>
    </row>
    <row r="1462" spans="3:12" x14ac:dyDescent="0.2">
      <c r="C1462"/>
      <c r="L1462" s="9" t="str">
        <f t="shared" si="141"/>
        <v/>
      </c>
    </row>
    <row r="1463" spans="3:12" x14ac:dyDescent="0.2">
      <c r="C1463"/>
      <c r="L1463" s="9" t="str">
        <f t="shared" si="141"/>
        <v/>
      </c>
    </row>
    <row r="1464" spans="3:12" x14ac:dyDescent="0.2">
      <c r="C1464"/>
      <c r="L1464" s="9" t="str">
        <f t="shared" si="141"/>
        <v/>
      </c>
    </row>
    <row r="1465" spans="3:12" x14ac:dyDescent="0.2">
      <c r="C1465"/>
      <c r="L1465" s="9" t="str">
        <f t="shared" si="141"/>
        <v/>
      </c>
    </row>
    <row r="1466" spans="3:12" x14ac:dyDescent="0.2">
      <c r="C1466"/>
      <c r="L1466" s="9" t="str">
        <f t="shared" si="141"/>
        <v/>
      </c>
    </row>
    <row r="1467" spans="3:12" x14ac:dyDescent="0.2">
      <c r="C1467"/>
      <c r="L1467" s="9" t="str">
        <f t="shared" si="141"/>
        <v/>
      </c>
    </row>
    <row r="1468" spans="3:12" x14ac:dyDescent="0.2">
      <c r="C1468"/>
      <c r="L1468" s="9" t="str">
        <f t="shared" si="141"/>
        <v/>
      </c>
    </row>
    <row r="1469" spans="3:12" x14ac:dyDescent="0.2">
      <c r="C1469"/>
      <c r="L1469" s="9" t="str">
        <f t="shared" ref="L1469:L1532" si="142">IF(A1469="STOCK",E1469,IF(A1469="SOPTION",G1469,IF(A1469="LOPTION",F1469,"")))</f>
        <v/>
      </c>
    </row>
    <row r="1470" spans="3:12" x14ac:dyDescent="0.2">
      <c r="C1470"/>
      <c r="L1470" s="9" t="str">
        <f t="shared" si="142"/>
        <v/>
      </c>
    </row>
    <row r="1471" spans="3:12" x14ac:dyDescent="0.2">
      <c r="C1471"/>
      <c r="L1471" s="9" t="str">
        <f t="shared" si="142"/>
        <v/>
      </c>
    </row>
    <row r="1472" spans="3:12" x14ac:dyDescent="0.2">
      <c r="C1472"/>
      <c r="L1472" s="9" t="str">
        <f t="shared" si="142"/>
        <v/>
      </c>
    </row>
    <row r="1473" spans="3:12" x14ac:dyDescent="0.2">
      <c r="C1473"/>
      <c r="L1473" s="9" t="str">
        <f t="shared" si="142"/>
        <v/>
      </c>
    </row>
    <row r="1474" spans="3:12" x14ac:dyDescent="0.2">
      <c r="C1474"/>
      <c r="L1474" s="9" t="str">
        <f t="shared" si="142"/>
        <v/>
      </c>
    </row>
    <row r="1475" spans="3:12" x14ac:dyDescent="0.2">
      <c r="C1475"/>
      <c r="L1475" s="9" t="str">
        <f t="shared" si="142"/>
        <v/>
      </c>
    </row>
    <row r="1476" spans="3:12" x14ac:dyDescent="0.2">
      <c r="C1476"/>
      <c r="L1476" s="9" t="str">
        <f t="shared" si="142"/>
        <v/>
      </c>
    </row>
    <row r="1477" spans="3:12" x14ac:dyDescent="0.2">
      <c r="C1477"/>
      <c r="L1477" s="9" t="str">
        <f t="shared" si="142"/>
        <v/>
      </c>
    </row>
    <row r="1478" spans="3:12" x14ac:dyDescent="0.2">
      <c r="C1478"/>
      <c r="L1478" s="9" t="str">
        <f t="shared" si="142"/>
        <v/>
      </c>
    </row>
    <row r="1479" spans="3:12" x14ac:dyDescent="0.2">
      <c r="C1479"/>
      <c r="L1479" s="9" t="str">
        <f t="shared" si="142"/>
        <v/>
      </c>
    </row>
    <row r="1480" spans="3:12" x14ac:dyDescent="0.2">
      <c r="C1480"/>
      <c r="L1480" s="9" t="str">
        <f t="shared" si="142"/>
        <v/>
      </c>
    </row>
    <row r="1481" spans="3:12" x14ac:dyDescent="0.2">
      <c r="C1481"/>
      <c r="L1481" s="9" t="str">
        <f t="shared" si="142"/>
        <v/>
      </c>
    </row>
    <row r="1482" spans="3:12" x14ac:dyDescent="0.2">
      <c r="C1482"/>
      <c r="L1482" s="9" t="str">
        <f t="shared" si="142"/>
        <v/>
      </c>
    </row>
    <row r="1483" spans="3:12" x14ac:dyDescent="0.2">
      <c r="C1483"/>
      <c r="L1483" s="9" t="str">
        <f t="shared" si="142"/>
        <v/>
      </c>
    </row>
    <row r="1484" spans="3:12" x14ac:dyDescent="0.2">
      <c r="C1484"/>
      <c r="L1484" s="9" t="str">
        <f t="shared" si="142"/>
        <v/>
      </c>
    </row>
    <row r="1485" spans="3:12" x14ac:dyDescent="0.2">
      <c r="C1485"/>
      <c r="L1485" s="9" t="str">
        <f t="shared" si="142"/>
        <v/>
      </c>
    </row>
    <row r="1486" spans="3:12" x14ac:dyDescent="0.2">
      <c r="C1486"/>
      <c r="L1486" s="9" t="str">
        <f t="shared" si="142"/>
        <v/>
      </c>
    </row>
    <row r="1487" spans="3:12" x14ac:dyDescent="0.2">
      <c r="C1487"/>
      <c r="L1487" s="9" t="str">
        <f t="shared" si="142"/>
        <v/>
      </c>
    </row>
    <row r="1488" spans="3:12" x14ac:dyDescent="0.2">
      <c r="C1488"/>
      <c r="L1488" s="9" t="str">
        <f t="shared" si="142"/>
        <v/>
      </c>
    </row>
    <row r="1489" spans="3:12" x14ac:dyDescent="0.2">
      <c r="C1489"/>
      <c r="L1489" s="9" t="str">
        <f t="shared" si="142"/>
        <v/>
      </c>
    </row>
    <row r="1490" spans="3:12" x14ac:dyDescent="0.2">
      <c r="C1490"/>
      <c r="L1490" s="9" t="str">
        <f t="shared" si="142"/>
        <v/>
      </c>
    </row>
    <row r="1491" spans="3:12" x14ac:dyDescent="0.2">
      <c r="C1491"/>
      <c r="L1491" s="9" t="str">
        <f t="shared" si="142"/>
        <v/>
      </c>
    </row>
    <row r="1492" spans="3:12" x14ac:dyDescent="0.2">
      <c r="C1492"/>
      <c r="L1492" s="9" t="str">
        <f t="shared" si="142"/>
        <v/>
      </c>
    </row>
    <row r="1493" spans="3:12" x14ac:dyDescent="0.2">
      <c r="C1493"/>
      <c r="L1493" s="9" t="str">
        <f t="shared" si="142"/>
        <v/>
      </c>
    </row>
    <row r="1494" spans="3:12" x14ac:dyDescent="0.2">
      <c r="C1494"/>
      <c r="L1494" s="9" t="str">
        <f t="shared" si="142"/>
        <v/>
      </c>
    </row>
    <row r="1495" spans="3:12" x14ac:dyDescent="0.2">
      <c r="C1495"/>
      <c r="L1495" s="9" t="str">
        <f t="shared" si="142"/>
        <v/>
      </c>
    </row>
    <row r="1496" spans="3:12" x14ac:dyDescent="0.2">
      <c r="C1496"/>
      <c r="L1496" s="9" t="str">
        <f t="shared" si="142"/>
        <v/>
      </c>
    </row>
    <row r="1497" spans="3:12" x14ac:dyDescent="0.2">
      <c r="C1497"/>
      <c r="L1497" s="9" t="str">
        <f t="shared" si="142"/>
        <v/>
      </c>
    </row>
    <row r="1498" spans="3:12" x14ac:dyDescent="0.2">
      <c r="C1498"/>
      <c r="L1498" s="9" t="str">
        <f t="shared" si="142"/>
        <v/>
      </c>
    </row>
    <row r="1499" spans="3:12" x14ac:dyDescent="0.2">
      <c r="C1499"/>
      <c r="L1499" s="9" t="str">
        <f t="shared" si="142"/>
        <v/>
      </c>
    </row>
    <row r="1500" spans="3:12" x14ac:dyDescent="0.2">
      <c r="C1500"/>
      <c r="L1500" s="9" t="str">
        <f t="shared" si="142"/>
        <v/>
      </c>
    </row>
    <row r="1501" spans="3:12" x14ac:dyDescent="0.2">
      <c r="C1501"/>
      <c r="L1501" s="9" t="str">
        <f t="shared" si="142"/>
        <v/>
      </c>
    </row>
    <row r="1502" spans="3:12" x14ac:dyDescent="0.2">
      <c r="C1502"/>
      <c r="L1502" s="9" t="str">
        <f t="shared" si="142"/>
        <v/>
      </c>
    </row>
    <row r="1503" spans="3:12" x14ac:dyDescent="0.2">
      <c r="C1503"/>
      <c r="L1503" s="9" t="str">
        <f t="shared" si="142"/>
        <v/>
      </c>
    </row>
    <row r="1504" spans="3:12" x14ac:dyDescent="0.2">
      <c r="C1504"/>
      <c r="L1504" s="9" t="str">
        <f t="shared" si="142"/>
        <v/>
      </c>
    </row>
    <row r="1505" spans="3:12" x14ac:dyDescent="0.2">
      <c r="C1505"/>
      <c r="L1505" s="9" t="str">
        <f t="shared" si="142"/>
        <v/>
      </c>
    </row>
    <row r="1506" spans="3:12" x14ac:dyDescent="0.2">
      <c r="C1506"/>
      <c r="L1506" s="9" t="str">
        <f t="shared" si="142"/>
        <v/>
      </c>
    </row>
    <row r="1507" spans="3:12" x14ac:dyDescent="0.2">
      <c r="C1507"/>
      <c r="L1507" s="9" t="str">
        <f t="shared" si="142"/>
        <v/>
      </c>
    </row>
    <row r="1508" spans="3:12" x14ac:dyDescent="0.2">
      <c r="C1508"/>
      <c r="L1508" s="9" t="str">
        <f t="shared" si="142"/>
        <v/>
      </c>
    </row>
    <row r="1509" spans="3:12" x14ac:dyDescent="0.2">
      <c r="C1509"/>
      <c r="L1509" s="9" t="str">
        <f t="shared" si="142"/>
        <v/>
      </c>
    </row>
    <row r="1510" spans="3:12" x14ac:dyDescent="0.2">
      <c r="C1510"/>
      <c r="L1510" s="9" t="str">
        <f t="shared" si="142"/>
        <v/>
      </c>
    </row>
    <row r="1511" spans="3:12" x14ac:dyDescent="0.2">
      <c r="C1511"/>
      <c r="L1511" s="9" t="str">
        <f t="shared" si="142"/>
        <v/>
      </c>
    </row>
    <row r="1512" spans="3:12" x14ac:dyDescent="0.2">
      <c r="C1512"/>
      <c r="L1512" s="9" t="str">
        <f t="shared" si="142"/>
        <v/>
      </c>
    </row>
    <row r="1513" spans="3:12" x14ac:dyDescent="0.2">
      <c r="C1513"/>
      <c r="L1513" s="9" t="str">
        <f t="shared" si="142"/>
        <v/>
      </c>
    </row>
    <row r="1514" spans="3:12" x14ac:dyDescent="0.2">
      <c r="C1514"/>
      <c r="L1514" s="9" t="str">
        <f t="shared" si="142"/>
        <v/>
      </c>
    </row>
    <row r="1515" spans="3:12" x14ac:dyDescent="0.2">
      <c r="C1515"/>
      <c r="L1515" s="9" t="str">
        <f t="shared" si="142"/>
        <v/>
      </c>
    </row>
    <row r="1516" spans="3:12" x14ac:dyDescent="0.2">
      <c r="C1516"/>
      <c r="L1516" s="9" t="str">
        <f t="shared" si="142"/>
        <v/>
      </c>
    </row>
    <row r="1517" spans="3:12" x14ac:dyDescent="0.2">
      <c r="C1517"/>
      <c r="L1517" s="9" t="str">
        <f t="shared" si="142"/>
        <v/>
      </c>
    </row>
    <row r="1518" spans="3:12" x14ac:dyDescent="0.2">
      <c r="C1518"/>
      <c r="L1518" s="9" t="str">
        <f t="shared" si="142"/>
        <v/>
      </c>
    </row>
    <row r="1519" spans="3:12" x14ac:dyDescent="0.2">
      <c r="C1519"/>
      <c r="L1519" s="9" t="str">
        <f t="shared" si="142"/>
        <v/>
      </c>
    </row>
    <row r="1520" spans="3:12" x14ac:dyDescent="0.2">
      <c r="C1520"/>
      <c r="L1520" s="9" t="str">
        <f t="shared" si="142"/>
        <v/>
      </c>
    </row>
    <row r="1521" spans="3:12" x14ac:dyDescent="0.2">
      <c r="C1521"/>
      <c r="L1521" s="9" t="str">
        <f t="shared" si="142"/>
        <v/>
      </c>
    </row>
    <row r="1522" spans="3:12" x14ac:dyDescent="0.2">
      <c r="C1522"/>
      <c r="L1522" s="9" t="str">
        <f t="shared" si="142"/>
        <v/>
      </c>
    </row>
    <row r="1523" spans="3:12" x14ac:dyDescent="0.2">
      <c r="C1523"/>
      <c r="L1523" s="9" t="str">
        <f t="shared" si="142"/>
        <v/>
      </c>
    </row>
    <row r="1524" spans="3:12" x14ac:dyDescent="0.2">
      <c r="C1524"/>
      <c r="L1524" s="9" t="str">
        <f t="shared" si="142"/>
        <v/>
      </c>
    </row>
    <row r="1525" spans="3:12" x14ac:dyDescent="0.2">
      <c r="C1525"/>
      <c r="L1525" s="9" t="str">
        <f t="shared" si="142"/>
        <v/>
      </c>
    </row>
    <row r="1526" spans="3:12" x14ac:dyDescent="0.2">
      <c r="C1526"/>
      <c r="L1526" s="9" t="str">
        <f t="shared" si="142"/>
        <v/>
      </c>
    </row>
    <row r="1527" spans="3:12" x14ac:dyDescent="0.2">
      <c r="C1527"/>
      <c r="L1527" s="9" t="str">
        <f t="shared" si="142"/>
        <v/>
      </c>
    </row>
    <row r="1528" spans="3:12" x14ac:dyDescent="0.2">
      <c r="C1528"/>
      <c r="L1528" s="9" t="str">
        <f t="shared" si="142"/>
        <v/>
      </c>
    </row>
    <row r="1529" spans="3:12" x14ac:dyDescent="0.2">
      <c r="C1529"/>
      <c r="L1529" s="9" t="str">
        <f t="shared" si="142"/>
        <v/>
      </c>
    </row>
    <row r="1530" spans="3:12" x14ac:dyDescent="0.2">
      <c r="C1530"/>
      <c r="L1530" s="9" t="str">
        <f t="shared" si="142"/>
        <v/>
      </c>
    </row>
    <row r="1531" spans="3:12" x14ac:dyDescent="0.2">
      <c r="C1531"/>
      <c r="L1531" s="9" t="str">
        <f t="shared" si="142"/>
        <v/>
      </c>
    </row>
    <row r="1532" spans="3:12" x14ac:dyDescent="0.2">
      <c r="C1532"/>
      <c r="L1532" s="9" t="str">
        <f t="shared" si="142"/>
        <v/>
      </c>
    </row>
    <row r="1533" spans="3:12" x14ac:dyDescent="0.2">
      <c r="C1533"/>
      <c r="L1533" s="9" t="str">
        <f t="shared" ref="L1533:L1596" si="143">IF(A1533="STOCK",E1533,IF(A1533="SOPTION",G1533,IF(A1533="LOPTION",F1533,"")))</f>
        <v/>
      </c>
    </row>
    <row r="1534" spans="3:12" x14ac:dyDescent="0.2">
      <c r="C1534"/>
      <c r="L1534" s="9" t="str">
        <f t="shared" si="143"/>
        <v/>
      </c>
    </row>
    <row r="1535" spans="3:12" x14ac:dyDescent="0.2">
      <c r="C1535"/>
      <c r="L1535" s="9" t="str">
        <f t="shared" si="143"/>
        <v/>
      </c>
    </row>
    <row r="1536" spans="3:12" x14ac:dyDescent="0.2">
      <c r="C1536"/>
      <c r="L1536" s="9" t="str">
        <f t="shared" si="143"/>
        <v/>
      </c>
    </row>
    <row r="1537" spans="3:12" x14ac:dyDescent="0.2">
      <c r="C1537"/>
      <c r="L1537" s="9" t="str">
        <f t="shared" si="143"/>
        <v/>
      </c>
    </row>
    <row r="1538" spans="3:12" x14ac:dyDescent="0.2">
      <c r="C1538"/>
      <c r="L1538" s="9" t="str">
        <f t="shared" si="143"/>
        <v/>
      </c>
    </row>
    <row r="1539" spans="3:12" x14ac:dyDescent="0.2">
      <c r="C1539"/>
      <c r="L1539" s="9" t="str">
        <f t="shared" si="143"/>
        <v/>
      </c>
    </row>
    <row r="1540" spans="3:12" x14ac:dyDescent="0.2">
      <c r="C1540"/>
      <c r="L1540" s="9" t="str">
        <f t="shared" si="143"/>
        <v/>
      </c>
    </row>
    <row r="1541" spans="3:12" x14ac:dyDescent="0.2">
      <c r="C1541"/>
      <c r="L1541" s="9" t="str">
        <f t="shared" si="143"/>
        <v/>
      </c>
    </row>
    <row r="1542" spans="3:12" x14ac:dyDescent="0.2">
      <c r="C1542"/>
      <c r="L1542" s="9" t="str">
        <f t="shared" si="143"/>
        <v/>
      </c>
    </row>
    <row r="1543" spans="3:12" x14ac:dyDescent="0.2">
      <c r="C1543"/>
      <c r="L1543" s="9" t="str">
        <f t="shared" si="143"/>
        <v/>
      </c>
    </row>
    <row r="1544" spans="3:12" x14ac:dyDescent="0.2">
      <c r="C1544"/>
      <c r="L1544" s="9" t="str">
        <f t="shared" si="143"/>
        <v/>
      </c>
    </row>
    <row r="1545" spans="3:12" x14ac:dyDescent="0.2">
      <c r="C1545"/>
      <c r="L1545" s="9" t="str">
        <f t="shared" si="143"/>
        <v/>
      </c>
    </row>
    <row r="1546" spans="3:12" x14ac:dyDescent="0.2">
      <c r="C1546"/>
      <c r="L1546" s="9" t="str">
        <f t="shared" si="143"/>
        <v/>
      </c>
    </row>
    <row r="1547" spans="3:12" x14ac:dyDescent="0.2">
      <c r="C1547"/>
      <c r="L1547" s="9" t="str">
        <f t="shared" si="143"/>
        <v/>
      </c>
    </row>
    <row r="1548" spans="3:12" x14ac:dyDescent="0.2">
      <c r="C1548"/>
      <c r="L1548" s="9" t="str">
        <f t="shared" si="143"/>
        <v/>
      </c>
    </row>
    <row r="1549" spans="3:12" x14ac:dyDescent="0.2">
      <c r="C1549"/>
      <c r="L1549" s="9" t="str">
        <f t="shared" si="143"/>
        <v/>
      </c>
    </row>
    <row r="1550" spans="3:12" x14ac:dyDescent="0.2">
      <c r="C1550"/>
      <c r="L1550" s="9" t="str">
        <f t="shared" si="143"/>
        <v/>
      </c>
    </row>
    <row r="1551" spans="3:12" x14ac:dyDescent="0.2">
      <c r="C1551"/>
      <c r="L1551" s="9" t="str">
        <f t="shared" si="143"/>
        <v/>
      </c>
    </row>
    <row r="1552" spans="3:12" x14ac:dyDescent="0.2">
      <c r="C1552"/>
      <c r="L1552" s="9" t="str">
        <f t="shared" si="143"/>
        <v/>
      </c>
    </row>
    <row r="1553" spans="3:12" x14ac:dyDescent="0.2">
      <c r="C1553"/>
      <c r="L1553" s="9" t="str">
        <f t="shared" si="143"/>
        <v/>
      </c>
    </row>
    <row r="1554" spans="3:12" x14ac:dyDescent="0.2">
      <c r="C1554"/>
      <c r="L1554" s="9" t="str">
        <f t="shared" si="143"/>
        <v/>
      </c>
    </row>
    <row r="1555" spans="3:12" x14ac:dyDescent="0.2">
      <c r="C1555"/>
      <c r="L1555" s="9" t="str">
        <f t="shared" si="143"/>
        <v/>
      </c>
    </row>
    <row r="1556" spans="3:12" x14ac:dyDescent="0.2">
      <c r="C1556"/>
      <c r="L1556" s="9" t="str">
        <f t="shared" si="143"/>
        <v/>
      </c>
    </row>
    <row r="1557" spans="3:12" x14ac:dyDescent="0.2">
      <c r="C1557"/>
      <c r="L1557" s="9" t="str">
        <f t="shared" si="143"/>
        <v/>
      </c>
    </row>
    <row r="1558" spans="3:12" x14ac:dyDescent="0.2">
      <c r="C1558"/>
      <c r="L1558" s="9" t="str">
        <f t="shared" si="143"/>
        <v/>
      </c>
    </row>
    <row r="1559" spans="3:12" x14ac:dyDescent="0.2">
      <c r="C1559"/>
      <c r="L1559" s="9" t="str">
        <f t="shared" si="143"/>
        <v/>
      </c>
    </row>
    <row r="1560" spans="3:12" x14ac:dyDescent="0.2">
      <c r="C1560"/>
      <c r="L1560" s="9" t="str">
        <f t="shared" si="143"/>
        <v/>
      </c>
    </row>
    <row r="1561" spans="3:12" x14ac:dyDescent="0.2">
      <c r="C1561"/>
      <c r="L1561" s="9" t="str">
        <f t="shared" si="143"/>
        <v/>
      </c>
    </row>
    <row r="1562" spans="3:12" x14ac:dyDescent="0.2">
      <c r="C1562"/>
      <c r="L1562" s="9" t="str">
        <f t="shared" si="143"/>
        <v/>
      </c>
    </row>
    <row r="1563" spans="3:12" x14ac:dyDescent="0.2">
      <c r="C1563"/>
      <c r="L1563" s="9" t="str">
        <f t="shared" si="143"/>
        <v/>
      </c>
    </row>
    <row r="1564" spans="3:12" x14ac:dyDescent="0.2">
      <c r="C1564"/>
      <c r="L1564" s="9" t="str">
        <f t="shared" si="143"/>
        <v/>
      </c>
    </row>
    <row r="1565" spans="3:12" x14ac:dyDescent="0.2">
      <c r="C1565"/>
      <c r="L1565" s="9" t="str">
        <f t="shared" si="143"/>
        <v/>
      </c>
    </row>
    <row r="1566" spans="3:12" x14ac:dyDescent="0.2">
      <c r="C1566"/>
      <c r="L1566" s="9" t="str">
        <f t="shared" si="143"/>
        <v/>
      </c>
    </row>
    <row r="1567" spans="3:12" x14ac:dyDescent="0.2">
      <c r="C1567"/>
      <c r="L1567" s="9" t="str">
        <f t="shared" si="143"/>
        <v/>
      </c>
    </row>
    <row r="1568" spans="3:12" x14ac:dyDescent="0.2">
      <c r="C1568"/>
      <c r="L1568" s="9" t="str">
        <f t="shared" si="143"/>
        <v/>
      </c>
    </row>
    <row r="1569" spans="3:12" x14ac:dyDescent="0.2">
      <c r="C1569"/>
      <c r="L1569" s="9" t="str">
        <f t="shared" si="143"/>
        <v/>
      </c>
    </row>
    <row r="1570" spans="3:12" x14ac:dyDescent="0.2">
      <c r="C1570"/>
      <c r="L1570" s="9" t="str">
        <f t="shared" si="143"/>
        <v/>
      </c>
    </row>
    <row r="1571" spans="3:12" x14ac:dyDescent="0.2">
      <c r="C1571"/>
      <c r="L1571" s="9" t="str">
        <f t="shared" si="143"/>
        <v/>
      </c>
    </row>
    <row r="1572" spans="3:12" x14ac:dyDescent="0.2">
      <c r="C1572"/>
      <c r="L1572" s="9" t="str">
        <f t="shared" si="143"/>
        <v/>
      </c>
    </row>
    <row r="1573" spans="3:12" x14ac:dyDescent="0.2">
      <c r="C1573"/>
      <c r="L1573" s="9" t="str">
        <f t="shared" si="143"/>
        <v/>
      </c>
    </row>
    <row r="1574" spans="3:12" x14ac:dyDescent="0.2">
      <c r="C1574"/>
      <c r="L1574" s="9" t="str">
        <f t="shared" si="143"/>
        <v/>
      </c>
    </row>
    <row r="1575" spans="3:12" x14ac:dyDescent="0.2">
      <c r="C1575"/>
      <c r="L1575" s="9" t="str">
        <f t="shared" si="143"/>
        <v/>
      </c>
    </row>
    <row r="1576" spans="3:12" x14ac:dyDescent="0.2">
      <c r="C1576"/>
      <c r="L1576" s="9" t="str">
        <f t="shared" si="143"/>
        <v/>
      </c>
    </row>
    <row r="1577" spans="3:12" x14ac:dyDescent="0.2">
      <c r="C1577"/>
      <c r="L1577" s="9" t="str">
        <f t="shared" si="143"/>
        <v/>
      </c>
    </row>
    <row r="1578" spans="3:12" x14ac:dyDescent="0.2">
      <c r="C1578"/>
      <c r="L1578" s="9" t="str">
        <f t="shared" si="143"/>
        <v/>
      </c>
    </row>
    <row r="1579" spans="3:12" x14ac:dyDescent="0.2">
      <c r="C1579"/>
      <c r="L1579" s="9" t="str">
        <f t="shared" si="143"/>
        <v/>
      </c>
    </row>
    <row r="1580" spans="3:12" x14ac:dyDescent="0.2">
      <c r="C1580"/>
      <c r="L1580" s="9" t="str">
        <f t="shared" si="143"/>
        <v/>
      </c>
    </row>
    <row r="1581" spans="3:12" x14ac:dyDescent="0.2">
      <c r="C1581"/>
      <c r="L1581" s="9" t="str">
        <f t="shared" si="143"/>
        <v/>
      </c>
    </row>
    <row r="1582" spans="3:12" x14ac:dyDescent="0.2">
      <c r="C1582"/>
      <c r="L1582" s="9" t="str">
        <f t="shared" si="143"/>
        <v/>
      </c>
    </row>
    <row r="1583" spans="3:12" x14ac:dyDescent="0.2">
      <c r="C1583"/>
      <c r="L1583" s="9" t="str">
        <f t="shared" si="143"/>
        <v/>
      </c>
    </row>
    <row r="1584" spans="3:12" x14ac:dyDescent="0.2">
      <c r="C1584"/>
      <c r="L1584" s="9" t="str">
        <f t="shared" si="143"/>
        <v/>
      </c>
    </row>
    <row r="1585" spans="3:12" x14ac:dyDescent="0.2">
      <c r="C1585"/>
      <c r="L1585" s="9" t="str">
        <f t="shared" si="143"/>
        <v/>
      </c>
    </row>
    <row r="1586" spans="3:12" x14ac:dyDescent="0.2">
      <c r="C1586"/>
      <c r="L1586" s="9" t="str">
        <f t="shared" si="143"/>
        <v/>
      </c>
    </row>
    <row r="1587" spans="3:12" x14ac:dyDescent="0.2">
      <c r="C1587"/>
      <c r="L1587" s="9" t="str">
        <f t="shared" si="143"/>
        <v/>
      </c>
    </row>
    <row r="1588" spans="3:12" x14ac:dyDescent="0.2">
      <c r="C1588"/>
      <c r="L1588" s="9" t="str">
        <f t="shared" si="143"/>
        <v/>
      </c>
    </row>
    <row r="1589" spans="3:12" x14ac:dyDescent="0.2">
      <c r="C1589"/>
      <c r="L1589" s="9" t="str">
        <f t="shared" si="143"/>
        <v/>
      </c>
    </row>
    <row r="1590" spans="3:12" x14ac:dyDescent="0.2">
      <c r="C1590"/>
      <c r="L1590" s="9" t="str">
        <f t="shared" si="143"/>
        <v/>
      </c>
    </row>
    <row r="1591" spans="3:12" x14ac:dyDescent="0.2">
      <c r="C1591"/>
      <c r="L1591" s="9" t="str">
        <f t="shared" si="143"/>
        <v/>
      </c>
    </row>
    <row r="1592" spans="3:12" x14ac:dyDescent="0.2">
      <c r="C1592"/>
      <c r="L1592" s="9" t="str">
        <f t="shared" si="143"/>
        <v/>
      </c>
    </row>
    <row r="1593" spans="3:12" x14ac:dyDescent="0.2">
      <c r="C1593"/>
      <c r="L1593" s="9" t="str">
        <f t="shared" si="143"/>
        <v/>
      </c>
    </row>
    <row r="1594" spans="3:12" x14ac:dyDescent="0.2">
      <c r="C1594"/>
      <c r="L1594" s="9" t="str">
        <f t="shared" si="143"/>
        <v/>
      </c>
    </row>
    <row r="1595" spans="3:12" x14ac:dyDescent="0.2">
      <c r="C1595"/>
      <c r="L1595" s="9" t="str">
        <f t="shared" si="143"/>
        <v/>
      </c>
    </row>
    <row r="1596" spans="3:12" x14ac:dyDescent="0.2">
      <c r="C1596"/>
      <c r="L1596" s="9" t="str">
        <f t="shared" si="143"/>
        <v/>
      </c>
    </row>
    <row r="1597" spans="3:12" x14ac:dyDescent="0.2">
      <c r="C1597"/>
      <c r="L1597" s="9" t="str">
        <f t="shared" ref="L1597:L1660" si="144">IF(A1597="STOCK",E1597,IF(A1597="SOPTION",G1597,IF(A1597="LOPTION",F1597,"")))</f>
        <v/>
      </c>
    </row>
    <row r="1598" spans="3:12" x14ac:dyDescent="0.2">
      <c r="C1598"/>
      <c r="L1598" s="9" t="str">
        <f t="shared" si="144"/>
        <v/>
      </c>
    </row>
    <row r="1599" spans="3:12" x14ac:dyDescent="0.2">
      <c r="C1599"/>
      <c r="L1599" s="9" t="str">
        <f t="shared" si="144"/>
        <v/>
      </c>
    </row>
    <row r="1600" spans="3:12" x14ac:dyDescent="0.2">
      <c r="C1600"/>
      <c r="L1600" s="9" t="str">
        <f t="shared" si="144"/>
        <v/>
      </c>
    </row>
    <row r="1601" spans="3:12" x14ac:dyDescent="0.2">
      <c r="C1601"/>
      <c r="L1601" s="9" t="str">
        <f t="shared" si="144"/>
        <v/>
      </c>
    </row>
    <row r="1602" spans="3:12" x14ac:dyDescent="0.2">
      <c r="C1602"/>
      <c r="L1602" s="9" t="str">
        <f t="shared" si="144"/>
        <v/>
      </c>
    </row>
    <row r="1603" spans="3:12" x14ac:dyDescent="0.2">
      <c r="C1603"/>
      <c r="L1603" s="9" t="str">
        <f t="shared" si="144"/>
        <v/>
      </c>
    </row>
    <row r="1604" spans="3:12" x14ac:dyDescent="0.2">
      <c r="C1604"/>
      <c r="L1604" s="9" t="str">
        <f t="shared" si="144"/>
        <v/>
      </c>
    </row>
    <row r="1605" spans="3:12" x14ac:dyDescent="0.2">
      <c r="C1605"/>
      <c r="L1605" s="9" t="str">
        <f t="shared" si="144"/>
        <v/>
      </c>
    </row>
    <row r="1606" spans="3:12" x14ac:dyDescent="0.2">
      <c r="C1606"/>
      <c r="L1606" s="9" t="str">
        <f t="shared" si="144"/>
        <v/>
      </c>
    </row>
    <row r="1607" spans="3:12" x14ac:dyDescent="0.2">
      <c r="C1607"/>
      <c r="L1607" s="9" t="str">
        <f t="shared" si="144"/>
        <v/>
      </c>
    </row>
    <row r="1608" spans="3:12" x14ac:dyDescent="0.2">
      <c r="C1608"/>
      <c r="L1608" s="9" t="str">
        <f t="shared" si="144"/>
        <v/>
      </c>
    </row>
    <row r="1609" spans="3:12" x14ac:dyDescent="0.2">
      <c r="C1609"/>
      <c r="L1609" s="9" t="str">
        <f t="shared" si="144"/>
        <v/>
      </c>
    </row>
    <row r="1610" spans="3:12" x14ac:dyDescent="0.2">
      <c r="C1610"/>
      <c r="L1610" s="9" t="str">
        <f t="shared" si="144"/>
        <v/>
      </c>
    </row>
    <row r="1611" spans="3:12" x14ac:dyDescent="0.2">
      <c r="C1611"/>
      <c r="L1611" s="9" t="str">
        <f t="shared" si="144"/>
        <v/>
      </c>
    </row>
    <row r="1612" spans="3:12" x14ac:dyDescent="0.2">
      <c r="C1612"/>
      <c r="L1612" s="9" t="str">
        <f t="shared" si="144"/>
        <v/>
      </c>
    </row>
    <row r="1613" spans="3:12" x14ac:dyDescent="0.2">
      <c r="C1613"/>
      <c r="L1613" s="9" t="str">
        <f t="shared" si="144"/>
        <v/>
      </c>
    </row>
    <row r="1614" spans="3:12" x14ac:dyDescent="0.2">
      <c r="C1614"/>
      <c r="L1614" s="9" t="str">
        <f t="shared" si="144"/>
        <v/>
      </c>
    </row>
    <row r="1615" spans="3:12" x14ac:dyDescent="0.2">
      <c r="C1615"/>
      <c r="L1615" s="9" t="str">
        <f t="shared" si="144"/>
        <v/>
      </c>
    </row>
    <row r="1616" spans="3:12" x14ac:dyDescent="0.2">
      <c r="C1616"/>
      <c r="L1616" s="9" t="str">
        <f t="shared" si="144"/>
        <v/>
      </c>
    </row>
    <row r="1617" spans="3:12" x14ac:dyDescent="0.2">
      <c r="C1617"/>
      <c r="L1617" s="9" t="str">
        <f t="shared" si="144"/>
        <v/>
      </c>
    </row>
    <row r="1618" spans="3:12" x14ac:dyDescent="0.2">
      <c r="C1618"/>
      <c r="L1618" s="9" t="str">
        <f t="shared" si="144"/>
        <v/>
      </c>
    </row>
    <row r="1619" spans="3:12" x14ac:dyDescent="0.2">
      <c r="C1619"/>
      <c r="L1619" s="9" t="str">
        <f t="shared" si="144"/>
        <v/>
      </c>
    </row>
    <row r="1620" spans="3:12" x14ac:dyDescent="0.2">
      <c r="C1620"/>
      <c r="L1620" s="9" t="str">
        <f t="shared" si="144"/>
        <v/>
      </c>
    </row>
    <row r="1621" spans="3:12" x14ac:dyDescent="0.2">
      <c r="C1621"/>
      <c r="L1621" s="9" t="str">
        <f t="shared" si="144"/>
        <v/>
      </c>
    </row>
    <row r="1622" spans="3:12" x14ac:dyDescent="0.2">
      <c r="C1622"/>
      <c r="L1622" s="9" t="str">
        <f t="shared" si="144"/>
        <v/>
      </c>
    </row>
    <row r="1623" spans="3:12" x14ac:dyDescent="0.2">
      <c r="C1623"/>
      <c r="L1623" s="9" t="str">
        <f t="shared" si="144"/>
        <v/>
      </c>
    </row>
    <row r="1624" spans="3:12" x14ac:dyDescent="0.2">
      <c r="C1624"/>
      <c r="L1624" s="9" t="str">
        <f t="shared" si="144"/>
        <v/>
      </c>
    </row>
    <row r="1625" spans="3:12" x14ac:dyDescent="0.2">
      <c r="C1625"/>
      <c r="L1625" s="9" t="str">
        <f t="shared" si="144"/>
        <v/>
      </c>
    </row>
    <row r="1626" spans="3:12" x14ac:dyDescent="0.2">
      <c r="C1626"/>
      <c r="L1626" s="9" t="str">
        <f t="shared" si="144"/>
        <v/>
      </c>
    </row>
    <row r="1627" spans="3:12" x14ac:dyDescent="0.2">
      <c r="C1627"/>
      <c r="L1627" s="9" t="str">
        <f t="shared" si="144"/>
        <v/>
      </c>
    </row>
    <row r="1628" spans="3:12" x14ac:dyDescent="0.2">
      <c r="C1628"/>
      <c r="L1628" s="9" t="str">
        <f t="shared" si="144"/>
        <v/>
      </c>
    </row>
    <row r="1629" spans="3:12" x14ac:dyDescent="0.2">
      <c r="C1629"/>
      <c r="L1629" s="9" t="str">
        <f t="shared" si="144"/>
        <v/>
      </c>
    </row>
    <row r="1630" spans="3:12" x14ac:dyDescent="0.2">
      <c r="C1630"/>
      <c r="L1630" s="9" t="str">
        <f t="shared" si="144"/>
        <v/>
      </c>
    </row>
    <row r="1631" spans="3:12" x14ac:dyDescent="0.2">
      <c r="C1631"/>
      <c r="L1631" s="9" t="str">
        <f t="shared" si="144"/>
        <v/>
      </c>
    </row>
    <row r="1632" spans="3:12" x14ac:dyDescent="0.2">
      <c r="C1632"/>
      <c r="L1632" s="9" t="str">
        <f t="shared" si="144"/>
        <v/>
      </c>
    </row>
    <row r="1633" spans="3:12" x14ac:dyDescent="0.2">
      <c r="C1633"/>
      <c r="L1633" s="9" t="str">
        <f t="shared" si="144"/>
        <v/>
      </c>
    </row>
    <row r="1634" spans="3:12" x14ac:dyDescent="0.2">
      <c r="C1634"/>
      <c r="L1634" s="9" t="str">
        <f t="shared" si="144"/>
        <v/>
      </c>
    </row>
    <row r="1635" spans="3:12" x14ac:dyDescent="0.2">
      <c r="C1635"/>
      <c r="L1635" s="9" t="str">
        <f t="shared" si="144"/>
        <v/>
      </c>
    </row>
    <row r="1636" spans="3:12" x14ac:dyDescent="0.2">
      <c r="C1636"/>
      <c r="L1636" s="9" t="str">
        <f t="shared" si="144"/>
        <v/>
      </c>
    </row>
    <row r="1637" spans="3:12" x14ac:dyDescent="0.2">
      <c r="C1637"/>
      <c r="L1637" s="9" t="str">
        <f t="shared" si="144"/>
        <v/>
      </c>
    </row>
    <row r="1638" spans="3:12" x14ac:dyDescent="0.2">
      <c r="C1638"/>
      <c r="L1638" s="9" t="str">
        <f t="shared" si="144"/>
        <v/>
      </c>
    </row>
    <row r="1639" spans="3:12" x14ac:dyDescent="0.2">
      <c r="C1639"/>
      <c r="L1639" s="9" t="str">
        <f t="shared" si="144"/>
        <v/>
      </c>
    </row>
    <row r="1640" spans="3:12" x14ac:dyDescent="0.2">
      <c r="C1640"/>
      <c r="L1640" s="9" t="str">
        <f t="shared" si="144"/>
        <v/>
      </c>
    </row>
    <row r="1641" spans="3:12" x14ac:dyDescent="0.2">
      <c r="C1641"/>
      <c r="L1641" s="9" t="str">
        <f t="shared" si="144"/>
        <v/>
      </c>
    </row>
    <row r="1642" spans="3:12" x14ac:dyDescent="0.2">
      <c r="C1642"/>
      <c r="L1642" s="9" t="str">
        <f t="shared" si="144"/>
        <v/>
      </c>
    </row>
    <row r="1643" spans="3:12" x14ac:dyDescent="0.2">
      <c r="C1643"/>
      <c r="L1643" s="9" t="str">
        <f t="shared" si="144"/>
        <v/>
      </c>
    </row>
    <row r="1644" spans="3:12" x14ac:dyDescent="0.2">
      <c r="C1644"/>
      <c r="L1644" s="9" t="str">
        <f t="shared" si="144"/>
        <v/>
      </c>
    </row>
    <row r="1645" spans="3:12" x14ac:dyDescent="0.2">
      <c r="C1645"/>
      <c r="L1645" s="9" t="str">
        <f t="shared" si="144"/>
        <v/>
      </c>
    </row>
    <row r="1646" spans="3:12" x14ac:dyDescent="0.2">
      <c r="C1646"/>
      <c r="L1646" s="9" t="str">
        <f t="shared" si="144"/>
        <v/>
      </c>
    </row>
    <row r="1647" spans="3:12" x14ac:dyDescent="0.2">
      <c r="C1647"/>
      <c r="L1647" s="9" t="str">
        <f t="shared" si="144"/>
        <v/>
      </c>
    </row>
    <row r="1648" spans="3:12" x14ac:dyDescent="0.2">
      <c r="C1648"/>
      <c r="L1648" s="9" t="str">
        <f t="shared" si="144"/>
        <v/>
      </c>
    </row>
    <row r="1649" spans="3:12" x14ac:dyDescent="0.2">
      <c r="C1649"/>
      <c r="L1649" s="9" t="str">
        <f t="shared" si="144"/>
        <v/>
      </c>
    </row>
    <row r="1650" spans="3:12" x14ac:dyDescent="0.2">
      <c r="C1650"/>
      <c r="L1650" s="9" t="str">
        <f t="shared" si="144"/>
        <v/>
      </c>
    </row>
    <row r="1651" spans="3:12" x14ac:dyDescent="0.2">
      <c r="C1651"/>
      <c r="L1651" s="9" t="str">
        <f t="shared" si="144"/>
        <v/>
      </c>
    </row>
    <row r="1652" spans="3:12" x14ac:dyDescent="0.2">
      <c r="C1652"/>
      <c r="L1652" s="9" t="str">
        <f t="shared" si="144"/>
        <v/>
      </c>
    </row>
    <row r="1653" spans="3:12" x14ac:dyDescent="0.2">
      <c r="C1653"/>
      <c r="L1653" s="9" t="str">
        <f t="shared" si="144"/>
        <v/>
      </c>
    </row>
    <row r="1654" spans="3:12" x14ac:dyDescent="0.2">
      <c r="C1654"/>
      <c r="L1654" s="9" t="str">
        <f t="shared" si="144"/>
        <v/>
      </c>
    </row>
    <row r="1655" spans="3:12" x14ac:dyDescent="0.2">
      <c r="C1655"/>
      <c r="L1655" s="9" t="str">
        <f t="shared" si="144"/>
        <v/>
      </c>
    </row>
    <row r="1656" spans="3:12" x14ac:dyDescent="0.2">
      <c r="C1656"/>
      <c r="L1656" s="9" t="str">
        <f t="shared" si="144"/>
        <v/>
      </c>
    </row>
    <row r="1657" spans="3:12" x14ac:dyDescent="0.2">
      <c r="C1657"/>
      <c r="L1657" s="9" t="str">
        <f t="shared" si="144"/>
        <v/>
      </c>
    </row>
    <row r="1658" spans="3:12" x14ac:dyDescent="0.2">
      <c r="C1658"/>
      <c r="L1658" s="9" t="str">
        <f t="shared" si="144"/>
        <v/>
      </c>
    </row>
    <row r="1659" spans="3:12" x14ac:dyDescent="0.2">
      <c r="C1659"/>
      <c r="L1659" s="9" t="str">
        <f t="shared" si="144"/>
        <v/>
      </c>
    </row>
    <row r="1660" spans="3:12" x14ac:dyDescent="0.2">
      <c r="C1660"/>
      <c r="L1660" s="9" t="str">
        <f t="shared" si="144"/>
        <v/>
      </c>
    </row>
    <row r="1661" spans="3:12" x14ac:dyDescent="0.2">
      <c r="C1661"/>
      <c r="L1661" s="9" t="str">
        <f t="shared" ref="L1661:L1724" si="145">IF(A1661="STOCK",E1661,IF(A1661="SOPTION",G1661,IF(A1661="LOPTION",F1661,"")))</f>
        <v/>
      </c>
    </row>
    <row r="1662" spans="3:12" x14ac:dyDescent="0.2">
      <c r="C1662"/>
      <c r="L1662" s="9" t="str">
        <f t="shared" si="145"/>
        <v/>
      </c>
    </row>
    <row r="1663" spans="3:12" x14ac:dyDescent="0.2">
      <c r="C1663"/>
      <c r="L1663" s="9" t="str">
        <f t="shared" si="145"/>
        <v/>
      </c>
    </row>
    <row r="1664" spans="3:12" x14ac:dyDescent="0.2">
      <c r="C1664"/>
      <c r="L1664" s="9" t="str">
        <f t="shared" si="145"/>
        <v/>
      </c>
    </row>
    <row r="1665" spans="3:12" x14ac:dyDescent="0.2">
      <c r="C1665"/>
      <c r="L1665" s="9" t="str">
        <f t="shared" si="145"/>
        <v/>
      </c>
    </row>
    <row r="1666" spans="3:12" x14ac:dyDescent="0.2">
      <c r="C1666"/>
      <c r="L1666" s="9" t="str">
        <f t="shared" si="145"/>
        <v/>
      </c>
    </row>
    <row r="1667" spans="3:12" x14ac:dyDescent="0.2">
      <c r="C1667"/>
      <c r="L1667" s="9" t="str">
        <f t="shared" si="145"/>
        <v/>
      </c>
    </row>
    <row r="1668" spans="3:12" x14ac:dyDescent="0.2">
      <c r="C1668"/>
      <c r="L1668" s="9" t="str">
        <f t="shared" si="145"/>
        <v/>
      </c>
    </row>
    <row r="1669" spans="3:12" x14ac:dyDescent="0.2">
      <c r="C1669"/>
      <c r="L1669" s="9" t="str">
        <f t="shared" si="145"/>
        <v/>
      </c>
    </row>
    <row r="1670" spans="3:12" x14ac:dyDescent="0.2">
      <c r="C1670"/>
      <c r="L1670" s="9" t="str">
        <f t="shared" si="145"/>
        <v/>
      </c>
    </row>
    <row r="1671" spans="3:12" x14ac:dyDescent="0.2">
      <c r="C1671"/>
      <c r="L1671" s="9" t="str">
        <f t="shared" si="145"/>
        <v/>
      </c>
    </row>
    <row r="1672" spans="3:12" x14ac:dyDescent="0.2">
      <c r="C1672"/>
      <c r="L1672" s="9" t="str">
        <f t="shared" si="145"/>
        <v/>
      </c>
    </row>
    <row r="1673" spans="3:12" x14ac:dyDescent="0.2">
      <c r="C1673"/>
      <c r="L1673" s="9" t="str">
        <f t="shared" si="145"/>
        <v/>
      </c>
    </row>
    <row r="1674" spans="3:12" x14ac:dyDescent="0.2">
      <c r="C1674"/>
      <c r="L1674" s="9" t="str">
        <f t="shared" si="145"/>
        <v/>
      </c>
    </row>
    <row r="1675" spans="3:12" x14ac:dyDescent="0.2">
      <c r="C1675"/>
      <c r="L1675" s="9" t="str">
        <f t="shared" si="145"/>
        <v/>
      </c>
    </row>
    <row r="1676" spans="3:12" x14ac:dyDescent="0.2">
      <c r="C1676"/>
      <c r="L1676" s="9" t="str">
        <f t="shared" si="145"/>
        <v/>
      </c>
    </row>
    <row r="1677" spans="3:12" x14ac:dyDescent="0.2">
      <c r="C1677"/>
      <c r="L1677" s="9" t="str">
        <f t="shared" si="145"/>
        <v/>
      </c>
    </row>
    <row r="1678" spans="3:12" x14ac:dyDescent="0.2">
      <c r="C1678"/>
      <c r="L1678" s="9" t="str">
        <f t="shared" si="145"/>
        <v/>
      </c>
    </row>
    <row r="1679" spans="3:12" x14ac:dyDescent="0.2">
      <c r="C1679"/>
      <c r="L1679" s="9" t="str">
        <f t="shared" si="145"/>
        <v/>
      </c>
    </row>
    <row r="1680" spans="3:12" x14ac:dyDescent="0.2">
      <c r="C1680"/>
      <c r="L1680" s="9" t="str">
        <f t="shared" si="145"/>
        <v/>
      </c>
    </row>
    <row r="1681" spans="3:12" x14ac:dyDescent="0.2">
      <c r="C1681"/>
      <c r="L1681" s="9" t="str">
        <f t="shared" si="145"/>
        <v/>
      </c>
    </row>
    <row r="1682" spans="3:12" x14ac:dyDescent="0.2">
      <c r="C1682"/>
      <c r="L1682" s="9" t="str">
        <f t="shared" si="145"/>
        <v/>
      </c>
    </row>
    <row r="1683" spans="3:12" x14ac:dyDescent="0.2">
      <c r="C1683"/>
      <c r="L1683" s="9" t="str">
        <f t="shared" si="145"/>
        <v/>
      </c>
    </row>
    <row r="1684" spans="3:12" x14ac:dyDescent="0.2">
      <c r="C1684"/>
      <c r="L1684" s="9" t="str">
        <f t="shared" si="145"/>
        <v/>
      </c>
    </row>
    <row r="1685" spans="3:12" x14ac:dyDescent="0.2">
      <c r="C1685"/>
      <c r="L1685" s="9" t="str">
        <f t="shared" si="145"/>
        <v/>
      </c>
    </row>
    <row r="1686" spans="3:12" x14ac:dyDescent="0.2">
      <c r="C1686"/>
      <c r="L1686" s="9" t="str">
        <f t="shared" si="145"/>
        <v/>
      </c>
    </row>
    <row r="1687" spans="3:12" x14ac:dyDescent="0.2">
      <c r="C1687"/>
      <c r="L1687" s="9" t="str">
        <f t="shared" si="145"/>
        <v/>
      </c>
    </row>
    <row r="1688" spans="3:12" x14ac:dyDescent="0.2">
      <c r="C1688"/>
      <c r="L1688" s="9" t="str">
        <f t="shared" si="145"/>
        <v/>
      </c>
    </row>
    <row r="1689" spans="3:12" x14ac:dyDescent="0.2">
      <c r="C1689"/>
      <c r="L1689" s="9" t="str">
        <f t="shared" si="145"/>
        <v/>
      </c>
    </row>
    <row r="1690" spans="3:12" x14ac:dyDescent="0.2">
      <c r="C1690"/>
      <c r="L1690" s="9" t="str">
        <f t="shared" si="145"/>
        <v/>
      </c>
    </row>
    <row r="1691" spans="3:12" x14ac:dyDescent="0.2">
      <c r="C1691"/>
      <c r="L1691" s="9" t="str">
        <f t="shared" si="145"/>
        <v/>
      </c>
    </row>
    <row r="1692" spans="3:12" x14ac:dyDescent="0.2">
      <c r="C1692"/>
      <c r="L1692" s="9" t="str">
        <f t="shared" si="145"/>
        <v/>
      </c>
    </row>
    <row r="1693" spans="3:12" x14ac:dyDescent="0.2">
      <c r="C1693"/>
      <c r="L1693" s="9" t="str">
        <f t="shared" si="145"/>
        <v/>
      </c>
    </row>
    <row r="1694" spans="3:12" x14ac:dyDescent="0.2">
      <c r="C1694"/>
      <c r="L1694" s="9" t="str">
        <f t="shared" si="145"/>
        <v/>
      </c>
    </row>
    <row r="1695" spans="3:12" x14ac:dyDescent="0.2">
      <c r="C1695"/>
      <c r="L1695" s="9" t="str">
        <f t="shared" si="145"/>
        <v/>
      </c>
    </row>
    <row r="1696" spans="3:12" x14ac:dyDescent="0.2">
      <c r="C1696"/>
      <c r="L1696" s="9" t="str">
        <f t="shared" si="145"/>
        <v/>
      </c>
    </row>
    <row r="1697" spans="3:12" x14ac:dyDescent="0.2">
      <c r="C1697"/>
      <c r="L1697" s="9" t="str">
        <f t="shared" si="145"/>
        <v/>
      </c>
    </row>
    <row r="1698" spans="3:12" x14ac:dyDescent="0.2">
      <c r="C1698"/>
      <c r="L1698" s="9" t="str">
        <f t="shared" si="145"/>
        <v/>
      </c>
    </row>
    <row r="1699" spans="3:12" x14ac:dyDescent="0.2">
      <c r="C1699"/>
      <c r="L1699" s="9" t="str">
        <f t="shared" si="145"/>
        <v/>
      </c>
    </row>
    <row r="1700" spans="3:12" x14ac:dyDescent="0.2">
      <c r="C1700"/>
      <c r="L1700" s="9" t="str">
        <f t="shared" si="145"/>
        <v/>
      </c>
    </row>
    <row r="1701" spans="3:12" x14ac:dyDescent="0.2">
      <c r="C1701"/>
      <c r="L1701" s="9" t="str">
        <f t="shared" si="145"/>
        <v/>
      </c>
    </row>
    <row r="1702" spans="3:12" x14ac:dyDescent="0.2">
      <c r="C1702"/>
      <c r="L1702" s="9" t="str">
        <f t="shared" si="145"/>
        <v/>
      </c>
    </row>
    <row r="1703" spans="3:12" x14ac:dyDescent="0.2">
      <c r="C1703"/>
      <c r="L1703" s="9" t="str">
        <f t="shared" si="145"/>
        <v/>
      </c>
    </row>
    <row r="1704" spans="3:12" x14ac:dyDescent="0.2">
      <c r="C1704"/>
      <c r="L1704" s="9" t="str">
        <f t="shared" si="145"/>
        <v/>
      </c>
    </row>
    <row r="1705" spans="3:12" x14ac:dyDescent="0.2">
      <c r="C1705"/>
      <c r="L1705" s="9" t="str">
        <f t="shared" si="145"/>
        <v/>
      </c>
    </row>
    <row r="1706" spans="3:12" x14ac:dyDescent="0.2">
      <c r="C1706"/>
      <c r="L1706" s="9" t="str">
        <f t="shared" si="145"/>
        <v/>
      </c>
    </row>
    <row r="1707" spans="3:12" x14ac:dyDescent="0.2">
      <c r="C1707"/>
      <c r="L1707" s="9" t="str">
        <f t="shared" si="145"/>
        <v/>
      </c>
    </row>
    <row r="1708" spans="3:12" x14ac:dyDescent="0.2">
      <c r="C1708"/>
      <c r="L1708" s="9" t="str">
        <f t="shared" si="145"/>
        <v/>
      </c>
    </row>
    <row r="1709" spans="3:12" x14ac:dyDescent="0.2">
      <c r="C1709"/>
      <c r="L1709" s="9" t="str">
        <f t="shared" si="145"/>
        <v/>
      </c>
    </row>
    <row r="1710" spans="3:12" x14ac:dyDescent="0.2">
      <c r="C1710"/>
      <c r="L1710" s="9" t="str">
        <f t="shared" si="145"/>
        <v/>
      </c>
    </row>
    <row r="1711" spans="3:12" x14ac:dyDescent="0.2">
      <c r="C1711"/>
      <c r="L1711" s="9" t="str">
        <f t="shared" si="145"/>
        <v/>
      </c>
    </row>
    <row r="1712" spans="3:12" x14ac:dyDescent="0.2">
      <c r="C1712"/>
      <c r="L1712" s="9" t="str">
        <f t="shared" si="145"/>
        <v/>
      </c>
    </row>
    <row r="1713" spans="3:12" x14ac:dyDescent="0.2">
      <c r="C1713"/>
      <c r="L1713" s="9" t="str">
        <f t="shared" si="145"/>
        <v/>
      </c>
    </row>
    <row r="1714" spans="3:12" x14ac:dyDescent="0.2">
      <c r="C1714"/>
      <c r="L1714" s="9" t="str">
        <f t="shared" si="145"/>
        <v/>
      </c>
    </row>
    <row r="1715" spans="3:12" x14ac:dyDescent="0.2">
      <c r="C1715"/>
      <c r="L1715" s="9" t="str">
        <f t="shared" si="145"/>
        <v/>
      </c>
    </row>
    <row r="1716" spans="3:12" x14ac:dyDescent="0.2">
      <c r="C1716"/>
      <c r="L1716" s="9" t="str">
        <f t="shared" si="145"/>
        <v/>
      </c>
    </row>
    <row r="1717" spans="3:12" x14ac:dyDescent="0.2">
      <c r="C1717"/>
      <c r="L1717" s="9" t="str">
        <f t="shared" si="145"/>
        <v/>
      </c>
    </row>
    <row r="1718" spans="3:12" x14ac:dyDescent="0.2">
      <c r="C1718"/>
      <c r="L1718" s="9" t="str">
        <f t="shared" si="145"/>
        <v/>
      </c>
    </row>
    <row r="1719" spans="3:12" x14ac:dyDescent="0.2">
      <c r="C1719"/>
      <c r="L1719" s="9" t="str">
        <f t="shared" si="145"/>
        <v/>
      </c>
    </row>
    <row r="1720" spans="3:12" x14ac:dyDescent="0.2">
      <c r="C1720"/>
      <c r="L1720" s="9" t="str">
        <f t="shared" si="145"/>
        <v/>
      </c>
    </row>
    <row r="1721" spans="3:12" x14ac:dyDescent="0.2">
      <c r="C1721"/>
      <c r="L1721" s="9" t="str">
        <f t="shared" si="145"/>
        <v/>
      </c>
    </row>
    <row r="1722" spans="3:12" x14ac:dyDescent="0.2">
      <c r="C1722"/>
      <c r="L1722" s="9" t="str">
        <f t="shared" si="145"/>
        <v/>
      </c>
    </row>
    <row r="1723" spans="3:12" x14ac:dyDescent="0.2">
      <c r="C1723"/>
      <c r="L1723" s="9" t="str">
        <f t="shared" si="145"/>
        <v/>
      </c>
    </row>
    <row r="1724" spans="3:12" x14ac:dyDescent="0.2">
      <c r="C1724"/>
      <c r="L1724" s="9" t="str">
        <f t="shared" si="145"/>
        <v/>
      </c>
    </row>
    <row r="1725" spans="3:12" x14ac:dyDescent="0.2">
      <c r="C1725"/>
      <c r="L1725" s="9" t="str">
        <f t="shared" ref="L1725:L1788" si="146">IF(A1725="STOCK",E1725,IF(A1725="SOPTION",G1725,IF(A1725="LOPTION",F1725,"")))</f>
        <v/>
      </c>
    </row>
    <row r="1726" spans="3:12" x14ac:dyDescent="0.2">
      <c r="C1726"/>
      <c r="L1726" s="9" t="str">
        <f t="shared" si="146"/>
        <v/>
      </c>
    </row>
    <row r="1727" spans="3:12" x14ac:dyDescent="0.2">
      <c r="C1727"/>
      <c r="L1727" s="9" t="str">
        <f t="shared" si="146"/>
        <v/>
      </c>
    </row>
    <row r="1728" spans="3:12" x14ac:dyDescent="0.2">
      <c r="C1728"/>
      <c r="L1728" s="9" t="str">
        <f t="shared" si="146"/>
        <v/>
      </c>
    </row>
    <row r="1729" spans="3:12" x14ac:dyDescent="0.2">
      <c r="C1729"/>
      <c r="L1729" s="9" t="str">
        <f t="shared" si="146"/>
        <v/>
      </c>
    </row>
    <row r="1730" spans="3:12" x14ac:dyDescent="0.2">
      <c r="C1730"/>
      <c r="L1730" s="9" t="str">
        <f t="shared" si="146"/>
        <v/>
      </c>
    </row>
    <row r="1731" spans="3:12" x14ac:dyDescent="0.2">
      <c r="C1731"/>
      <c r="L1731" s="9" t="str">
        <f t="shared" si="146"/>
        <v/>
      </c>
    </row>
    <row r="1732" spans="3:12" x14ac:dyDescent="0.2">
      <c r="C1732"/>
      <c r="L1732" s="9" t="str">
        <f t="shared" si="146"/>
        <v/>
      </c>
    </row>
    <row r="1733" spans="3:12" x14ac:dyDescent="0.2">
      <c r="C1733"/>
      <c r="L1733" s="9" t="str">
        <f t="shared" si="146"/>
        <v/>
      </c>
    </row>
    <row r="1734" spans="3:12" x14ac:dyDescent="0.2">
      <c r="C1734"/>
      <c r="L1734" s="9" t="str">
        <f t="shared" si="146"/>
        <v/>
      </c>
    </row>
    <row r="1735" spans="3:12" x14ac:dyDescent="0.2">
      <c r="C1735"/>
      <c r="L1735" s="9" t="str">
        <f t="shared" si="146"/>
        <v/>
      </c>
    </row>
    <row r="1736" spans="3:12" x14ac:dyDescent="0.2">
      <c r="C1736"/>
      <c r="L1736" s="9" t="str">
        <f t="shared" si="146"/>
        <v/>
      </c>
    </row>
    <row r="1737" spans="3:12" x14ac:dyDescent="0.2">
      <c r="C1737"/>
      <c r="L1737" s="9" t="str">
        <f t="shared" si="146"/>
        <v/>
      </c>
    </row>
    <row r="1738" spans="3:12" x14ac:dyDescent="0.2">
      <c r="C1738"/>
      <c r="L1738" s="9" t="str">
        <f t="shared" si="146"/>
        <v/>
      </c>
    </row>
    <row r="1739" spans="3:12" x14ac:dyDescent="0.2">
      <c r="C1739"/>
      <c r="L1739" s="9" t="str">
        <f t="shared" si="146"/>
        <v/>
      </c>
    </row>
    <row r="1740" spans="3:12" x14ac:dyDescent="0.2">
      <c r="C1740"/>
      <c r="L1740" s="9" t="str">
        <f t="shared" si="146"/>
        <v/>
      </c>
    </row>
    <row r="1741" spans="3:12" x14ac:dyDescent="0.2">
      <c r="C1741"/>
      <c r="L1741" s="9" t="str">
        <f t="shared" si="146"/>
        <v/>
      </c>
    </row>
    <row r="1742" spans="3:12" x14ac:dyDescent="0.2">
      <c r="C1742"/>
      <c r="L1742" s="9" t="str">
        <f t="shared" si="146"/>
        <v/>
      </c>
    </row>
    <row r="1743" spans="3:12" x14ac:dyDescent="0.2">
      <c r="C1743"/>
      <c r="L1743" s="9" t="str">
        <f t="shared" si="146"/>
        <v/>
      </c>
    </row>
    <row r="1744" spans="3:12" x14ac:dyDescent="0.2">
      <c r="C1744"/>
      <c r="L1744" s="9" t="str">
        <f t="shared" si="146"/>
        <v/>
      </c>
    </row>
    <row r="1745" spans="3:12" x14ac:dyDescent="0.2">
      <c r="C1745"/>
      <c r="L1745" s="9" t="str">
        <f t="shared" si="146"/>
        <v/>
      </c>
    </row>
    <row r="1746" spans="3:12" x14ac:dyDescent="0.2">
      <c r="C1746"/>
      <c r="L1746" s="9" t="str">
        <f t="shared" si="146"/>
        <v/>
      </c>
    </row>
    <row r="1747" spans="3:12" x14ac:dyDescent="0.2">
      <c r="C1747"/>
      <c r="L1747" s="9" t="str">
        <f t="shared" si="146"/>
        <v/>
      </c>
    </row>
    <row r="1748" spans="3:12" x14ac:dyDescent="0.2">
      <c r="C1748"/>
      <c r="L1748" s="9" t="str">
        <f t="shared" si="146"/>
        <v/>
      </c>
    </row>
    <row r="1749" spans="3:12" x14ac:dyDescent="0.2">
      <c r="C1749"/>
      <c r="L1749" s="9" t="str">
        <f t="shared" si="146"/>
        <v/>
      </c>
    </row>
    <row r="1750" spans="3:12" x14ac:dyDescent="0.2">
      <c r="C1750"/>
      <c r="L1750" s="9" t="str">
        <f t="shared" si="146"/>
        <v/>
      </c>
    </row>
    <row r="1751" spans="3:12" x14ac:dyDescent="0.2">
      <c r="C1751"/>
      <c r="L1751" s="9" t="str">
        <f t="shared" si="146"/>
        <v/>
      </c>
    </row>
    <row r="1752" spans="3:12" x14ac:dyDescent="0.2">
      <c r="C1752"/>
      <c r="L1752" s="9" t="str">
        <f t="shared" si="146"/>
        <v/>
      </c>
    </row>
    <row r="1753" spans="3:12" x14ac:dyDescent="0.2">
      <c r="C1753"/>
      <c r="L1753" s="9" t="str">
        <f t="shared" si="146"/>
        <v/>
      </c>
    </row>
    <row r="1754" spans="3:12" x14ac:dyDescent="0.2">
      <c r="C1754"/>
      <c r="L1754" s="9" t="str">
        <f t="shared" si="146"/>
        <v/>
      </c>
    </row>
    <row r="1755" spans="3:12" x14ac:dyDescent="0.2">
      <c r="C1755"/>
      <c r="L1755" s="9" t="str">
        <f t="shared" si="146"/>
        <v/>
      </c>
    </row>
    <row r="1756" spans="3:12" x14ac:dyDescent="0.2">
      <c r="C1756"/>
      <c r="L1756" s="9" t="str">
        <f t="shared" si="146"/>
        <v/>
      </c>
    </row>
    <row r="1757" spans="3:12" x14ac:dyDescent="0.2">
      <c r="C1757"/>
      <c r="L1757" s="9" t="str">
        <f t="shared" si="146"/>
        <v/>
      </c>
    </row>
    <row r="1758" spans="3:12" x14ac:dyDescent="0.2">
      <c r="C1758"/>
      <c r="L1758" s="9" t="str">
        <f t="shared" si="146"/>
        <v/>
      </c>
    </row>
    <row r="1759" spans="3:12" x14ac:dyDescent="0.2">
      <c r="C1759"/>
      <c r="L1759" s="9" t="str">
        <f t="shared" si="146"/>
        <v/>
      </c>
    </row>
    <row r="1760" spans="3:12" x14ac:dyDescent="0.2">
      <c r="C1760"/>
      <c r="L1760" s="9" t="str">
        <f t="shared" si="146"/>
        <v/>
      </c>
    </row>
    <row r="1761" spans="3:12" x14ac:dyDescent="0.2">
      <c r="C1761"/>
      <c r="L1761" s="9" t="str">
        <f t="shared" si="146"/>
        <v/>
      </c>
    </row>
    <row r="1762" spans="3:12" x14ac:dyDescent="0.2">
      <c r="C1762"/>
      <c r="L1762" s="9" t="str">
        <f t="shared" si="146"/>
        <v/>
      </c>
    </row>
    <row r="1763" spans="3:12" x14ac:dyDescent="0.2">
      <c r="C1763"/>
      <c r="L1763" s="9" t="str">
        <f t="shared" si="146"/>
        <v/>
      </c>
    </row>
    <row r="1764" spans="3:12" x14ac:dyDescent="0.2">
      <c r="C1764"/>
      <c r="L1764" s="9" t="str">
        <f t="shared" si="146"/>
        <v/>
      </c>
    </row>
    <row r="1765" spans="3:12" x14ac:dyDescent="0.2">
      <c r="C1765"/>
      <c r="L1765" s="9" t="str">
        <f t="shared" si="146"/>
        <v/>
      </c>
    </row>
    <row r="1766" spans="3:12" x14ac:dyDescent="0.2">
      <c r="C1766"/>
      <c r="L1766" s="9" t="str">
        <f t="shared" si="146"/>
        <v/>
      </c>
    </row>
    <row r="1767" spans="3:12" x14ac:dyDescent="0.2">
      <c r="C1767"/>
      <c r="L1767" s="9" t="str">
        <f t="shared" si="146"/>
        <v/>
      </c>
    </row>
    <row r="1768" spans="3:12" x14ac:dyDescent="0.2">
      <c r="C1768"/>
      <c r="L1768" s="9" t="str">
        <f t="shared" si="146"/>
        <v/>
      </c>
    </row>
    <row r="1769" spans="3:12" x14ac:dyDescent="0.2">
      <c r="C1769"/>
      <c r="L1769" s="9" t="str">
        <f t="shared" si="146"/>
        <v/>
      </c>
    </row>
    <row r="1770" spans="3:12" x14ac:dyDescent="0.2">
      <c r="C1770"/>
      <c r="L1770" s="9" t="str">
        <f t="shared" si="146"/>
        <v/>
      </c>
    </row>
    <row r="1771" spans="3:12" x14ac:dyDescent="0.2">
      <c r="C1771"/>
      <c r="L1771" s="9" t="str">
        <f t="shared" si="146"/>
        <v/>
      </c>
    </row>
    <row r="1772" spans="3:12" x14ac:dyDescent="0.2">
      <c r="C1772"/>
      <c r="L1772" s="9" t="str">
        <f t="shared" si="146"/>
        <v/>
      </c>
    </row>
    <row r="1773" spans="3:12" x14ac:dyDescent="0.2">
      <c r="C1773"/>
      <c r="L1773" s="9" t="str">
        <f t="shared" si="146"/>
        <v/>
      </c>
    </row>
    <row r="1774" spans="3:12" x14ac:dyDescent="0.2">
      <c r="C1774"/>
      <c r="L1774" s="9" t="str">
        <f t="shared" si="146"/>
        <v/>
      </c>
    </row>
    <row r="1775" spans="3:12" x14ac:dyDescent="0.2">
      <c r="C1775"/>
      <c r="L1775" s="9" t="str">
        <f t="shared" si="146"/>
        <v/>
      </c>
    </row>
    <row r="1776" spans="3:12" x14ac:dyDescent="0.2">
      <c r="C1776"/>
      <c r="L1776" s="9" t="str">
        <f t="shared" si="146"/>
        <v/>
      </c>
    </row>
    <row r="1777" spans="3:12" x14ac:dyDescent="0.2">
      <c r="C1777"/>
      <c r="L1777" s="9" t="str">
        <f t="shared" si="146"/>
        <v/>
      </c>
    </row>
    <row r="1778" spans="3:12" x14ac:dyDescent="0.2">
      <c r="C1778"/>
      <c r="L1778" s="9" t="str">
        <f t="shared" si="146"/>
        <v/>
      </c>
    </row>
    <row r="1779" spans="3:12" x14ac:dyDescent="0.2">
      <c r="C1779"/>
      <c r="L1779" s="9" t="str">
        <f t="shared" si="146"/>
        <v/>
      </c>
    </row>
    <row r="1780" spans="3:12" x14ac:dyDescent="0.2">
      <c r="C1780"/>
      <c r="L1780" s="9" t="str">
        <f t="shared" si="146"/>
        <v/>
      </c>
    </row>
    <row r="1781" spans="3:12" x14ac:dyDescent="0.2">
      <c r="C1781"/>
      <c r="L1781" s="9" t="str">
        <f t="shared" si="146"/>
        <v/>
      </c>
    </row>
    <row r="1782" spans="3:12" x14ac:dyDescent="0.2">
      <c r="C1782"/>
      <c r="L1782" s="9" t="str">
        <f t="shared" si="146"/>
        <v/>
      </c>
    </row>
    <row r="1783" spans="3:12" x14ac:dyDescent="0.2">
      <c r="C1783"/>
      <c r="L1783" s="9" t="str">
        <f t="shared" si="146"/>
        <v/>
      </c>
    </row>
    <row r="1784" spans="3:12" x14ac:dyDescent="0.2">
      <c r="C1784"/>
      <c r="L1784" s="9" t="str">
        <f t="shared" si="146"/>
        <v/>
      </c>
    </row>
    <row r="1785" spans="3:12" x14ac:dyDescent="0.2">
      <c r="C1785"/>
      <c r="L1785" s="9" t="str">
        <f t="shared" si="146"/>
        <v/>
      </c>
    </row>
    <row r="1786" spans="3:12" x14ac:dyDescent="0.2">
      <c r="C1786"/>
      <c r="L1786" s="9" t="str">
        <f t="shared" si="146"/>
        <v/>
      </c>
    </row>
    <row r="1787" spans="3:12" x14ac:dyDescent="0.2">
      <c r="C1787"/>
      <c r="L1787" s="9" t="str">
        <f t="shared" si="146"/>
        <v/>
      </c>
    </row>
    <row r="1788" spans="3:12" x14ac:dyDescent="0.2">
      <c r="C1788"/>
      <c r="L1788" s="9" t="str">
        <f t="shared" si="146"/>
        <v/>
      </c>
    </row>
    <row r="1789" spans="3:12" x14ac:dyDescent="0.2">
      <c r="C1789"/>
      <c r="L1789" s="9" t="str">
        <f t="shared" ref="L1789:L1852" si="147">IF(A1789="STOCK",E1789,IF(A1789="SOPTION",G1789,IF(A1789="LOPTION",F1789,"")))</f>
        <v/>
      </c>
    </row>
    <row r="1790" spans="3:12" x14ac:dyDescent="0.2">
      <c r="C1790"/>
      <c r="L1790" s="9" t="str">
        <f t="shared" si="147"/>
        <v/>
      </c>
    </row>
    <row r="1791" spans="3:12" x14ac:dyDescent="0.2">
      <c r="C1791"/>
      <c r="L1791" s="9" t="str">
        <f t="shared" si="147"/>
        <v/>
      </c>
    </row>
    <row r="1792" spans="3:12" x14ac:dyDescent="0.2">
      <c r="C1792"/>
      <c r="L1792" s="9" t="str">
        <f t="shared" si="147"/>
        <v/>
      </c>
    </row>
    <row r="1793" spans="3:12" x14ac:dyDescent="0.2">
      <c r="C1793"/>
      <c r="L1793" s="9" t="str">
        <f t="shared" si="147"/>
        <v/>
      </c>
    </row>
    <row r="1794" spans="3:12" x14ac:dyDescent="0.2">
      <c r="C1794"/>
      <c r="L1794" s="9" t="str">
        <f t="shared" si="147"/>
        <v/>
      </c>
    </row>
    <row r="1795" spans="3:12" x14ac:dyDescent="0.2">
      <c r="C1795"/>
      <c r="L1795" s="9" t="str">
        <f t="shared" si="147"/>
        <v/>
      </c>
    </row>
    <row r="1796" spans="3:12" x14ac:dyDescent="0.2">
      <c r="C1796"/>
      <c r="L1796" s="9" t="str">
        <f t="shared" si="147"/>
        <v/>
      </c>
    </row>
    <row r="1797" spans="3:12" x14ac:dyDescent="0.2">
      <c r="C1797"/>
      <c r="L1797" s="9" t="str">
        <f t="shared" si="147"/>
        <v/>
      </c>
    </row>
    <row r="1798" spans="3:12" x14ac:dyDescent="0.2">
      <c r="C1798"/>
      <c r="L1798" s="9" t="str">
        <f t="shared" si="147"/>
        <v/>
      </c>
    </row>
    <row r="1799" spans="3:12" x14ac:dyDescent="0.2">
      <c r="C1799"/>
      <c r="L1799" s="9" t="str">
        <f t="shared" si="147"/>
        <v/>
      </c>
    </row>
    <row r="1800" spans="3:12" x14ac:dyDescent="0.2">
      <c r="C1800"/>
      <c r="L1800" s="9" t="str">
        <f t="shared" si="147"/>
        <v/>
      </c>
    </row>
    <row r="1801" spans="3:12" x14ac:dyDescent="0.2">
      <c r="C1801"/>
      <c r="L1801" s="9" t="str">
        <f t="shared" si="147"/>
        <v/>
      </c>
    </row>
    <row r="1802" spans="3:12" x14ac:dyDescent="0.2">
      <c r="C1802"/>
      <c r="L1802" s="9" t="str">
        <f t="shared" si="147"/>
        <v/>
      </c>
    </row>
    <row r="1803" spans="3:12" x14ac:dyDescent="0.2">
      <c r="C1803"/>
      <c r="L1803" s="9" t="str">
        <f t="shared" si="147"/>
        <v/>
      </c>
    </row>
    <row r="1804" spans="3:12" x14ac:dyDescent="0.2">
      <c r="C1804"/>
      <c r="L1804" s="9" t="str">
        <f t="shared" si="147"/>
        <v/>
      </c>
    </row>
    <row r="1805" spans="3:12" x14ac:dyDescent="0.2">
      <c r="C1805"/>
      <c r="L1805" s="9" t="str">
        <f t="shared" si="147"/>
        <v/>
      </c>
    </row>
    <row r="1806" spans="3:12" x14ac:dyDescent="0.2">
      <c r="C1806"/>
      <c r="L1806" s="9" t="str">
        <f t="shared" si="147"/>
        <v/>
      </c>
    </row>
    <row r="1807" spans="3:12" x14ac:dyDescent="0.2">
      <c r="C1807"/>
      <c r="L1807" s="9" t="str">
        <f t="shared" si="147"/>
        <v/>
      </c>
    </row>
    <row r="1808" spans="3:12" x14ac:dyDescent="0.2">
      <c r="C1808"/>
      <c r="L1808" s="9" t="str">
        <f t="shared" si="147"/>
        <v/>
      </c>
    </row>
    <row r="1809" spans="3:12" x14ac:dyDescent="0.2">
      <c r="C1809"/>
      <c r="L1809" s="9" t="str">
        <f t="shared" si="147"/>
        <v/>
      </c>
    </row>
    <row r="1810" spans="3:12" x14ac:dyDescent="0.2">
      <c r="C1810"/>
      <c r="L1810" s="9" t="str">
        <f t="shared" si="147"/>
        <v/>
      </c>
    </row>
    <row r="1811" spans="3:12" x14ac:dyDescent="0.2">
      <c r="C1811"/>
      <c r="L1811" s="9" t="str">
        <f t="shared" si="147"/>
        <v/>
      </c>
    </row>
    <row r="1812" spans="3:12" x14ac:dyDescent="0.2">
      <c r="C1812"/>
      <c r="L1812" s="9" t="str">
        <f t="shared" si="147"/>
        <v/>
      </c>
    </row>
    <row r="1813" spans="3:12" x14ac:dyDescent="0.2">
      <c r="C1813"/>
      <c r="L1813" s="9" t="str">
        <f t="shared" si="147"/>
        <v/>
      </c>
    </row>
    <row r="1814" spans="3:12" x14ac:dyDescent="0.2">
      <c r="C1814"/>
      <c r="L1814" s="9" t="str">
        <f t="shared" si="147"/>
        <v/>
      </c>
    </row>
    <row r="1815" spans="3:12" x14ac:dyDescent="0.2">
      <c r="C1815"/>
      <c r="L1815" s="9" t="str">
        <f t="shared" si="147"/>
        <v/>
      </c>
    </row>
    <row r="1816" spans="3:12" x14ac:dyDescent="0.2">
      <c r="C1816"/>
      <c r="L1816" s="9" t="str">
        <f t="shared" si="147"/>
        <v/>
      </c>
    </row>
    <row r="1817" spans="3:12" x14ac:dyDescent="0.2">
      <c r="C1817"/>
      <c r="L1817" s="9" t="str">
        <f t="shared" si="147"/>
        <v/>
      </c>
    </row>
    <row r="1818" spans="3:12" x14ac:dyDescent="0.2">
      <c r="C1818"/>
      <c r="L1818" s="9" t="str">
        <f t="shared" si="147"/>
        <v/>
      </c>
    </row>
    <row r="1819" spans="3:12" x14ac:dyDescent="0.2">
      <c r="C1819"/>
      <c r="L1819" s="9" t="str">
        <f t="shared" si="147"/>
        <v/>
      </c>
    </row>
    <row r="1820" spans="3:12" x14ac:dyDescent="0.2">
      <c r="C1820"/>
      <c r="L1820" s="9" t="str">
        <f t="shared" si="147"/>
        <v/>
      </c>
    </row>
    <row r="1821" spans="3:12" x14ac:dyDescent="0.2">
      <c r="C1821"/>
      <c r="L1821" s="9" t="str">
        <f t="shared" si="147"/>
        <v/>
      </c>
    </row>
    <row r="1822" spans="3:12" x14ac:dyDescent="0.2">
      <c r="C1822"/>
      <c r="L1822" s="9" t="str">
        <f t="shared" si="147"/>
        <v/>
      </c>
    </row>
    <row r="1823" spans="3:12" x14ac:dyDescent="0.2">
      <c r="C1823"/>
      <c r="L1823" s="9" t="str">
        <f t="shared" si="147"/>
        <v/>
      </c>
    </row>
    <row r="1824" spans="3:12" x14ac:dyDescent="0.2">
      <c r="C1824"/>
      <c r="L1824" s="9" t="str">
        <f t="shared" si="147"/>
        <v/>
      </c>
    </row>
    <row r="1825" spans="3:12" x14ac:dyDescent="0.2">
      <c r="C1825"/>
      <c r="L1825" s="9" t="str">
        <f t="shared" si="147"/>
        <v/>
      </c>
    </row>
    <row r="1826" spans="3:12" x14ac:dyDescent="0.2">
      <c r="C1826"/>
      <c r="L1826" s="9" t="str">
        <f t="shared" si="147"/>
        <v/>
      </c>
    </row>
    <row r="1827" spans="3:12" x14ac:dyDescent="0.2">
      <c r="C1827"/>
      <c r="L1827" s="9" t="str">
        <f t="shared" si="147"/>
        <v/>
      </c>
    </row>
    <row r="1828" spans="3:12" x14ac:dyDescent="0.2">
      <c r="C1828"/>
      <c r="L1828" s="9" t="str">
        <f t="shared" si="147"/>
        <v/>
      </c>
    </row>
    <row r="1829" spans="3:12" x14ac:dyDescent="0.2">
      <c r="C1829"/>
      <c r="L1829" s="9" t="str">
        <f t="shared" si="147"/>
        <v/>
      </c>
    </row>
    <row r="1830" spans="3:12" x14ac:dyDescent="0.2">
      <c r="C1830"/>
      <c r="L1830" s="9" t="str">
        <f t="shared" si="147"/>
        <v/>
      </c>
    </row>
    <row r="1831" spans="3:12" x14ac:dyDescent="0.2">
      <c r="C1831"/>
      <c r="L1831" s="9" t="str">
        <f t="shared" si="147"/>
        <v/>
      </c>
    </row>
    <row r="1832" spans="3:12" x14ac:dyDescent="0.2">
      <c r="C1832"/>
      <c r="L1832" s="9" t="str">
        <f t="shared" si="147"/>
        <v/>
      </c>
    </row>
    <row r="1833" spans="3:12" x14ac:dyDescent="0.2">
      <c r="C1833"/>
      <c r="L1833" s="9" t="str">
        <f t="shared" si="147"/>
        <v/>
      </c>
    </row>
    <row r="1834" spans="3:12" x14ac:dyDescent="0.2">
      <c r="C1834"/>
      <c r="L1834" s="9" t="str">
        <f t="shared" si="147"/>
        <v/>
      </c>
    </row>
    <row r="1835" spans="3:12" x14ac:dyDescent="0.2">
      <c r="C1835"/>
      <c r="L1835" s="9" t="str">
        <f t="shared" si="147"/>
        <v/>
      </c>
    </row>
    <row r="1836" spans="3:12" x14ac:dyDescent="0.2">
      <c r="C1836"/>
      <c r="L1836" s="9" t="str">
        <f t="shared" si="147"/>
        <v/>
      </c>
    </row>
    <row r="1837" spans="3:12" x14ac:dyDescent="0.2">
      <c r="C1837"/>
      <c r="L1837" s="9" t="str">
        <f t="shared" si="147"/>
        <v/>
      </c>
    </row>
    <row r="1838" spans="3:12" x14ac:dyDescent="0.2">
      <c r="C1838"/>
      <c r="L1838" s="9" t="str">
        <f t="shared" si="147"/>
        <v/>
      </c>
    </row>
    <row r="1839" spans="3:12" x14ac:dyDescent="0.2">
      <c r="C1839"/>
      <c r="L1839" s="9" t="str">
        <f t="shared" si="147"/>
        <v/>
      </c>
    </row>
    <row r="1840" spans="3:12" x14ac:dyDescent="0.2">
      <c r="C1840"/>
      <c r="L1840" s="9" t="str">
        <f t="shared" si="147"/>
        <v/>
      </c>
    </row>
    <row r="1841" spans="3:12" x14ac:dyDescent="0.2">
      <c r="C1841"/>
      <c r="L1841" s="9" t="str">
        <f t="shared" si="147"/>
        <v/>
      </c>
    </row>
    <row r="1842" spans="3:12" x14ac:dyDescent="0.2">
      <c r="C1842"/>
      <c r="L1842" s="9" t="str">
        <f t="shared" si="147"/>
        <v/>
      </c>
    </row>
    <row r="1843" spans="3:12" x14ac:dyDescent="0.2">
      <c r="C1843"/>
      <c r="L1843" s="9" t="str">
        <f t="shared" si="147"/>
        <v/>
      </c>
    </row>
    <row r="1844" spans="3:12" x14ac:dyDescent="0.2">
      <c r="C1844"/>
      <c r="L1844" s="9" t="str">
        <f t="shared" si="147"/>
        <v/>
      </c>
    </row>
    <row r="1845" spans="3:12" x14ac:dyDescent="0.2">
      <c r="C1845"/>
      <c r="L1845" s="9" t="str">
        <f t="shared" si="147"/>
        <v/>
      </c>
    </row>
    <row r="1846" spans="3:12" x14ac:dyDescent="0.2">
      <c r="C1846"/>
      <c r="L1846" s="9" t="str">
        <f t="shared" si="147"/>
        <v/>
      </c>
    </row>
    <row r="1847" spans="3:12" x14ac:dyDescent="0.2">
      <c r="C1847"/>
      <c r="L1847" s="9" t="str">
        <f t="shared" si="147"/>
        <v/>
      </c>
    </row>
    <row r="1848" spans="3:12" x14ac:dyDescent="0.2">
      <c r="C1848"/>
      <c r="L1848" s="9" t="str">
        <f t="shared" si="147"/>
        <v/>
      </c>
    </row>
    <row r="1849" spans="3:12" x14ac:dyDescent="0.2">
      <c r="C1849"/>
      <c r="L1849" s="9" t="str">
        <f t="shared" si="147"/>
        <v/>
      </c>
    </row>
    <row r="1850" spans="3:12" x14ac:dyDescent="0.2">
      <c r="C1850"/>
      <c r="L1850" s="9" t="str">
        <f t="shared" si="147"/>
        <v/>
      </c>
    </row>
    <row r="1851" spans="3:12" x14ac:dyDescent="0.2">
      <c r="C1851"/>
      <c r="L1851" s="9" t="str">
        <f t="shared" si="147"/>
        <v/>
      </c>
    </row>
    <row r="1852" spans="3:12" x14ac:dyDescent="0.2">
      <c r="C1852"/>
      <c r="L1852" s="9" t="str">
        <f t="shared" si="147"/>
        <v/>
      </c>
    </row>
    <row r="1853" spans="3:12" x14ac:dyDescent="0.2">
      <c r="C1853"/>
      <c r="L1853" s="9" t="str">
        <f t="shared" ref="L1853:L1916" si="148">IF(A1853="STOCK",E1853,IF(A1853="SOPTION",G1853,IF(A1853="LOPTION",F1853,"")))</f>
        <v/>
      </c>
    </row>
    <row r="1854" spans="3:12" x14ac:dyDescent="0.2">
      <c r="C1854"/>
      <c r="L1854" s="9" t="str">
        <f t="shared" si="148"/>
        <v/>
      </c>
    </row>
    <row r="1855" spans="3:12" x14ac:dyDescent="0.2">
      <c r="C1855"/>
      <c r="L1855" s="9" t="str">
        <f t="shared" si="148"/>
        <v/>
      </c>
    </row>
    <row r="1856" spans="3:12" x14ac:dyDescent="0.2">
      <c r="C1856"/>
      <c r="L1856" s="9" t="str">
        <f t="shared" si="148"/>
        <v/>
      </c>
    </row>
    <row r="1857" spans="3:12" x14ac:dyDescent="0.2">
      <c r="C1857"/>
      <c r="L1857" s="9" t="str">
        <f t="shared" si="148"/>
        <v/>
      </c>
    </row>
    <row r="1858" spans="3:12" x14ac:dyDescent="0.2">
      <c r="C1858"/>
      <c r="L1858" s="9" t="str">
        <f t="shared" si="148"/>
        <v/>
      </c>
    </row>
    <row r="1859" spans="3:12" x14ac:dyDescent="0.2">
      <c r="C1859"/>
      <c r="L1859" s="9" t="str">
        <f t="shared" si="148"/>
        <v/>
      </c>
    </row>
    <row r="1860" spans="3:12" x14ac:dyDescent="0.2">
      <c r="C1860"/>
      <c r="L1860" s="9" t="str">
        <f t="shared" si="148"/>
        <v/>
      </c>
    </row>
    <row r="1861" spans="3:12" x14ac:dyDescent="0.2">
      <c r="C1861"/>
      <c r="L1861" s="9" t="str">
        <f t="shared" si="148"/>
        <v/>
      </c>
    </row>
    <row r="1862" spans="3:12" x14ac:dyDescent="0.2">
      <c r="C1862"/>
      <c r="L1862" s="9" t="str">
        <f t="shared" si="148"/>
        <v/>
      </c>
    </row>
    <row r="1863" spans="3:12" x14ac:dyDescent="0.2">
      <c r="C1863"/>
      <c r="L1863" s="9" t="str">
        <f t="shared" si="148"/>
        <v/>
      </c>
    </row>
    <row r="1864" spans="3:12" x14ac:dyDescent="0.2">
      <c r="C1864"/>
      <c r="L1864" s="9" t="str">
        <f t="shared" si="148"/>
        <v/>
      </c>
    </row>
    <row r="1865" spans="3:12" x14ac:dyDescent="0.2">
      <c r="C1865"/>
      <c r="L1865" s="9" t="str">
        <f t="shared" si="148"/>
        <v/>
      </c>
    </row>
    <row r="1866" spans="3:12" x14ac:dyDescent="0.2">
      <c r="C1866"/>
      <c r="L1866" s="9" t="str">
        <f t="shared" si="148"/>
        <v/>
      </c>
    </row>
    <row r="1867" spans="3:12" x14ac:dyDescent="0.2">
      <c r="C1867"/>
      <c r="L1867" s="9" t="str">
        <f t="shared" si="148"/>
        <v/>
      </c>
    </row>
    <row r="1868" spans="3:12" x14ac:dyDescent="0.2">
      <c r="C1868"/>
      <c r="L1868" s="9" t="str">
        <f t="shared" si="148"/>
        <v/>
      </c>
    </row>
    <row r="1869" spans="3:12" x14ac:dyDescent="0.2">
      <c r="C1869"/>
      <c r="L1869" s="9" t="str">
        <f t="shared" si="148"/>
        <v/>
      </c>
    </row>
    <row r="1870" spans="3:12" x14ac:dyDescent="0.2">
      <c r="C1870"/>
      <c r="L1870" s="9" t="str">
        <f t="shared" si="148"/>
        <v/>
      </c>
    </row>
    <row r="1871" spans="3:12" x14ac:dyDescent="0.2">
      <c r="C1871"/>
      <c r="L1871" s="9" t="str">
        <f t="shared" si="148"/>
        <v/>
      </c>
    </row>
    <row r="1872" spans="3:12" x14ac:dyDescent="0.2">
      <c r="C1872"/>
      <c r="L1872" s="9" t="str">
        <f t="shared" si="148"/>
        <v/>
      </c>
    </row>
    <row r="1873" spans="3:12" x14ac:dyDescent="0.2">
      <c r="C1873"/>
      <c r="L1873" s="9" t="str">
        <f t="shared" si="148"/>
        <v/>
      </c>
    </row>
    <row r="1874" spans="3:12" x14ac:dyDescent="0.2">
      <c r="C1874"/>
      <c r="L1874" s="9" t="str">
        <f t="shared" si="148"/>
        <v/>
      </c>
    </row>
    <row r="1875" spans="3:12" x14ac:dyDescent="0.2">
      <c r="C1875"/>
      <c r="L1875" s="9" t="str">
        <f t="shared" si="148"/>
        <v/>
      </c>
    </row>
    <row r="1876" spans="3:12" x14ac:dyDescent="0.2">
      <c r="C1876"/>
      <c r="L1876" s="9" t="str">
        <f t="shared" si="148"/>
        <v/>
      </c>
    </row>
    <row r="1877" spans="3:12" x14ac:dyDescent="0.2">
      <c r="C1877"/>
      <c r="L1877" s="9" t="str">
        <f t="shared" si="148"/>
        <v/>
      </c>
    </row>
    <row r="1878" spans="3:12" x14ac:dyDescent="0.2">
      <c r="C1878"/>
      <c r="L1878" s="9" t="str">
        <f t="shared" si="148"/>
        <v/>
      </c>
    </row>
    <row r="1879" spans="3:12" x14ac:dyDescent="0.2">
      <c r="C1879"/>
      <c r="L1879" s="9" t="str">
        <f t="shared" si="148"/>
        <v/>
      </c>
    </row>
    <row r="1880" spans="3:12" x14ac:dyDescent="0.2">
      <c r="C1880"/>
      <c r="L1880" s="9" t="str">
        <f t="shared" si="148"/>
        <v/>
      </c>
    </row>
    <row r="1881" spans="3:12" x14ac:dyDescent="0.2">
      <c r="C1881"/>
      <c r="L1881" s="9" t="str">
        <f t="shared" si="148"/>
        <v/>
      </c>
    </row>
    <row r="1882" spans="3:12" x14ac:dyDescent="0.2">
      <c r="C1882"/>
      <c r="L1882" s="9" t="str">
        <f t="shared" si="148"/>
        <v/>
      </c>
    </row>
    <row r="1883" spans="3:12" x14ac:dyDescent="0.2">
      <c r="C1883"/>
      <c r="L1883" s="9" t="str">
        <f t="shared" si="148"/>
        <v/>
      </c>
    </row>
    <row r="1884" spans="3:12" x14ac:dyDescent="0.2">
      <c r="C1884"/>
      <c r="L1884" s="9" t="str">
        <f t="shared" si="148"/>
        <v/>
      </c>
    </row>
    <row r="1885" spans="3:12" x14ac:dyDescent="0.2">
      <c r="C1885"/>
      <c r="L1885" s="9" t="str">
        <f t="shared" si="148"/>
        <v/>
      </c>
    </row>
    <row r="1886" spans="3:12" x14ac:dyDescent="0.2">
      <c r="C1886"/>
      <c r="L1886" s="9" t="str">
        <f t="shared" si="148"/>
        <v/>
      </c>
    </row>
    <row r="1887" spans="3:12" x14ac:dyDescent="0.2">
      <c r="C1887"/>
      <c r="L1887" s="9" t="str">
        <f t="shared" si="148"/>
        <v/>
      </c>
    </row>
    <row r="1888" spans="3:12" x14ac:dyDescent="0.2">
      <c r="C1888"/>
      <c r="L1888" s="9" t="str">
        <f t="shared" si="148"/>
        <v/>
      </c>
    </row>
    <row r="1889" spans="3:12" x14ac:dyDescent="0.2">
      <c r="C1889"/>
      <c r="L1889" s="9" t="str">
        <f t="shared" si="148"/>
        <v/>
      </c>
    </row>
    <row r="1890" spans="3:12" x14ac:dyDescent="0.2">
      <c r="C1890"/>
      <c r="L1890" s="9" t="str">
        <f t="shared" si="148"/>
        <v/>
      </c>
    </row>
    <row r="1891" spans="3:12" x14ac:dyDescent="0.2">
      <c r="C1891"/>
      <c r="L1891" s="9" t="str">
        <f t="shared" si="148"/>
        <v/>
      </c>
    </row>
    <row r="1892" spans="3:12" x14ac:dyDescent="0.2">
      <c r="C1892"/>
      <c r="L1892" s="9" t="str">
        <f t="shared" si="148"/>
        <v/>
      </c>
    </row>
    <row r="1893" spans="3:12" x14ac:dyDescent="0.2">
      <c r="C1893"/>
      <c r="L1893" s="9" t="str">
        <f t="shared" si="148"/>
        <v/>
      </c>
    </row>
    <row r="1894" spans="3:12" x14ac:dyDescent="0.2">
      <c r="C1894"/>
      <c r="L1894" s="9" t="str">
        <f t="shared" si="148"/>
        <v/>
      </c>
    </row>
    <row r="1895" spans="3:12" x14ac:dyDescent="0.2">
      <c r="C1895"/>
      <c r="L1895" s="9" t="str">
        <f t="shared" si="148"/>
        <v/>
      </c>
    </row>
    <row r="1896" spans="3:12" x14ac:dyDescent="0.2">
      <c r="C1896"/>
      <c r="L1896" s="9" t="str">
        <f t="shared" si="148"/>
        <v/>
      </c>
    </row>
    <row r="1897" spans="3:12" x14ac:dyDescent="0.2">
      <c r="C1897"/>
      <c r="L1897" s="9" t="str">
        <f t="shared" si="148"/>
        <v/>
      </c>
    </row>
    <row r="1898" spans="3:12" x14ac:dyDescent="0.2">
      <c r="C1898"/>
      <c r="L1898" s="9" t="str">
        <f t="shared" si="148"/>
        <v/>
      </c>
    </row>
    <row r="1899" spans="3:12" x14ac:dyDescent="0.2">
      <c r="C1899"/>
      <c r="L1899" s="9" t="str">
        <f t="shared" si="148"/>
        <v/>
      </c>
    </row>
    <row r="1900" spans="3:12" x14ac:dyDescent="0.2">
      <c r="C1900"/>
      <c r="L1900" s="9" t="str">
        <f t="shared" si="148"/>
        <v/>
      </c>
    </row>
    <row r="1901" spans="3:12" x14ac:dyDescent="0.2">
      <c r="C1901"/>
      <c r="L1901" s="9" t="str">
        <f t="shared" si="148"/>
        <v/>
      </c>
    </row>
    <row r="1902" spans="3:12" x14ac:dyDescent="0.2">
      <c r="C1902"/>
      <c r="L1902" s="9" t="str">
        <f t="shared" si="148"/>
        <v/>
      </c>
    </row>
    <row r="1903" spans="3:12" x14ac:dyDescent="0.2">
      <c r="C1903"/>
      <c r="L1903" s="9" t="str">
        <f t="shared" si="148"/>
        <v/>
      </c>
    </row>
    <row r="1904" spans="3:12" x14ac:dyDescent="0.2">
      <c r="C1904"/>
      <c r="L1904" s="9" t="str">
        <f t="shared" si="148"/>
        <v/>
      </c>
    </row>
    <row r="1905" spans="3:12" x14ac:dyDescent="0.2">
      <c r="C1905"/>
      <c r="L1905" s="9" t="str">
        <f t="shared" si="148"/>
        <v/>
      </c>
    </row>
    <row r="1906" spans="3:12" x14ac:dyDescent="0.2">
      <c r="C1906"/>
      <c r="L1906" s="9" t="str">
        <f t="shared" si="148"/>
        <v/>
      </c>
    </row>
    <row r="1907" spans="3:12" x14ac:dyDescent="0.2">
      <c r="C1907"/>
      <c r="L1907" s="9" t="str">
        <f t="shared" si="148"/>
        <v/>
      </c>
    </row>
    <row r="1908" spans="3:12" x14ac:dyDescent="0.2">
      <c r="C1908"/>
      <c r="L1908" s="9" t="str">
        <f t="shared" si="148"/>
        <v/>
      </c>
    </row>
    <row r="1909" spans="3:12" x14ac:dyDescent="0.2">
      <c r="C1909"/>
      <c r="L1909" s="9" t="str">
        <f t="shared" si="148"/>
        <v/>
      </c>
    </row>
    <row r="1910" spans="3:12" x14ac:dyDescent="0.2">
      <c r="C1910"/>
      <c r="L1910" s="9" t="str">
        <f t="shared" si="148"/>
        <v/>
      </c>
    </row>
    <row r="1911" spans="3:12" x14ac:dyDescent="0.2">
      <c r="C1911"/>
      <c r="L1911" s="9" t="str">
        <f t="shared" si="148"/>
        <v/>
      </c>
    </row>
    <row r="1912" spans="3:12" x14ac:dyDescent="0.2">
      <c r="C1912"/>
      <c r="L1912" s="9" t="str">
        <f t="shared" si="148"/>
        <v/>
      </c>
    </row>
    <row r="1913" spans="3:12" x14ac:dyDescent="0.2">
      <c r="C1913"/>
      <c r="L1913" s="9" t="str">
        <f t="shared" si="148"/>
        <v/>
      </c>
    </row>
    <row r="1914" spans="3:12" x14ac:dyDescent="0.2">
      <c r="C1914"/>
      <c r="L1914" s="9" t="str">
        <f t="shared" si="148"/>
        <v/>
      </c>
    </row>
    <row r="1915" spans="3:12" x14ac:dyDescent="0.2">
      <c r="C1915"/>
      <c r="L1915" s="9" t="str">
        <f t="shared" si="148"/>
        <v/>
      </c>
    </row>
    <row r="1916" spans="3:12" x14ac:dyDescent="0.2">
      <c r="C1916"/>
      <c r="L1916" s="9" t="str">
        <f t="shared" si="148"/>
        <v/>
      </c>
    </row>
    <row r="1917" spans="3:12" x14ac:dyDescent="0.2">
      <c r="C1917"/>
      <c r="L1917" s="9" t="str">
        <f t="shared" ref="L1917:L1980" si="149">IF(A1917="STOCK",E1917,IF(A1917="SOPTION",G1917,IF(A1917="LOPTION",F1917,"")))</f>
        <v/>
      </c>
    </row>
    <row r="1918" spans="3:12" x14ac:dyDescent="0.2">
      <c r="C1918"/>
      <c r="L1918" s="9" t="str">
        <f t="shared" si="149"/>
        <v/>
      </c>
    </row>
    <row r="1919" spans="3:12" x14ac:dyDescent="0.2">
      <c r="C1919"/>
      <c r="L1919" s="9" t="str">
        <f t="shared" si="149"/>
        <v/>
      </c>
    </row>
    <row r="1920" spans="3:12" x14ac:dyDescent="0.2">
      <c r="C1920"/>
      <c r="L1920" s="9" t="str">
        <f t="shared" si="149"/>
        <v/>
      </c>
    </row>
    <row r="1921" spans="3:12" x14ac:dyDescent="0.2">
      <c r="C1921"/>
      <c r="L1921" s="9" t="str">
        <f t="shared" si="149"/>
        <v/>
      </c>
    </row>
    <row r="1922" spans="3:12" x14ac:dyDescent="0.2">
      <c r="C1922"/>
      <c r="L1922" s="9" t="str">
        <f t="shared" si="149"/>
        <v/>
      </c>
    </row>
    <row r="1923" spans="3:12" x14ac:dyDescent="0.2">
      <c r="C1923"/>
      <c r="L1923" s="9" t="str">
        <f t="shared" si="149"/>
        <v/>
      </c>
    </row>
    <row r="1924" spans="3:12" x14ac:dyDescent="0.2">
      <c r="C1924"/>
      <c r="L1924" s="9" t="str">
        <f t="shared" si="149"/>
        <v/>
      </c>
    </row>
    <row r="1925" spans="3:12" x14ac:dyDescent="0.2">
      <c r="C1925"/>
      <c r="L1925" s="9" t="str">
        <f t="shared" si="149"/>
        <v/>
      </c>
    </row>
    <row r="1926" spans="3:12" x14ac:dyDescent="0.2">
      <c r="C1926"/>
      <c r="L1926" s="9" t="str">
        <f t="shared" si="149"/>
        <v/>
      </c>
    </row>
    <row r="1927" spans="3:12" x14ac:dyDescent="0.2">
      <c r="C1927"/>
      <c r="L1927" s="9" t="str">
        <f t="shared" si="149"/>
        <v/>
      </c>
    </row>
    <row r="1928" spans="3:12" x14ac:dyDescent="0.2">
      <c r="C1928"/>
      <c r="L1928" s="9" t="str">
        <f t="shared" si="149"/>
        <v/>
      </c>
    </row>
    <row r="1929" spans="3:12" x14ac:dyDescent="0.2">
      <c r="C1929"/>
      <c r="L1929" s="9" t="str">
        <f t="shared" si="149"/>
        <v/>
      </c>
    </row>
    <row r="1930" spans="3:12" x14ac:dyDescent="0.2">
      <c r="C1930"/>
      <c r="L1930" s="9" t="str">
        <f t="shared" si="149"/>
        <v/>
      </c>
    </row>
    <row r="1931" spans="3:12" x14ac:dyDescent="0.2">
      <c r="C1931"/>
      <c r="L1931" s="9" t="str">
        <f t="shared" si="149"/>
        <v/>
      </c>
    </row>
    <row r="1932" spans="3:12" x14ac:dyDescent="0.2">
      <c r="C1932"/>
      <c r="L1932" s="9" t="str">
        <f t="shared" si="149"/>
        <v/>
      </c>
    </row>
    <row r="1933" spans="3:12" x14ac:dyDescent="0.2">
      <c r="C1933"/>
      <c r="L1933" s="9" t="str">
        <f t="shared" si="149"/>
        <v/>
      </c>
    </row>
    <row r="1934" spans="3:12" x14ac:dyDescent="0.2">
      <c r="C1934"/>
      <c r="L1934" s="9" t="str">
        <f t="shared" si="149"/>
        <v/>
      </c>
    </row>
    <row r="1935" spans="3:12" x14ac:dyDescent="0.2">
      <c r="C1935"/>
      <c r="L1935" s="9" t="str">
        <f t="shared" si="149"/>
        <v/>
      </c>
    </row>
    <row r="1936" spans="3:12" x14ac:dyDescent="0.2">
      <c r="C1936"/>
      <c r="L1936" s="9" t="str">
        <f t="shared" si="149"/>
        <v/>
      </c>
    </row>
    <row r="1937" spans="3:12" x14ac:dyDescent="0.2">
      <c r="C1937"/>
      <c r="L1937" s="9" t="str">
        <f t="shared" si="149"/>
        <v/>
      </c>
    </row>
    <row r="1938" spans="3:12" x14ac:dyDescent="0.2">
      <c r="C1938"/>
      <c r="L1938" s="9" t="str">
        <f t="shared" si="149"/>
        <v/>
      </c>
    </row>
    <row r="1939" spans="3:12" x14ac:dyDescent="0.2">
      <c r="C1939"/>
      <c r="L1939" s="9" t="str">
        <f t="shared" si="149"/>
        <v/>
      </c>
    </row>
    <row r="1940" spans="3:12" x14ac:dyDescent="0.2">
      <c r="C1940"/>
      <c r="L1940" s="9" t="str">
        <f t="shared" si="149"/>
        <v/>
      </c>
    </row>
    <row r="1941" spans="3:12" x14ac:dyDescent="0.2">
      <c r="C1941"/>
      <c r="L1941" s="9" t="str">
        <f t="shared" si="149"/>
        <v/>
      </c>
    </row>
    <row r="1942" spans="3:12" x14ac:dyDescent="0.2">
      <c r="C1942"/>
      <c r="L1942" s="9" t="str">
        <f t="shared" si="149"/>
        <v/>
      </c>
    </row>
    <row r="1943" spans="3:12" x14ac:dyDescent="0.2">
      <c r="C1943"/>
      <c r="L1943" s="9" t="str">
        <f t="shared" si="149"/>
        <v/>
      </c>
    </row>
    <row r="1944" spans="3:12" x14ac:dyDescent="0.2">
      <c r="C1944"/>
      <c r="L1944" s="9" t="str">
        <f t="shared" si="149"/>
        <v/>
      </c>
    </row>
    <row r="1945" spans="3:12" x14ac:dyDescent="0.2">
      <c r="C1945"/>
      <c r="L1945" s="9" t="str">
        <f t="shared" si="149"/>
        <v/>
      </c>
    </row>
    <row r="1946" spans="3:12" x14ac:dyDescent="0.2">
      <c r="C1946"/>
      <c r="L1946" s="9" t="str">
        <f t="shared" si="149"/>
        <v/>
      </c>
    </row>
    <row r="1947" spans="3:12" x14ac:dyDescent="0.2">
      <c r="C1947"/>
      <c r="L1947" s="9" t="str">
        <f t="shared" si="149"/>
        <v/>
      </c>
    </row>
    <row r="1948" spans="3:12" x14ac:dyDescent="0.2">
      <c r="C1948"/>
      <c r="L1948" s="9" t="str">
        <f t="shared" si="149"/>
        <v/>
      </c>
    </row>
    <row r="1949" spans="3:12" x14ac:dyDescent="0.2">
      <c r="C1949"/>
      <c r="L1949" s="9" t="str">
        <f t="shared" si="149"/>
        <v/>
      </c>
    </row>
    <row r="1950" spans="3:12" x14ac:dyDescent="0.2">
      <c r="C1950"/>
      <c r="L1950" s="9" t="str">
        <f t="shared" si="149"/>
        <v/>
      </c>
    </row>
    <row r="1951" spans="3:12" x14ac:dyDescent="0.2">
      <c r="C1951"/>
      <c r="L1951" s="9" t="str">
        <f t="shared" si="149"/>
        <v/>
      </c>
    </row>
    <row r="1952" spans="3:12" x14ac:dyDescent="0.2">
      <c r="C1952"/>
      <c r="L1952" s="9" t="str">
        <f t="shared" si="149"/>
        <v/>
      </c>
    </row>
    <row r="1953" spans="3:12" x14ac:dyDescent="0.2">
      <c r="C1953"/>
      <c r="L1953" s="9" t="str">
        <f t="shared" si="149"/>
        <v/>
      </c>
    </row>
    <row r="1954" spans="3:12" x14ac:dyDescent="0.2">
      <c r="C1954"/>
      <c r="L1954" s="9" t="str">
        <f t="shared" si="149"/>
        <v/>
      </c>
    </row>
    <row r="1955" spans="3:12" x14ac:dyDescent="0.2">
      <c r="C1955"/>
      <c r="L1955" s="9" t="str">
        <f t="shared" si="149"/>
        <v/>
      </c>
    </row>
    <row r="1956" spans="3:12" x14ac:dyDescent="0.2">
      <c r="C1956"/>
      <c r="L1956" s="9" t="str">
        <f t="shared" si="149"/>
        <v/>
      </c>
    </row>
    <row r="1957" spans="3:12" x14ac:dyDescent="0.2">
      <c r="C1957"/>
      <c r="L1957" s="9" t="str">
        <f t="shared" si="149"/>
        <v/>
      </c>
    </row>
    <row r="1958" spans="3:12" x14ac:dyDescent="0.2">
      <c r="C1958"/>
      <c r="L1958" s="9" t="str">
        <f t="shared" si="149"/>
        <v/>
      </c>
    </row>
    <row r="1959" spans="3:12" x14ac:dyDescent="0.2">
      <c r="C1959"/>
      <c r="L1959" s="9" t="str">
        <f t="shared" si="149"/>
        <v/>
      </c>
    </row>
    <row r="1960" spans="3:12" x14ac:dyDescent="0.2">
      <c r="C1960"/>
      <c r="L1960" s="9" t="str">
        <f t="shared" si="149"/>
        <v/>
      </c>
    </row>
    <row r="1961" spans="3:12" x14ac:dyDescent="0.2">
      <c r="C1961"/>
      <c r="L1961" s="9" t="str">
        <f t="shared" si="149"/>
        <v/>
      </c>
    </row>
    <row r="1962" spans="3:12" x14ac:dyDescent="0.2">
      <c r="C1962"/>
      <c r="L1962" s="9" t="str">
        <f t="shared" si="149"/>
        <v/>
      </c>
    </row>
    <row r="1963" spans="3:12" x14ac:dyDescent="0.2">
      <c r="C1963"/>
      <c r="L1963" s="9" t="str">
        <f t="shared" si="149"/>
        <v/>
      </c>
    </row>
    <row r="1964" spans="3:12" x14ac:dyDescent="0.2">
      <c r="C1964"/>
      <c r="L1964" s="9" t="str">
        <f t="shared" si="149"/>
        <v/>
      </c>
    </row>
    <row r="1965" spans="3:12" x14ac:dyDescent="0.2">
      <c r="C1965"/>
      <c r="L1965" s="9" t="str">
        <f t="shared" si="149"/>
        <v/>
      </c>
    </row>
    <row r="1966" spans="3:12" x14ac:dyDescent="0.2">
      <c r="C1966"/>
      <c r="L1966" s="9" t="str">
        <f t="shared" si="149"/>
        <v/>
      </c>
    </row>
    <row r="1967" spans="3:12" x14ac:dyDescent="0.2">
      <c r="C1967"/>
      <c r="L1967" s="9" t="str">
        <f t="shared" si="149"/>
        <v/>
      </c>
    </row>
    <row r="1968" spans="3:12" x14ac:dyDescent="0.2">
      <c r="C1968"/>
      <c r="L1968" s="9" t="str">
        <f t="shared" si="149"/>
        <v/>
      </c>
    </row>
    <row r="1969" spans="3:12" x14ac:dyDescent="0.2">
      <c r="C1969"/>
      <c r="L1969" s="9" t="str">
        <f t="shared" si="149"/>
        <v/>
      </c>
    </row>
    <row r="1970" spans="3:12" x14ac:dyDescent="0.2">
      <c r="C1970"/>
      <c r="L1970" s="9" t="str">
        <f t="shared" si="149"/>
        <v/>
      </c>
    </row>
    <row r="1971" spans="3:12" x14ac:dyDescent="0.2">
      <c r="C1971"/>
      <c r="L1971" s="9" t="str">
        <f t="shared" si="149"/>
        <v/>
      </c>
    </row>
    <row r="1972" spans="3:12" x14ac:dyDescent="0.2">
      <c r="C1972"/>
      <c r="L1972" s="9" t="str">
        <f t="shared" si="149"/>
        <v/>
      </c>
    </row>
    <row r="1973" spans="3:12" x14ac:dyDescent="0.2">
      <c r="C1973"/>
      <c r="L1973" s="9" t="str">
        <f t="shared" si="149"/>
        <v/>
      </c>
    </row>
    <row r="1974" spans="3:12" x14ac:dyDescent="0.2">
      <c r="C1974"/>
      <c r="L1974" s="9" t="str">
        <f t="shared" si="149"/>
        <v/>
      </c>
    </row>
    <row r="1975" spans="3:12" x14ac:dyDescent="0.2">
      <c r="C1975"/>
      <c r="L1975" s="9" t="str">
        <f t="shared" si="149"/>
        <v/>
      </c>
    </row>
    <row r="1976" spans="3:12" x14ac:dyDescent="0.2">
      <c r="C1976"/>
      <c r="L1976" s="9" t="str">
        <f t="shared" si="149"/>
        <v/>
      </c>
    </row>
    <row r="1977" spans="3:12" x14ac:dyDescent="0.2">
      <c r="C1977"/>
      <c r="L1977" s="9" t="str">
        <f t="shared" si="149"/>
        <v/>
      </c>
    </row>
    <row r="1978" spans="3:12" x14ac:dyDescent="0.2">
      <c r="C1978"/>
      <c r="L1978" s="9" t="str">
        <f t="shared" si="149"/>
        <v/>
      </c>
    </row>
    <row r="1979" spans="3:12" x14ac:dyDescent="0.2">
      <c r="C1979"/>
      <c r="L1979" s="9" t="str">
        <f t="shared" si="149"/>
        <v/>
      </c>
    </row>
    <row r="1980" spans="3:12" x14ac:dyDescent="0.2">
      <c r="C1980"/>
      <c r="L1980" s="9" t="str">
        <f t="shared" si="149"/>
        <v/>
      </c>
    </row>
    <row r="1981" spans="3:12" x14ac:dyDescent="0.2">
      <c r="C1981"/>
      <c r="L1981" s="9" t="str">
        <f t="shared" ref="L1981:L2044" si="150">IF(A1981="STOCK",E1981,IF(A1981="SOPTION",G1981,IF(A1981="LOPTION",F1981,"")))</f>
        <v/>
      </c>
    </row>
    <row r="1982" spans="3:12" x14ac:dyDescent="0.2">
      <c r="C1982"/>
      <c r="L1982" s="9" t="str">
        <f t="shared" si="150"/>
        <v/>
      </c>
    </row>
    <row r="1983" spans="3:12" x14ac:dyDescent="0.2">
      <c r="C1983"/>
      <c r="L1983" s="9" t="str">
        <f t="shared" si="150"/>
        <v/>
      </c>
    </row>
    <row r="1984" spans="3:12" x14ac:dyDescent="0.2">
      <c r="C1984"/>
      <c r="L1984" s="9" t="str">
        <f t="shared" si="150"/>
        <v/>
      </c>
    </row>
    <row r="1985" spans="3:12" x14ac:dyDescent="0.2">
      <c r="C1985"/>
      <c r="L1985" s="9" t="str">
        <f t="shared" si="150"/>
        <v/>
      </c>
    </row>
    <row r="1986" spans="3:12" x14ac:dyDescent="0.2">
      <c r="C1986"/>
      <c r="L1986" s="9" t="str">
        <f t="shared" si="150"/>
        <v/>
      </c>
    </row>
    <row r="1987" spans="3:12" x14ac:dyDescent="0.2">
      <c r="C1987"/>
      <c r="L1987" s="9" t="str">
        <f t="shared" si="150"/>
        <v/>
      </c>
    </row>
    <row r="1988" spans="3:12" x14ac:dyDescent="0.2">
      <c r="C1988"/>
      <c r="L1988" s="9" t="str">
        <f t="shared" si="150"/>
        <v/>
      </c>
    </row>
    <row r="1989" spans="3:12" x14ac:dyDescent="0.2">
      <c r="C1989"/>
      <c r="L1989" s="9" t="str">
        <f t="shared" si="150"/>
        <v/>
      </c>
    </row>
    <row r="1990" spans="3:12" x14ac:dyDescent="0.2">
      <c r="C1990"/>
      <c r="L1990" s="9" t="str">
        <f t="shared" si="150"/>
        <v/>
      </c>
    </row>
    <row r="1991" spans="3:12" x14ac:dyDescent="0.2">
      <c r="C1991"/>
      <c r="L1991" s="9" t="str">
        <f t="shared" si="150"/>
        <v/>
      </c>
    </row>
    <row r="1992" spans="3:12" x14ac:dyDescent="0.2">
      <c r="C1992"/>
      <c r="L1992" s="9" t="str">
        <f t="shared" si="150"/>
        <v/>
      </c>
    </row>
    <row r="1993" spans="3:12" x14ac:dyDescent="0.2">
      <c r="C1993"/>
      <c r="L1993" s="9" t="str">
        <f t="shared" si="150"/>
        <v/>
      </c>
    </row>
    <row r="1994" spans="3:12" x14ac:dyDescent="0.2">
      <c r="C1994"/>
      <c r="L1994" s="9" t="str">
        <f t="shared" si="150"/>
        <v/>
      </c>
    </row>
    <row r="1995" spans="3:12" x14ac:dyDescent="0.2">
      <c r="C1995"/>
      <c r="L1995" s="9" t="str">
        <f t="shared" si="150"/>
        <v/>
      </c>
    </row>
    <row r="1996" spans="3:12" x14ac:dyDescent="0.2">
      <c r="C1996"/>
      <c r="L1996" s="9" t="str">
        <f t="shared" si="150"/>
        <v/>
      </c>
    </row>
    <row r="1997" spans="3:12" x14ac:dyDescent="0.2">
      <c r="C1997"/>
      <c r="L1997" s="9" t="str">
        <f t="shared" si="150"/>
        <v/>
      </c>
    </row>
    <row r="1998" spans="3:12" x14ac:dyDescent="0.2">
      <c r="C1998"/>
      <c r="L1998" s="9" t="str">
        <f t="shared" si="150"/>
        <v/>
      </c>
    </row>
    <row r="1999" spans="3:12" x14ac:dyDescent="0.2">
      <c r="C1999"/>
      <c r="L1999" s="9" t="str">
        <f t="shared" si="150"/>
        <v/>
      </c>
    </row>
    <row r="2000" spans="3:12" x14ac:dyDescent="0.2">
      <c r="C2000"/>
      <c r="L2000" s="9" t="str">
        <f t="shared" si="150"/>
        <v/>
      </c>
    </row>
    <row r="2001" spans="3:12" x14ac:dyDescent="0.2">
      <c r="C2001"/>
      <c r="L2001" s="9" t="str">
        <f t="shared" si="150"/>
        <v/>
      </c>
    </row>
    <row r="2002" spans="3:12" x14ac:dyDescent="0.2">
      <c r="C2002"/>
      <c r="L2002" s="9" t="str">
        <f t="shared" si="150"/>
        <v/>
      </c>
    </row>
    <row r="2003" spans="3:12" x14ac:dyDescent="0.2">
      <c r="C2003"/>
      <c r="L2003" s="9" t="str">
        <f t="shared" si="150"/>
        <v/>
      </c>
    </row>
    <row r="2004" spans="3:12" x14ac:dyDescent="0.2">
      <c r="C2004"/>
      <c r="L2004" s="9" t="str">
        <f t="shared" si="150"/>
        <v/>
      </c>
    </row>
    <row r="2005" spans="3:12" x14ac:dyDescent="0.2">
      <c r="C2005"/>
      <c r="L2005" s="9" t="str">
        <f t="shared" si="150"/>
        <v/>
      </c>
    </row>
    <row r="2006" spans="3:12" x14ac:dyDescent="0.2">
      <c r="C2006"/>
      <c r="L2006" s="9" t="str">
        <f t="shared" si="150"/>
        <v/>
      </c>
    </row>
    <row r="2007" spans="3:12" x14ac:dyDescent="0.2">
      <c r="C2007"/>
      <c r="L2007" s="9" t="str">
        <f t="shared" si="150"/>
        <v/>
      </c>
    </row>
    <row r="2008" spans="3:12" x14ac:dyDescent="0.2">
      <c r="C2008"/>
      <c r="L2008" s="9" t="str">
        <f t="shared" si="150"/>
        <v/>
      </c>
    </row>
    <row r="2009" spans="3:12" x14ac:dyDescent="0.2">
      <c r="C2009"/>
      <c r="L2009" s="9" t="str">
        <f t="shared" si="150"/>
        <v/>
      </c>
    </row>
    <row r="2010" spans="3:12" x14ac:dyDescent="0.2">
      <c r="C2010"/>
      <c r="L2010" s="9" t="str">
        <f t="shared" si="150"/>
        <v/>
      </c>
    </row>
    <row r="2011" spans="3:12" x14ac:dyDescent="0.2">
      <c r="C2011"/>
      <c r="L2011" s="9" t="str">
        <f t="shared" si="150"/>
        <v/>
      </c>
    </row>
    <row r="2012" spans="3:12" x14ac:dyDescent="0.2">
      <c r="C2012"/>
      <c r="L2012" s="9" t="str">
        <f t="shared" si="150"/>
        <v/>
      </c>
    </row>
    <row r="2013" spans="3:12" x14ac:dyDescent="0.2">
      <c r="C2013"/>
      <c r="L2013" s="9" t="str">
        <f t="shared" si="150"/>
        <v/>
      </c>
    </row>
    <row r="2014" spans="3:12" x14ac:dyDescent="0.2">
      <c r="C2014"/>
      <c r="L2014" s="9" t="str">
        <f t="shared" si="150"/>
        <v/>
      </c>
    </row>
    <row r="2015" spans="3:12" x14ac:dyDescent="0.2">
      <c r="C2015"/>
      <c r="L2015" s="9" t="str">
        <f t="shared" si="150"/>
        <v/>
      </c>
    </row>
    <row r="2016" spans="3:12" x14ac:dyDescent="0.2">
      <c r="C2016"/>
      <c r="L2016" s="9" t="str">
        <f t="shared" si="150"/>
        <v/>
      </c>
    </row>
    <row r="2017" spans="3:12" x14ac:dyDescent="0.2">
      <c r="C2017"/>
      <c r="L2017" s="9" t="str">
        <f t="shared" si="150"/>
        <v/>
      </c>
    </row>
    <row r="2018" spans="3:12" x14ac:dyDescent="0.2">
      <c r="C2018"/>
      <c r="L2018" s="9" t="str">
        <f t="shared" si="150"/>
        <v/>
      </c>
    </row>
    <row r="2019" spans="3:12" x14ac:dyDescent="0.2">
      <c r="C2019"/>
      <c r="L2019" s="9" t="str">
        <f t="shared" si="150"/>
        <v/>
      </c>
    </row>
    <row r="2020" spans="3:12" x14ac:dyDescent="0.2">
      <c r="C2020"/>
      <c r="L2020" s="9" t="str">
        <f t="shared" si="150"/>
        <v/>
      </c>
    </row>
    <row r="2021" spans="3:12" x14ac:dyDescent="0.2">
      <c r="C2021"/>
      <c r="L2021" s="9" t="str">
        <f t="shared" si="150"/>
        <v/>
      </c>
    </row>
    <row r="2022" spans="3:12" x14ac:dyDescent="0.2">
      <c r="C2022"/>
      <c r="L2022" s="9" t="str">
        <f t="shared" si="150"/>
        <v/>
      </c>
    </row>
    <row r="2023" spans="3:12" x14ac:dyDescent="0.2">
      <c r="C2023"/>
      <c r="L2023" s="9" t="str">
        <f t="shared" si="150"/>
        <v/>
      </c>
    </row>
    <row r="2024" spans="3:12" x14ac:dyDescent="0.2">
      <c r="C2024"/>
      <c r="L2024" s="9" t="str">
        <f t="shared" si="150"/>
        <v/>
      </c>
    </row>
    <row r="2025" spans="3:12" x14ac:dyDescent="0.2">
      <c r="C2025"/>
      <c r="L2025" s="9" t="str">
        <f t="shared" si="150"/>
        <v/>
      </c>
    </row>
    <row r="2026" spans="3:12" x14ac:dyDescent="0.2">
      <c r="C2026"/>
      <c r="L2026" s="9" t="str">
        <f t="shared" si="150"/>
        <v/>
      </c>
    </row>
    <row r="2027" spans="3:12" x14ac:dyDescent="0.2">
      <c r="C2027"/>
      <c r="L2027" s="9" t="str">
        <f t="shared" si="150"/>
        <v/>
      </c>
    </row>
    <row r="2028" spans="3:12" x14ac:dyDescent="0.2">
      <c r="C2028"/>
      <c r="L2028" s="9" t="str">
        <f t="shared" si="150"/>
        <v/>
      </c>
    </row>
    <row r="2029" spans="3:12" x14ac:dyDescent="0.2">
      <c r="C2029"/>
      <c r="L2029" s="9" t="str">
        <f t="shared" si="150"/>
        <v/>
      </c>
    </row>
    <row r="2030" spans="3:12" x14ac:dyDescent="0.2">
      <c r="C2030"/>
      <c r="L2030" s="9" t="str">
        <f t="shared" si="150"/>
        <v/>
      </c>
    </row>
    <row r="2031" spans="3:12" x14ac:dyDescent="0.2">
      <c r="C2031"/>
      <c r="L2031" s="9" t="str">
        <f t="shared" si="150"/>
        <v/>
      </c>
    </row>
    <row r="2032" spans="3:12" x14ac:dyDescent="0.2">
      <c r="C2032"/>
      <c r="L2032" s="9" t="str">
        <f t="shared" si="150"/>
        <v/>
      </c>
    </row>
    <row r="2033" spans="3:12" x14ac:dyDescent="0.2">
      <c r="C2033"/>
      <c r="L2033" s="9" t="str">
        <f t="shared" si="150"/>
        <v/>
      </c>
    </row>
    <row r="2034" spans="3:12" x14ac:dyDescent="0.2">
      <c r="C2034"/>
      <c r="L2034" s="9" t="str">
        <f t="shared" si="150"/>
        <v/>
      </c>
    </row>
    <row r="2035" spans="3:12" x14ac:dyDescent="0.2">
      <c r="C2035"/>
      <c r="L2035" s="9" t="str">
        <f t="shared" si="150"/>
        <v/>
      </c>
    </row>
    <row r="2036" spans="3:12" x14ac:dyDescent="0.2">
      <c r="C2036"/>
      <c r="L2036" s="9" t="str">
        <f t="shared" si="150"/>
        <v/>
      </c>
    </row>
    <row r="2037" spans="3:12" x14ac:dyDescent="0.2">
      <c r="C2037"/>
      <c r="L2037" s="9" t="str">
        <f t="shared" si="150"/>
        <v/>
      </c>
    </row>
    <row r="2038" spans="3:12" x14ac:dyDescent="0.2">
      <c r="C2038"/>
      <c r="L2038" s="9" t="str">
        <f t="shared" si="150"/>
        <v/>
      </c>
    </row>
    <row r="2039" spans="3:12" x14ac:dyDescent="0.2">
      <c r="C2039"/>
      <c r="L2039" s="9" t="str">
        <f t="shared" si="150"/>
        <v/>
      </c>
    </row>
    <row r="2040" spans="3:12" x14ac:dyDescent="0.2">
      <c r="C2040"/>
      <c r="L2040" s="9" t="str">
        <f t="shared" si="150"/>
        <v/>
      </c>
    </row>
    <row r="2041" spans="3:12" x14ac:dyDescent="0.2">
      <c r="C2041"/>
      <c r="L2041" s="9" t="str">
        <f t="shared" si="150"/>
        <v/>
      </c>
    </row>
    <row r="2042" spans="3:12" x14ac:dyDescent="0.2">
      <c r="C2042"/>
      <c r="L2042" s="9" t="str">
        <f t="shared" si="150"/>
        <v/>
      </c>
    </row>
    <row r="2043" spans="3:12" x14ac:dyDescent="0.2">
      <c r="C2043"/>
      <c r="L2043" s="9" t="str">
        <f t="shared" si="150"/>
        <v/>
      </c>
    </row>
    <row r="2044" spans="3:12" x14ac:dyDescent="0.2">
      <c r="C2044"/>
      <c r="L2044" s="9" t="str">
        <f t="shared" si="150"/>
        <v/>
      </c>
    </row>
    <row r="2045" spans="3:12" x14ac:dyDescent="0.2">
      <c r="C2045"/>
      <c r="L2045" s="9" t="str">
        <f t="shared" ref="L2045:L2108" si="151">IF(A2045="STOCK",E2045,IF(A2045="SOPTION",G2045,IF(A2045="LOPTION",F2045,"")))</f>
        <v/>
      </c>
    </row>
    <row r="2046" spans="3:12" x14ac:dyDescent="0.2">
      <c r="C2046"/>
      <c r="L2046" s="9" t="str">
        <f t="shared" si="151"/>
        <v/>
      </c>
    </row>
    <row r="2047" spans="3:12" x14ac:dyDescent="0.2">
      <c r="C2047"/>
      <c r="L2047" s="9" t="str">
        <f t="shared" si="151"/>
        <v/>
      </c>
    </row>
    <row r="2048" spans="3:12" x14ac:dyDescent="0.2">
      <c r="C2048"/>
      <c r="L2048" s="9" t="str">
        <f t="shared" si="151"/>
        <v/>
      </c>
    </row>
    <row r="2049" spans="3:12" x14ac:dyDescent="0.2">
      <c r="C2049"/>
      <c r="L2049" s="9" t="str">
        <f t="shared" si="151"/>
        <v/>
      </c>
    </row>
    <row r="2050" spans="3:12" x14ac:dyDescent="0.2">
      <c r="C2050"/>
      <c r="L2050" s="9" t="str">
        <f t="shared" si="151"/>
        <v/>
      </c>
    </row>
    <row r="2051" spans="3:12" x14ac:dyDescent="0.2">
      <c r="C2051"/>
      <c r="L2051" s="9" t="str">
        <f t="shared" si="151"/>
        <v/>
      </c>
    </row>
    <row r="2052" spans="3:12" x14ac:dyDescent="0.2">
      <c r="C2052"/>
      <c r="L2052" s="9" t="str">
        <f t="shared" si="151"/>
        <v/>
      </c>
    </row>
    <row r="2053" spans="3:12" x14ac:dyDescent="0.2">
      <c r="C2053"/>
      <c r="L2053" s="9" t="str">
        <f t="shared" si="151"/>
        <v/>
      </c>
    </row>
    <row r="2054" spans="3:12" x14ac:dyDescent="0.2">
      <c r="C2054"/>
      <c r="L2054" s="9" t="str">
        <f t="shared" si="151"/>
        <v/>
      </c>
    </row>
    <row r="2055" spans="3:12" x14ac:dyDescent="0.2">
      <c r="C2055"/>
      <c r="L2055" s="9" t="str">
        <f t="shared" si="151"/>
        <v/>
      </c>
    </row>
    <row r="2056" spans="3:12" x14ac:dyDescent="0.2">
      <c r="C2056"/>
      <c r="L2056" s="9" t="str">
        <f t="shared" si="151"/>
        <v/>
      </c>
    </row>
    <row r="2057" spans="3:12" x14ac:dyDescent="0.2">
      <c r="C2057"/>
      <c r="L2057" s="9" t="str">
        <f t="shared" si="151"/>
        <v/>
      </c>
    </row>
    <row r="2058" spans="3:12" x14ac:dyDescent="0.2">
      <c r="C2058"/>
      <c r="L2058" s="9" t="str">
        <f t="shared" si="151"/>
        <v/>
      </c>
    </row>
    <row r="2059" spans="3:12" x14ac:dyDescent="0.2">
      <c r="C2059"/>
      <c r="L2059" s="9" t="str">
        <f t="shared" si="151"/>
        <v/>
      </c>
    </row>
    <row r="2060" spans="3:12" x14ac:dyDescent="0.2">
      <c r="C2060"/>
      <c r="L2060" s="9" t="str">
        <f t="shared" si="151"/>
        <v/>
      </c>
    </row>
    <row r="2061" spans="3:12" x14ac:dyDescent="0.2">
      <c r="C2061"/>
      <c r="L2061" s="9" t="str">
        <f t="shared" si="151"/>
        <v/>
      </c>
    </row>
    <row r="2062" spans="3:12" x14ac:dyDescent="0.2">
      <c r="C2062"/>
      <c r="L2062" s="9" t="str">
        <f t="shared" si="151"/>
        <v/>
      </c>
    </row>
    <row r="2063" spans="3:12" x14ac:dyDescent="0.2">
      <c r="C2063"/>
      <c r="L2063" s="9" t="str">
        <f t="shared" si="151"/>
        <v/>
      </c>
    </row>
    <row r="2064" spans="3:12" x14ac:dyDescent="0.2">
      <c r="C2064"/>
      <c r="L2064" s="9" t="str">
        <f t="shared" si="151"/>
        <v/>
      </c>
    </row>
    <row r="2065" spans="3:12" x14ac:dyDescent="0.2">
      <c r="C2065"/>
      <c r="L2065" s="9" t="str">
        <f t="shared" si="151"/>
        <v/>
      </c>
    </row>
    <row r="2066" spans="3:12" x14ac:dyDescent="0.2">
      <c r="C2066"/>
      <c r="L2066" s="9" t="str">
        <f t="shared" si="151"/>
        <v/>
      </c>
    </row>
    <row r="2067" spans="3:12" x14ac:dyDescent="0.2">
      <c r="C2067"/>
      <c r="L2067" s="9" t="str">
        <f t="shared" si="151"/>
        <v/>
      </c>
    </row>
    <row r="2068" spans="3:12" x14ac:dyDescent="0.2">
      <c r="C2068"/>
      <c r="L2068" s="9" t="str">
        <f t="shared" si="151"/>
        <v/>
      </c>
    </row>
    <row r="2069" spans="3:12" x14ac:dyDescent="0.2">
      <c r="C2069"/>
      <c r="L2069" s="9" t="str">
        <f t="shared" si="151"/>
        <v/>
      </c>
    </row>
    <row r="2070" spans="3:12" x14ac:dyDescent="0.2">
      <c r="C2070"/>
      <c r="L2070" s="9" t="str">
        <f t="shared" si="151"/>
        <v/>
      </c>
    </row>
    <row r="2071" spans="3:12" x14ac:dyDescent="0.2">
      <c r="C2071"/>
      <c r="L2071" s="9" t="str">
        <f t="shared" si="151"/>
        <v/>
      </c>
    </row>
    <row r="2072" spans="3:12" x14ac:dyDescent="0.2">
      <c r="C2072"/>
      <c r="L2072" s="9" t="str">
        <f t="shared" si="151"/>
        <v/>
      </c>
    </row>
    <row r="2073" spans="3:12" x14ac:dyDescent="0.2">
      <c r="C2073"/>
      <c r="L2073" s="9" t="str">
        <f t="shared" si="151"/>
        <v/>
      </c>
    </row>
    <row r="2074" spans="3:12" x14ac:dyDescent="0.2">
      <c r="C2074"/>
      <c r="L2074" s="9" t="str">
        <f t="shared" si="151"/>
        <v/>
      </c>
    </row>
    <row r="2075" spans="3:12" x14ac:dyDescent="0.2">
      <c r="C2075"/>
      <c r="L2075" s="9" t="str">
        <f t="shared" si="151"/>
        <v/>
      </c>
    </row>
    <row r="2076" spans="3:12" x14ac:dyDescent="0.2">
      <c r="C2076"/>
      <c r="L2076" s="9" t="str">
        <f t="shared" si="151"/>
        <v/>
      </c>
    </row>
    <row r="2077" spans="3:12" x14ac:dyDescent="0.2">
      <c r="C2077"/>
      <c r="L2077" s="9" t="str">
        <f t="shared" si="151"/>
        <v/>
      </c>
    </row>
    <row r="2078" spans="3:12" x14ac:dyDescent="0.2">
      <c r="C2078"/>
      <c r="L2078" s="9" t="str">
        <f t="shared" si="151"/>
        <v/>
      </c>
    </row>
    <row r="2079" spans="3:12" x14ac:dyDescent="0.2">
      <c r="C2079"/>
      <c r="L2079" s="9" t="str">
        <f t="shared" si="151"/>
        <v/>
      </c>
    </row>
    <row r="2080" spans="3:12" x14ac:dyDescent="0.2">
      <c r="C2080"/>
      <c r="L2080" s="9" t="str">
        <f t="shared" si="151"/>
        <v/>
      </c>
    </row>
    <row r="2081" spans="3:12" x14ac:dyDescent="0.2">
      <c r="C2081"/>
      <c r="L2081" s="9" t="str">
        <f t="shared" si="151"/>
        <v/>
      </c>
    </row>
    <row r="2082" spans="3:12" x14ac:dyDescent="0.2">
      <c r="C2082"/>
      <c r="L2082" s="9" t="str">
        <f t="shared" si="151"/>
        <v/>
      </c>
    </row>
    <row r="2083" spans="3:12" x14ac:dyDescent="0.2">
      <c r="C2083"/>
      <c r="L2083" s="9" t="str">
        <f t="shared" si="151"/>
        <v/>
      </c>
    </row>
    <row r="2084" spans="3:12" x14ac:dyDescent="0.2">
      <c r="C2084"/>
      <c r="L2084" s="9" t="str">
        <f t="shared" si="151"/>
        <v/>
      </c>
    </row>
    <row r="2085" spans="3:12" x14ac:dyDescent="0.2">
      <c r="C2085"/>
      <c r="L2085" s="9" t="str">
        <f t="shared" si="151"/>
        <v/>
      </c>
    </row>
    <row r="2086" spans="3:12" x14ac:dyDescent="0.2">
      <c r="C2086"/>
      <c r="L2086" s="9" t="str">
        <f t="shared" si="151"/>
        <v/>
      </c>
    </row>
    <row r="2087" spans="3:12" x14ac:dyDescent="0.2">
      <c r="C2087"/>
      <c r="L2087" s="9" t="str">
        <f t="shared" si="151"/>
        <v/>
      </c>
    </row>
    <row r="2088" spans="3:12" x14ac:dyDescent="0.2">
      <c r="C2088"/>
      <c r="L2088" s="9" t="str">
        <f t="shared" si="151"/>
        <v/>
      </c>
    </row>
    <row r="2089" spans="3:12" x14ac:dyDescent="0.2">
      <c r="C2089"/>
      <c r="L2089" s="9" t="str">
        <f t="shared" si="151"/>
        <v/>
      </c>
    </row>
    <row r="2090" spans="3:12" x14ac:dyDescent="0.2">
      <c r="C2090"/>
      <c r="L2090" s="9" t="str">
        <f t="shared" si="151"/>
        <v/>
      </c>
    </row>
    <row r="2091" spans="3:12" x14ac:dyDescent="0.2">
      <c r="C2091"/>
      <c r="L2091" s="9" t="str">
        <f t="shared" si="151"/>
        <v/>
      </c>
    </row>
    <row r="2092" spans="3:12" x14ac:dyDescent="0.2">
      <c r="C2092"/>
      <c r="L2092" s="9" t="str">
        <f t="shared" si="151"/>
        <v/>
      </c>
    </row>
    <row r="2093" spans="3:12" x14ac:dyDescent="0.2">
      <c r="C2093"/>
      <c r="L2093" s="9" t="str">
        <f t="shared" si="151"/>
        <v/>
      </c>
    </row>
    <row r="2094" spans="3:12" x14ac:dyDescent="0.2">
      <c r="C2094"/>
      <c r="L2094" s="9" t="str">
        <f t="shared" si="151"/>
        <v/>
      </c>
    </row>
    <row r="2095" spans="3:12" x14ac:dyDescent="0.2">
      <c r="C2095"/>
      <c r="L2095" s="9" t="str">
        <f t="shared" si="151"/>
        <v/>
      </c>
    </row>
    <row r="2096" spans="3:12" x14ac:dyDescent="0.2">
      <c r="C2096"/>
      <c r="L2096" s="9" t="str">
        <f t="shared" si="151"/>
        <v/>
      </c>
    </row>
    <row r="2097" spans="3:12" x14ac:dyDescent="0.2">
      <c r="C2097"/>
      <c r="L2097" s="9" t="str">
        <f t="shared" si="151"/>
        <v/>
      </c>
    </row>
    <row r="2098" spans="3:12" x14ac:dyDescent="0.2">
      <c r="C2098"/>
      <c r="L2098" s="9" t="str">
        <f t="shared" si="151"/>
        <v/>
      </c>
    </row>
    <row r="2099" spans="3:12" x14ac:dyDescent="0.2">
      <c r="C2099"/>
      <c r="L2099" s="9" t="str">
        <f t="shared" si="151"/>
        <v/>
      </c>
    </row>
    <row r="2100" spans="3:12" x14ac:dyDescent="0.2">
      <c r="C2100"/>
      <c r="L2100" s="9" t="str">
        <f t="shared" si="151"/>
        <v/>
      </c>
    </row>
    <row r="2101" spans="3:12" x14ac:dyDescent="0.2">
      <c r="C2101"/>
      <c r="L2101" s="9" t="str">
        <f t="shared" si="151"/>
        <v/>
      </c>
    </row>
    <row r="2102" spans="3:12" x14ac:dyDescent="0.2">
      <c r="C2102"/>
      <c r="L2102" s="9" t="str">
        <f t="shared" si="151"/>
        <v/>
      </c>
    </row>
    <row r="2103" spans="3:12" x14ac:dyDescent="0.2">
      <c r="C2103"/>
      <c r="L2103" s="9" t="str">
        <f t="shared" si="151"/>
        <v/>
      </c>
    </row>
    <row r="2104" spans="3:12" x14ac:dyDescent="0.2">
      <c r="C2104"/>
      <c r="L2104" s="9" t="str">
        <f t="shared" si="151"/>
        <v/>
      </c>
    </row>
    <row r="2105" spans="3:12" x14ac:dyDescent="0.2">
      <c r="C2105"/>
      <c r="L2105" s="9" t="str">
        <f t="shared" si="151"/>
        <v/>
      </c>
    </row>
    <row r="2106" spans="3:12" x14ac:dyDescent="0.2">
      <c r="C2106"/>
      <c r="L2106" s="9" t="str">
        <f t="shared" si="151"/>
        <v/>
      </c>
    </row>
    <row r="2107" spans="3:12" x14ac:dyDescent="0.2">
      <c r="C2107"/>
      <c r="L2107" s="9" t="str">
        <f t="shared" si="151"/>
        <v/>
      </c>
    </row>
    <row r="2108" spans="3:12" x14ac:dyDescent="0.2">
      <c r="C2108"/>
      <c r="L2108" s="9" t="str">
        <f t="shared" si="151"/>
        <v/>
      </c>
    </row>
    <row r="2109" spans="3:12" x14ac:dyDescent="0.2">
      <c r="C2109"/>
      <c r="L2109" s="9" t="str">
        <f t="shared" ref="L2109:L2172" si="152">IF(A2109="STOCK",E2109,IF(A2109="SOPTION",G2109,IF(A2109="LOPTION",F2109,"")))</f>
        <v/>
      </c>
    </row>
    <row r="2110" spans="3:12" x14ac:dyDescent="0.2">
      <c r="C2110"/>
      <c r="L2110" s="9" t="str">
        <f t="shared" si="152"/>
        <v/>
      </c>
    </row>
    <row r="2111" spans="3:12" x14ac:dyDescent="0.2">
      <c r="C2111"/>
      <c r="L2111" s="9" t="str">
        <f t="shared" si="152"/>
        <v/>
      </c>
    </row>
    <row r="2112" spans="3:12" x14ac:dyDescent="0.2">
      <c r="C2112"/>
      <c r="L2112" s="9" t="str">
        <f t="shared" si="152"/>
        <v/>
      </c>
    </row>
    <row r="2113" spans="3:12" x14ac:dyDescent="0.2">
      <c r="C2113"/>
      <c r="L2113" s="9" t="str">
        <f t="shared" si="152"/>
        <v/>
      </c>
    </row>
    <row r="2114" spans="3:12" x14ac:dyDescent="0.2">
      <c r="C2114"/>
      <c r="L2114" s="9" t="str">
        <f t="shared" si="152"/>
        <v/>
      </c>
    </row>
    <row r="2115" spans="3:12" x14ac:dyDescent="0.2">
      <c r="C2115"/>
      <c r="L2115" s="9" t="str">
        <f t="shared" si="152"/>
        <v/>
      </c>
    </row>
    <row r="2116" spans="3:12" x14ac:dyDescent="0.2">
      <c r="C2116"/>
      <c r="L2116" s="9" t="str">
        <f t="shared" si="152"/>
        <v/>
      </c>
    </row>
    <row r="2117" spans="3:12" x14ac:dyDescent="0.2">
      <c r="C2117"/>
      <c r="L2117" s="9" t="str">
        <f t="shared" si="152"/>
        <v/>
      </c>
    </row>
    <row r="2118" spans="3:12" x14ac:dyDescent="0.2">
      <c r="C2118"/>
      <c r="L2118" s="9" t="str">
        <f t="shared" si="152"/>
        <v/>
      </c>
    </row>
    <row r="2119" spans="3:12" x14ac:dyDescent="0.2">
      <c r="C2119"/>
      <c r="L2119" s="9" t="str">
        <f t="shared" si="152"/>
        <v/>
      </c>
    </row>
    <row r="2120" spans="3:12" x14ac:dyDescent="0.2">
      <c r="C2120"/>
      <c r="L2120" s="9" t="str">
        <f t="shared" si="152"/>
        <v/>
      </c>
    </row>
    <row r="2121" spans="3:12" x14ac:dyDescent="0.2">
      <c r="C2121"/>
      <c r="L2121" s="9" t="str">
        <f t="shared" si="152"/>
        <v/>
      </c>
    </row>
    <row r="2122" spans="3:12" x14ac:dyDescent="0.2">
      <c r="C2122"/>
      <c r="L2122" s="9" t="str">
        <f t="shared" si="152"/>
        <v/>
      </c>
    </row>
    <row r="2123" spans="3:12" x14ac:dyDescent="0.2">
      <c r="C2123"/>
      <c r="L2123" s="9" t="str">
        <f t="shared" si="152"/>
        <v/>
      </c>
    </row>
    <row r="2124" spans="3:12" x14ac:dyDescent="0.2">
      <c r="C2124"/>
      <c r="L2124" s="9" t="str">
        <f t="shared" si="152"/>
        <v/>
      </c>
    </row>
    <row r="2125" spans="3:12" x14ac:dyDescent="0.2">
      <c r="C2125"/>
      <c r="L2125" s="9" t="str">
        <f t="shared" si="152"/>
        <v/>
      </c>
    </row>
    <row r="2126" spans="3:12" x14ac:dyDescent="0.2">
      <c r="C2126"/>
      <c r="L2126" s="9" t="str">
        <f t="shared" si="152"/>
        <v/>
      </c>
    </row>
    <row r="2127" spans="3:12" x14ac:dyDescent="0.2">
      <c r="C2127"/>
      <c r="L2127" s="9" t="str">
        <f t="shared" si="152"/>
        <v/>
      </c>
    </row>
    <row r="2128" spans="3:12" x14ac:dyDescent="0.2">
      <c r="C2128"/>
      <c r="L2128" s="9" t="str">
        <f t="shared" si="152"/>
        <v/>
      </c>
    </row>
    <row r="2129" spans="3:12" x14ac:dyDescent="0.2">
      <c r="C2129"/>
      <c r="L2129" s="9" t="str">
        <f t="shared" si="152"/>
        <v/>
      </c>
    </row>
    <row r="2130" spans="3:12" x14ac:dyDescent="0.2">
      <c r="C2130"/>
      <c r="L2130" s="9" t="str">
        <f t="shared" si="152"/>
        <v/>
      </c>
    </row>
    <row r="2131" spans="3:12" x14ac:dyDescent="0.2">
      <c r="C2131"/>
      <c r="L2131" s="9" t="str">
        <f t="shared" si="152"/>
        <v/>
      </c>
    </row>
    <row r="2132" spans="3:12" x14ac:dyDescent="0.2">
      <c r="C2132"/>
      <c r="L2132" s="9" t="str">
        <f t="shared" si="152"/>
        <v/>
      </c>
    </row>
    <row r="2133" spans="3:12" x14ac:dyDescent="0.2">
      <c r="C2133"/>
      <c r="L2133" s="9" t="str">
        <f t="shared" si="152"/>
        <v/>
      </c>
    </row>
    <row r="2134" spans="3:12" x14ac:dyDescent="0.2">
      <c r="C2134"/>
      <c r="L2134" s="9" t="str">
        <f t="shared" si="152"/>
        <v/>
      </c>
    </row>
    <row r="2135" spans="3:12" x14ac:dyDescent="0.2">
      <c r="C2135"/>
      <c r="L2135" s="9" t="str">
        <f t="shared" si="152"/>
        <v/>
      </c>
    </row>
    <row r="2136" spans="3:12" x14ac:dyDescent="0.2">
      <c r="C2136"/>
      <c r="L2136" s="9" t="str">
        <f t="shared" si="152"/>
        <v/>
      </c>
    </row>
    <row r="2137" spans="3:12" x14ac:dyDescent="0.2">
      <c r="C2137"/>
      <c r="L2137" s="9" t="str">
        <f t="shared" si="152"/>
        <v/>
      </c>
    </row>
    <row r="2138" spans="3:12" x14ac:dyDescent="0.2">
      <c r="C2138"/>
      <c r="L2138" s="9" t="str">
        <f t="shared" si="152"/>
        <v/>
      </c>
    </row>
    <row r="2139" spans="3:12" x14ac:dyDescent="0.2">
      <c r="C2139"/>
      <c r="L2139" s="9" t="str">
        <f t="shared" si="152"/>
        <v/>
      </c>
    </row>
    <row r="2140" spans="3:12" x14ac:dyDescent="0.2">
      <c r="C2140"/>
      <c r="L2140" s="9" t="str">
        <f t="shared" si="152"/>
        <v/>
      </c>
    </row>
    <row r="2141" spans="3:12" x14ac:dyDescent="0.2">
      <c r="C2141"/>
      <c r="L2141" s="9" t="str">
        <f t="shared" si="152"/>
        <v/>
      </c>
    </row>
    <row r="2142" spans="3:12" x14ac:dyDescent="0.2">
      <c r="C2142"/>
      <c r="L2142" s="9" t="str">
        <f t="shared" si="152"/>
        <v/>
      </c>
    </row>
    <row r="2143" spans="3:12" x14ac:dyDescent="0.2">
      <c r="C2143"/>
      <c r="L2143" s="9" t="str">
        <f t="shared" si="152"/>
        <v/>
      </c>
    </row>
    <row r="2144" spans="3:12" x14ac:dyDescent="0.2">
      <c r="C2144"/>
      <c r="L2144" s="9" t="str">
        <f t="shared" si="152"/>
        <v/>
      </c>
    </row>
    <row r="2145" spans="3:12" x14ac:dyDescent="0.2">
      <c r="C2145"/>
      <c r="L2145" s="9" t="str">
        <f t="shared" si="152"/>
        <v/>
      </c>
    </row>
    <row r="2146" spans="3:12" x14ac:dyDescent="0.2">
      <c r="C2146"/>
      <c r="L2146" s="9" t="str">
        <f t="shared" si="152"/>
        <v/>
      </c>
    </row>
    <row r="2147" spans="3:12" x14ac:dyDescent="0.2">
      <c r="C2147"/>
      <c r="L2147" s="9" t="str">
        <f t="shared" si="152"/>
        <v/>
      </c>
    </row>
    <row r="2148" spans="3:12" x14ac:dyDescent="0.2">
      <c r="C2148"/>
      <c r="L2148" s="9" t="str">
        <f t="shared" si="152"/>
        <v/>
      </c>
    </row>
    <row r="2149" spans="3:12" x14ac:dyDescent="0.2">
      <c r="C2149"/>
      <c r="L2149" s="9" t="str">
        <f t="shared" si="152"/>
        <v/>
      </c>
    </row>
    <row r="2150" spans="3:12" x14ac:dyDescent="0.2">
      <c r="C2150"/>
      <c r="L2150" s="9" t="str">
        <f t="shared" si="152"/>
        <v/>
      </c>
    </row>
    <row r="2151" spans="3:12" x14ac:dyDescent="0.2">
      <c r="C2151"/>
      <c r="L2151" s="9" t="str">
        <f t="shared" si="152"/>
        <v/>
      </c>
    </row>
    <row r="2152" spans="3:12" x14ac:dyDescent="0.2">
      <c r="C2152"/>
      <c r="L2152" s="9" t="str">
        <f t="shared" si="152"/>
        <v/>
      </c>
    </row>
    <row r="2153" spans="3:12" x14ac:dyDescent="0.2">
      <c r="C2153"/>
      <c r="L2153" s="9" t="str">
        <f t="shared" si="152"/>
        <v/>
      </c>
    </row>
    <row r="2154" spans="3:12" x14ac:dyDescent="0.2">
      <c r="C2154"/>
      <c r="L2154" s="9" t="str">
        <f t="shared" si="152"/>
        <v/>
      </c>
    </row>
    <row r="2155" spans="3:12" x14ac:dyDescent="0.2">
      <c r="C2155"/>
      <c r="L2155" s="9" t="str">
        <f t="shared" si="152"/>
        <v/>
      </c>
    </row>
    <row r="2156" spans="3:12" x14ac:dyDescent="0.2">
      <c r="C2156"/>
      <c r="L2156" s="9" t="str">
        <f t="shared" si="152"/>
        <v/>
      </c>
    </row>
    <row r="2157" spans="3:12" x14ac:dyDescent="0.2">
      <c r="C2157"/>
      <c r="L2157" s="9" t="str">
        <f t="shared" si="152"/>
        <v/>
      </c>
    </row>
    <row r="2158" spans="3:12" x14ac:dyDescent="0.2">
      <c r="C2158"/>
      <c r="L2158" s="9" t="str">
        <f t="shared" si="152"/>
        <v/>
      </c>
    </row>
    <row r="2159" spans="3:12" x14ac:dyDescent="0.2">
      <c r="C2159"/>
      <c r="L2159" s="9" t="str">
        <f t="shared" si="152"/>
        <v/>
      </c>
    </row>
    <row r="2160" spans="3:12" x14ac:dyDescent="0.2">
      <c r="C2160"/>
      <c r="L2160" s="9" t="str">
        <f t="shared" si="152"/>
        <v/>
      </c>
    </row>
    <row r="2161" spans="3:12" x14ac:dyDescent="0.2">
      <c r="C2161"/>
      <c r="L2161" s="9" t="str">
        <f t="shared" si="152"/>
        <v/>
      </c>
    </row>
    <row r="2162" spans="3:12" x14ac:dyDescent="0.2">
      <c r="C2162"/>
      <c r="L2162" s="9" t="str">
        <f t="shared" si="152"/>
        <v/>
      </c>
    </row>
    <row r="2163" spans="3:12" x14ac:dyDescent="0.2">
      <c r="C2163"/>
      <c r="L2163" s="9" t="str">
        <f t="shared" si="152"/>
        <v/>
      </c>
    </row>
    <row r="2164" spans="3:12" x14ac:dyDescent="0.2">
      <c r="C2164"/>
      <c r="L2164" s="9" t="str">
        <f t="shared" si="152"/>
        <v/>
      </c>
    </row>
    <row r="2165" spans="3:12" x14ac:dyDescent="0.2">
      <c r="C2165"/>
      <c r="L2165" s="9" t="str">
        <f t="shared" si="152"/>
        <v/>
      </c>
    </row>
    <row r="2166" spans="3:12" x14ac:dyDescent="0.2">
      <c r="C2166"/>
      <c r="L2166" s="9" t="str">
        <f t="shared" si="152"/>
        <v/>
      </c>
    </row>
    <row r="2167" spans="3:12" x14ac:dyDescent="0.2">
      <c r="C2167"/>
      <c r="L2167" s="9" t="str">
        <f t="shared" si="152"/>
        <v/>
      </c>
    </row>
    <row r="2168" spans="3:12" x14ac:dyDescent="0.2">
      <c r="C2168"/>
      <c r="L2168" s="9" t="str">
        <f t="shared" si="152"/>
        <v/>
      </c>
    </row>
    <row r="2169" spans="3:12" x14ac:dyDescent="0.2">
      <c r="C2169"/>
      <c r="L2169" s="9" t="str">
        <f t="shared" si="152"/>
        <v/>
      </c>
    </row>
    <row r="2170" spans="3:12" x14ac:dyDescent="0.2">
      <c r="C2170"/>
      <c r="L2170" s="9" t="str">
        <f t="shared" si="152"/>
        <v/>
      </c>
    </row>
    <row r="2171" spans="3:12" x14ac:dyDescent="0.2">
      <c r="C2171"/>
      <c r="L2171" s="9" t="str">
        <f t="shared" si="152"/>
        <v/>
      </c>
    </row>
    <row r="2172" spans="3:12" x14ac:dyDescent="0.2">
      <c r="C2172"/>
      <c r="L2172" s="9" t="str">
        <f t="shared" si="152"/>
        <v/>
      </c>
    </row>
    <row r="2173" spans="3:12" x14ac:dyDescent="0.2">
      <c r="C2173"/>
      <c r="L2173" s="9" t="str">
        <f t="shared" ref="L2173:L2236" si="153">IF(A2173="STOCK",E2173,IF(A2173="SOPTION",G2173,IF(A2173="LOPTION",F2173,"")))</f>
        <v/>
      </c>
    </row>
    <row r="2174" spans="3:12" x14ac:dyDescent="0.2">
      <c r="C2174"/>
      <c r="L2174" s="9" t="str">
        <f t="shared" si="153"/>
        <v/>
      </c>
    </row>
    <row r="2175" spans="3:12" x14ac:dyDescent="0.2">
      <c r="C2175"/>
      <c r="L2175" s="9" t="str">
        <f t="shared" si="153"/>
        <v/>
      </c>
    </row>
    <row r="2176" spans="3:12" x14ac:dyDescent="0.2">
      <c r="C2176"/>
      <c r="L2176" s="9" t="str">
        <f t="shared" si="153"/>
        <v/>
      </c>
    </row>
    <row r="2177" spans="3:12" x14ac:dyDescent="0.2">
      <c r="C2177"/>
      <c r="L2177" s="9" t="str">
        <f t="shared" si="153"/>
        <v/>
      </c>
    </row>
    <row r="2178" spans="3:12" x14ac:dyDescent="0.2">
      <c r="C2178"/>
      <c r="L2178" s="9" t="str">
        <f t="shared" si="153"/>
        <v/>
      </c>
    </row>
    <row r="2179" spans="3:12" x14ac:dyDescent="0.2">
      <c r="C2179"/>
      <c r="L2179" s="9" t="str">
        <f t="shared" si="153"/>
        <v/>
      </c>
    </row>
    <row r="2180" spans="3:12" x14ac:dyDescent="0.2">
      <c r="C2180"/>
      <c r="L2180" s="9" t="str">
        <f t="shared" si="153"/>
        <v/>
      </c>
    </row>
    <row r="2181" spans="3:12" x14ac:dyDescent="0.2">
      <c r="C2181"/>
      <c r="L2181" s="9" t="str">
        <f t="shared" si="153"/>
        <v/>
      </c>
    </row>
    <row r="2182" spans="3:12" x14ac:dyDescent="0.2">
      <c r="C2182"/>
      <c r="L2182" s="9" t="str">
        <f t="shared" si="153"/>
        <v/>
      </c>
    </row>
    <row r="2183" spans="3:12" x14ac:dyDescent="0.2">
      <c r="C2183"/>
      <c r="L2183" s="9" t="str">
        <f t="shared" si="153"/>
        <v/>
      </c>
    </row>
    <row r="2184" spans="3:12" x14ac:dyDescent="0.2">
      <c r="C2184"/>
      <c r="L2184" s="9" t="str">
        <f t="shared" si="153"/>
        <v/>
      </c>
    </row>
    <row r="2185" spans="3:12" x14ac:dyDescent="0.2">
      <c r="C2185"/>
      <c r="L2185" s="9" t="str">
        <f t="shared" si="153"/>
        <v/>
      </c>
    </row>
    <row r="2186" spans="3:12" x14ac:dyDescent="0.2">
      <c r="C2186"/>
      <c r="L2186" s="9" t="str">
        <f t="shared" si="153"/>
        <v/>
      </c>
    </row>
    <row r="2187" spans="3:12" x14ac:dyDescent="0.2">
      <c r="C2187"/>
      <c r="L2187" s="9" t="str">
        <f t="shared" si="153"/>
        <v/>
      </c>
    </row>
    <row r="2188" spans="3:12" x14ac:dyDescent="0.2">
      <c r="C2188"/>
      <c r="L2188" s="9" t="str">
        <f t="shared" si="153"/>
        <v/>
      </c>
    </row>
    <row r="2189" spans="3:12" x14ac:dyDescent="0.2">
      <c r="C2189"/>
      <c r="L2189" s="9" t="str">
        <f t="shared" si="153"/>
        <v/>
      </c>
    </row>
    <row r="2190" spans="3:12" x14ac:dyDescent="0.2">
      <c r="C2190"/>
      <c r="L2190" s="9" t="str">
        <f t="shared" si="153"/>
        <v/>
      </c>
    </row>
    <row r="2191" spans="3:12" x14ac:dyDescent="0.2">
      <c r="C2191"/>
      <c r="L2191" s="9" t="str">
        <f t="shared" si="153"/>
        <v/>
      </c>
    </row>
    <row r="2192" spans="3:12" x14ac:dyDescent="0.2">
      <c r="C2192"/>
      <c r="L2192" s="9" t="str">
        <f t="shared" si="153"/>
        <v/>
      </c>
    </row>
    <row r="2193" spans="3:12" x14ac:dyDescent="0.2">
      <c r="C2193"/>
      <c r="L2193" s="9" t="str">
        <f t="shared" si="153"/>
        <v/>
      </c>
    </row>
    <row r="2194" spans="3:12" x14ac:dyDescent="0.2">
      <c r="C2194"/>
      <c r="L2194" s="9" t="str">
        <f t="shared" si="153"/>
        <v/>
      </c>
    </row>
    <row r="2195" spans="3:12" x14ac:dyDescent="0.2">
      <c r="C2195"/>
      <c r="L2195" s="9" t="str">
        <f t="shared" si="153"/>
        <v/>
      </c>
    </row>
    <row r="2196" spans="3:12" x14ac:dyDescent="0.2">
      <c r="C2196"/>
      <c r="L2196" s="9" t="str">
        <f t="shared" si="153"/>
        <v/>
      </c>
    </row>
    <row r="2197" spans="3:12" x14ac:dyDescent="0.2">
      <c r="C2197"/>
      <c r="L2197" s="9" t="str">
        <f t="shared" si="153"/>
        <v/>
      </c>
    </row>
    <row r="2198" spans="3:12" x14ac:dyDescent="0.2">
      <c r="C2198"/>
      <c r="L2198" s="9" t="str">
        <f t="shared" si="153"/>
        <v/>
      </c>
    </row>
    <row r="2199" spans="3:12" x14ac:dyDescent="0.2">
      <c r="C2199"/>
      <c r="L2199" s="9" t="str">
        <f t="shared" si="153"/>
        <v/>
      </c>
    </row>
    <row r="2200" spans="3:12" x14ac:dyDescent="0.2">
      <c r="C2200"/>
      <c r="L2200" s="9" t="str">
        <f t="shared" si="153"/>
        <v/>
      </c>
    </row>
    <row r="2201" spans="3:12" x14ac:dyDescent="0.2">
      <c r="C2201"/>
      <c r="L2201" s="9" t="str">
        <f t="shared" si="153"/>
        <v/>
      </c>
    </row>
    <row r="2202" spans="3:12" x14ac:dyDescent="0.2">
      <c r="C2202"/>
      <c r="L2202" s="9" t="str">
        <f t="shared" si="153"/>
        <v/>
      </c>
    </row>
    <row r="2203" spans="3:12" x14ac:dyDescent="0.2">
      <c r="C2203"/>
      <c r="L2203" s="9" t="str">
        <f t="shared" si="153"/>
        <v/>
      </c>
    </row>
    <row r="2204" spans="3:12" x14ac:dyDescent="0.2">
      <c r="C2204"/>
      <c r="L2204" s="9" t="str">
        <f t="shared" si="153"/>
        <v/>
      </c>
    </row>
    <row r="2205" spans="3:12" x14ac:dyDescent="0.2">
      <c r="C2205"/>
      <c r="L2205" s="9" t="str">
        <f t="shared" si="153"/>
        <v/>
      </c>
    </row>
    <row r="2206" spans="3:12" x14ac:dyDescent="0.2">
      <c r="C2206"/>
      <c r="L2206" s="9" t="str">
        <f t="shared" si="153"/>
        <v/>
      </c>
    </row>
    <row r="2207" spans="3:12" x14ac:dyDescent="0.2">
      <c r="C2207"/>
      <c r="L2207" s="9" t="str">
        <f t="shared" si="153"/>
        <v/>
      </c>
    </row>
    <row r="2208" spans="3:12" x14ac:dyDescent="0.2">
      <c r="C2208"/>
      <c r="L2208" s="9" t="str">
        <f t="shared" si="153"/>
        <v/>
      </c>
    </row>
    <row r="2209" spans="3:12" x14ac:dyDescent="0.2">
      <c r="C2209"/>
      <c r="L2209" s="9" t="str">
        <f t="shared" si="153"/>
        <v/>
      </c>
    </row>
    <row r="2210" spans="3:12" x14ac:dyDescent="0.2">
      <c r="C2210"/>
      <c r="L2210" s="9" t="str">
        <f t="shared" si="153"/>
        <v/>
      </c>
    </row>
    <row r="2211" spans="3:12" x14ac:dyDescent="0.2">
      <c r="C2211"/>
      <c r="L2211" s="9" t="str">
        <f t="shared" si="153"/>
        <v/>
      </c>
    </row>
    <row r="2212" spans="3:12" x14ac:dyDescent="0.2">
      <c r="C2212"/>
      <c r="L2212" s="9" t="str">
        <f t="shared" si="153"/>
        <v/>
      </c>
    </row>
    <row r="2213" spans="3:12" x14ac:dyDescent="0.2">
      <c r="C2213"/>
      <c r="L2213" s="9" t="str">
        <f t="shared" si="153"/>
        <v/>
      </c>
    </row>
    <row r="2214" spans="3:12" x14ac:dyDescent="0.2">
      <c r="C2214"/>
      <c r="L2214" s="9" t="str">
        <f t="shared" si="153"/>
        <v/>
      </c>
    </row>
    <row r="2215" spans="3:12" x14ac:dyDescent="0.2">
      <c r="C2215"/>
      <c r="L2215" s="9" t="str">
        <f t="shared" si="153"/>
        <v/>
      </c>
    </row>
    <row r="2216" spans="3:12" x14ac:dyDescent="0.2">
      <c r="C2216"/>
      <c r="L2216" s="9" t="str">
        <f t="shared" si="153"/>
        <v/>
      </c>
    </row>
    <row r="2217" spans="3:12" x14ac:dyDescent="0.2">
      <c r="C2217"/>
      <c r="L2217" s="9" t="str">
        <f t="shared" si="153"/>
        <v/>
      </c>
    </row>
    <row r="2218" spans="3:12" x14ac:dyDescent="0.2">
      <c r="C2218"/>
      <c r="L2218" s="9" t="str">
        <f t="shared" si="153"/>
        <v/>
      </c>
    </row>
    <row r="2219" spans="3:12" x14ac:dyDescent="0.2">
      <c r="C2219"/>
      <c r="L2219" s="9" t="str">
        <f t="shared" si="153"/>
        <v/>
      </c>
    </row>
    <row r="2220" spans="3:12" x14ac:dyDescent="0.2">
      <c r="C2220"/>
      <c r="L2220" s="9" t="str">
        <f t="shared" si="153"/>
        <v/>
      </c>
    </row>
    <row r="2221" spans="3:12" x14ac:dyDescent="0.2">
      <c r="C2221"/>
      <c r="L2221" s="9" t="str">
        <f t="shared" si="153"/>
        <v/>
      </c>
    </row>
    <row r="2222" spans="3:12" x14ac:dyDescent="0.2">
      <c r="C2222"/>
      <c r="L2222" s="9" t="str">
        <f t="shared" si="153"/>
        <v/>
      </c>
    </row>
    <row r="2223" spans="3:12" x14ac:dyDescent="0.2">
      <c r="C2223"/>
      <c r="L2223" s="9" t="str">
        <f t="shared" si="153"/>
        <v/>
      </c>
    </row>
    <row r="2224" spans="3:12" x14ac:dyDescent="0.2">
      <c r="C2224"/>
      <c r="L2224" s="9" t="str">
        <f t="shared" si="153"/>
        <v/>
      </c>
    </row>
    <row r="2225" spans="3:12" x14ac:dyDescent="0.2">
      <c r="C2225"/>
      <c r="L2225" s="9" t="str">
        <f t="shared" si="153"/>
        <v/>
      </c>
    </row>
    <row r="2226" spans="3:12" x14ac:dyDescent="0.2">
      <c r="C2226"/>
      <c r="L2226" s="9" t="str">
        <f t="shared" si="153"/>
        <v/>
      </c>
    </row>
    <row r="2227" spans="3:12" x14ac:dyDescent="0.2">
      <c r="C2227"/>
      <c r="L2227" s="9" t="str">
        <f t="shared" si="153"/>
        <v/>
      </c>
    </row>
    <row r="2228" spans="3:12" x14ac:dyDescent="0.2">
      <c r="C2228"/>
      <c r="L2228" s="9" t="str">
        <f t="shared" si="153"/>
        <v/>
      </c>
    </row>
    <row r="2229" spans="3:12" x14ac:dyDescent="0.2">
      <c r="C2229"/>
      <c r="L2229" s="9" t="str">
        <f t="shared" si="153"/>
        <v/>
      </c>
    </row>
    <row r="2230" spans="3:12" x14ac:dyDescent="0.2">
      <c r="C2230"/>
      <c r="L2230" s="9" t="str">
        <f t="shared" si="153"/>
        <v/>
      </c>
    </row>
    <row r="2231" spans="3:12" x14ac:dyDescent="0.2">
      <c r="C2231"/>
      <c r="L2231" s="9" t="str">
        <f t="shared" si="153"/>
        <v/>
      </c>
    </row>
    <row r="2232" spans="3:12" x14ac:dyDescent="0.2">
      <c r="C2232"/>
      <c r="L2232" s="9" t="str">
        <f t="shared" si="153"/>
        <v/>
      </c>
    </row>
    <row r="2233" spans="3:12" x14ac:dyDescent="0.2">
      <c r="C2233"/>
      <c r="L2233" s="9" t="str">
        <f t="shared" si="153"/>
        <v/>
      </c>
    </row>
    <row r="2234" spans="3:12" x14ac:dyDescent="0.2">
      <c r="C2234"/>
      <c r="L2234" s="9" t="str">
        <f t="shared" si="153"/>
        <v/>
      </c>
    </row>
    <row r="2235" spans="3:12" x14ac:dyDescent="0.2">
      <c r="C2235"/>
      <c r="L2235" s="9" t="str">
        <f t="shared" si="153"/>
        <v/>
      </c>
    </row>
    <row r="2236" spans="3:12" x14ac:dyDescent="0.2">
      <c r="C2236"/>
      <c r="L2236" s="9" t="str">
        <f t="shared" si="153"/>
        <v/>
      </c>
    </row>
    <row r="2237" spans="3:12" x14ac:dyDescent="0.2">
      <c r="C2237"/>
      <c r="L2237" s="9" t="str">
        <f t="shared" ref="L2237:L2300" si="154">IF(A2237="STOCK",E2237,IF(A2237="SOPTION",G2237,IF(A2237="LOPTION",F2237,"")))</f>
        <v/>
      </c>
    </row>
    <row r="2238" spans="3:12" x14ac:dyDescent="0.2">
      <c r="C2238"/>
      <c r="L2238" s="9" t="str">
        <f t="shared" si="154"/>
        <v/>
      </c>
    </row>
    <row r="2239" spans="3:12" x14ac:dyDescent="0.2">
      <c r="C2239"/>
      <c r="L2239" s="9" t="str">
        <f t="shared" si="154"/>
        <v/>
      </c>
    </row>
    <row r="2240" spans="3:12" x14ac:dyDescent="0.2">
      <c r="C2240"/>
      <c r="L2240" s="9" t="str">
        <f t="shared" si="154"/>
        <v/>
      </c>
    </row>
    <row r="2241" spans="3:12" x14ac:dyDescent="0.2">
      <c r="C2241"/>
      <c r="L2241" s="9" t="str">
        <f t="shared" si="154"/>
        <v/>
      </c>
    </row>
    <row r="2242" spans="3:12" x14ac:dyDescent="0.2">
      <c r="C2242"/>
      <c r="L2242" s="9" t="str">
        <f t="shared" si="154"/>
        <v/>
      </c>
    </row>
    <row r="2243" spans="3:12" x14ac:dyDescent="0.2">
      <c r="C2243"/>
      <c r="L2243" s="9" t="str">
        <f t="shared" si="154"/>
        <v/>
      </c>
    </row>
    <row r="2244" spans="3:12" x14ac:dyDescent="0.2">
      <c r="C2244"/>
      <c r="L2244" s="9" t="str">
        <f t="shared" si="154"/>
        <v/>
      </c>
    </row>
    <row r="2245" spans="3:12" x14ac:dyDescent="0.2">
      <c r="C2245"/>
      <c r="L2245" s="9" t="str">
        <f t="shared" si="154"/>
        <v/>
      </c>
    </row>
    <row r="2246" spans="3:12" x14ac:dyDescent="0.2">
      <c r="C2246"/>
      <c r="L2246" s="9" t="str">
        <f t="shared" si="154"/>
        <v/>
      </c>
    </row>
    <row r="2247" spans="3:12" x14ac:dyDescent="0.2">
      <c r="C2247"/>
      <c r="L2247" s="9" t="str">
        <f t="shared" si="154"/>
        <v/>
      </c>
    </row>
    <row r="2248" spans="3:12" x14ac:dyDescent="0.2">
      <c r="C2248"/>
      <c r="L2248" s="9" t="str">
        <f t="shared" si="154"/>
        <v/>
      </c>
    </row>
    <row r="2249" spans="3:12" x14ac:dyDescent="0.2">
      <c r="C2249"/>
      <c r="L2249" s="9" t="str">
        <f t="shared" si="154"/>
        <v/>
      </c>
    </row>
    <row r="2250" spans="3:12" x14ac:dyDescent="0.2">
      <c r="C2250"/>
      <c r="L2250" s="9" t="str">
        <f t="shared" si="154"/>
        <v/>
      </c>
    </row>
    <row r="2251" spans="3:12" x14ac:dyDescent="0.2">
      <c r="C2251"/>
      <c r="L2251" s="9" t="str">
        <f t="shared" si="154"/>
        <v/>
      </c>
    </row>
    <row r="2252" spans="3:12" x14ac:dyDescent="0.2">
      <c r="C2252"/>
      <c r="L2252" s="9" t="str">
        <f t="shared" si="154"/>
        <v/>
      </c>
    </row>
    <row r="2253" spans="3:12" x14ac:dyDescent="0.2">
      <c r="C2253"/>
      <c r="L2253" s="9" t="str">
        <f t="shared" si="154"/>
        <v/>
      </c>
    </row>
    <row r="2254" spans="3:12" x14ac:dyDescent="0.2">
      <c r="C2254"/>
      <c r="L2254" s="9" t="str">
        <f t="shared" si="154"/>
        <v/>
      </c>
    </row>
    <row r="2255" spans="3:12" x14ac:dyDescent="0.2">
      <c r="C2255"/>
      <c r="L2255" s="9" t="str">
        <f t="shared" si="154"/>
        <v/>
      </c>
    </row>
    <row r="2256" spans="3:12" x14ac:dyDescent="0.2">
      <c r="C2256"/>
      <c r="L2256" s="9" t="str">
        <f t="shared" si="154"/>
        <v/>
      </c>
    </row>
    <row r="2257" spans="3:12" x14ac:dyDescent="0.2">
      <c r="C2257"/>
      <c r="L2257" s="9" t="str">
        <f t="shared" si="154"/>
        <v/>
      </c>
    </row>
    <row r="2258" spans="3:12" x14ac:dyDescent="0.2">
      <c r="C2258"/>
      <c r="L2258" s="9" t="str">
        <f t="shared" si="154"/>
        <v/>
      </c>
    </row>
    <row r="2259" spans="3:12" x14ac:dyDescent="0.2">
      <c r="C2259"/>
      <c r="L2259" s="9" t="str">
        <f t="shared" si="154"/>
        <v/>
      </c>
    </row>
    <row r="2260" spans="3:12" x14ac:dyDescent="0.2">
      <c r="C2260"/>
      <c r="L2260" s="9" t="str">
        <f t="shared" si="154"/>
        <v/>
      </c>
    </row>
    <row r="2261" spans="3:12" x14ac:dyDescent="0.2">
      <c r="C2261"/>
      <c r="L2261" s="9" t="str">
        <f t="shared" si="154"/>
        <v/>
      </c>
    </row>
    <row r="2262" spans="3:12" x14ac:dyDescent="0.2">
      <c r="C2262"/>
      <c r="L2262" s="9" t="str">
        <f t="shared" si="154"/>
        <v/>
      </c>
    </row>
    <row r="2263" spans="3:12" x14ac:dyDescent="0.2">
      <c r="C2263"/>
      <c r="L2263" s="9" t="str">
        <f t="shared" si="154"/>
        <v/>
      </c>
    </row>
    <row r="2264" spans="3:12" x14ac:dyDescent="0.2">
      <c r="C2264"/>
      <c r="L2264" s="9" t="str">
        <f t="shared" si="154"/>
        <v/>
      </c>
    </row>
    <row r="2265" spans="3:12" x14ac:dyDescent="0.2">
      <c r="C2265"/>
      <c r="L2265" s="9" t="str">
        <f t="shared" si="154"/>
        <v/>
      </c>
    </row>
    <row r="2266" spans="3:12" x14ac:dyDescent="0.2">
      <c r="C2266"/>
      <c r="L2266" s="9" t="str">
        <f t="shared" si="154"/>
        <v/>
      </c>
    </row>
    <row r="2267" spans="3:12" x14ac:dyDescent="0.2">
      <c r="C2267"/>
      <c r="L2267" s="9" t="str">
        <f t="shared" si="154"/>
        <v/>
      </c>
    </row>
    <row r="2268" spans="3:12" x14ac:dyDescent="0.2">
      <c r="C2268"/>
      <c r="L2268" s="9" t="str">
        <f t="shared" si="154"/>
        <v/>
      </c>
    </row>
    <row r="2269" spans="3:12" x14ac:dyDescent="0.2">
      <c r="C2269"/>
      <c r="L2269" s="9" t="str">
        <f t="shared" si="154"/>
        <v/>
      </c>
    </row>
    <row r="2270" spans="3:12" x14ac:dyDescent="0.2">
      <c r="C2270"/>
      <c r="L2270" s="9" t="str">
        <f t="shared" si="154"/>
        <v/>
      </c>
    </row>
    <row r="2271" spans="3:12" x14ac:dyDescent="0.2">
      <c r="C2271"/>
      <c r="L2271" s="9" t="str">
        <f t="shared" si="154"/>
        <v/>
      </c>
    </row>
    <row r="2272" spans="3:12" x14ac:dyDescent="0.2">
      <c r="C2272"/>
      <c r="L2272" s="9" t="str">
        <f t="shared" si="154"/>
        <v/>
      </c>
    </row>
    <row r="2273" spans="3:12" x14ac:dyDescent="0.2">
      <c r="C2273"/>
      <c r="L2273" s="9" t="str">
        <f t="shared" si="154"/>
        <v/>
      </c>
    </row>
    <row r="2274" spans="3:12" x14ac:dyDescent="0.2">
      <c r="C2274"/>
      <c r="L2274" s="9" t="str">
        <f t="shared" si="154"/>
        <v/>
      </c>
    </row>
    <row r="2275" spans="3:12" x14ac:dyDescent="0.2">
      <c r="C2275"/>
      <c r="L2275" s="9" t="str">
        <f t="shared" si="154"/>
        <v/>
      </c>
    </row>
    <row r="2276" spans="3:12" x14ac:dyDescent="0.2">
      <c r="C2276"/>
      <c r="L2276" s="9" t="str">
        <f t="shared" si="154"/>
        <v/>
      </c>
    </row>
    <row r="2277" spans="3:12" x14ac:dyDescent="0.2">
      <c r="C2277"/>
      <c r="L2277" s="9" t="str">
        <f t="shared" si="154"/>
        <v/>
      </c>
    </row>
    <row r="2278" spans="3:12" x14ac:dyDescent="0.2">
      <c r="C2278"/>
      <c r="L2278" s="9" t="str">
        <f t="shared" si="154"/>
        <v/>
      </c>
    </row>
    <row r="2279" spans="3:12" x14ac:dyDescent="0.2">
      <c r="C2279"/>
      <c r="L2279" s="9" t="str">
        <f t="shared" si="154"/>
        <v/>
      </c>
    </row>
    <row r="2280" spans="3:12" x14ac:dyDescent="0.2">
      <c r="C2280"/>
      <c r="L2280" s="9" t="str">
        <f t="shared" si="154"/>
        <v/>
      </c>
    </row>
    <row r="2281" spans="3:12" x14ac:dyDescent="0.2">
      <c r="C2281"/>
      <c r="L2281" s="9" t="str">
        <f t="shared" si="154"/>
        <v/>
      </c>
    </row>
    <row r="2282" spans="3:12" x14ac:dyDescent="0.2">
      <c r="C2282"/>
      <c r="L2282" s="9" t="str">
        <f t="shared" si="154"/>
        <v/>
      </c>
    </row>
    <row r="2283" spans="3:12" x14ac:dyDescent="0.2">
      <c r="C2283"/>
      <c r="L2283" s="9" t="str">
        <f t="shared" si="154"/>
        <v/>
      </c>
    </row>
    <row r="2284" spans="3:12" x14ac:dyDescent="0.2">
      <c r="C2284"/>
      <c r="L2284" s="9" t="str">
        <f t="shared" si="154"/>
        <v/>
      </c>
    </row>
    <row r="2285" spans="3:12" x14ac:dyDescent="0.2">
      <c r="C2285"/>
      <c r="L2285" s="9" t="str">
        <f t="shared" si="154"/>
        <v/>
      </c>
    </row>
    <row r="2286" spans="3:12" x14ac:dyDescent="0.2">
      <c r="C2286"/>
      <c r="L2286" s="9" t="str">
        <f t="shared" si="154"/>
        <v/>
      </c>
    </row>
    <row r="2287" spans="3:12" x14ac:dyDescent="0.2">
      <c r="C2287"/>
      <c r="L2287" s="9" t="str">
        <f t="shared" si="154"/>
        <v/>
      </c>
    </row>
    <row r="2288" spans="3:12" x14ac:dyDescent="0.2">
      <c r="C2288"/>
      <c r="L2288" s="9" t="str">
        <f t="shared" si="154"/>
        <v/>
      </c>
    </row>
    <row r="2289" spans="3:12" x14ac:dyDescent="0.2">
      <c r="C2289"/>
      <c r="L2289" s="9" t="str">
        <f t="shared" si="154"/>
        <v/>
      </c>
    </row>
    <row r="2290" spans="3:12" x14ac:dyDescent="0.2">
      <c r="C2290"/>
      <c r="L2290" s="9" t="str">
        <f t="shared" si="154"/>
        <v/>
      </c>
    </row>
    <row r="2291" spans="3:12" x14ac:dyDescent="0.2">
      <c r="C2291"/>
      <c r="L2291" s="9" t="str">
        <f t="shared" si="154"/>
        <v/>
      </c>
    </row>
    <row r="2292" spans="3:12" x14ac:dyDescent="0.2">
      <c r="C2292"/>
      <c r="L2292" s="9" t="str">
        <f t="shared" si="154"/>
        <v/>
      </c>
    </row>
    <row r="2293" spans="3:12" x14ac:dyDescent="0.2">
      <c r="C2293"/>
      <c r="L2293" s="9" t="str">
        <f t="shared" si="154"/>
        <v/>
      </c>
    </row>
    <row r="2294" spans="3:12" x14ac:dyDescent="0.2">
      <c r="C2294"/>
      <c r="L2294" s="9" t="str">
        <f t="shared" si="154"/>
        <v/>
      </c>
    </row>
    <row r="2295" spans="3:12" x14ac:dyDescent="0.2">
      <c r="C2295"/>
      <c r="L2295" s="9" t="str">
        <f t="shared" si="154"/>
        <v/>
      </c>
    </row>
    <row r="2296" spans="3:12" x14ac:dyDescent="0.2">
      <c r="C2296"/>
      <c r="L2296" s="9" t="str">
        <f t="shared" si="154"/>
        <v/>
      </c>
    </row>
    <row r="2297" spans="3:12" x14ac:dyDescent="0.2">
      <c r="C2297"/>
      <c r="L2297" s="9" t="str">
        <f t="shared" si="154"/>
        <v/>
      </c>
    </row>
    <row r="2298" spans="3:12" x14ac:dyDescent="0.2">
      <c r="C2298"/>
      <c r="L2298" s="9" t="str">
        <f t="shared" si="154"/>
        <v/>
      </c>
    </row>
    <row r="2299" spans="3:12" x14ac:dyDescent="0.2">
      <c r="C2299"/>
      <c r="L2299" s="9" t="str">
        <f t="shared" si="154"/>
        <v/>
      </c>
    </row>
    <row r="2300" spans="3:12" x14ac:dyDescent="0.2">
      <c r="C2300"/>
      <c r="L2300" s="9" t="str">
        <f t="shared" si="154"/>
        <v/>
      </c>
    </row>
    <row r="2301" spans="3:12" x14ac:dyDescent="0.2">
      <c r="C2301"/>
      <c r="L2301" s="9" t="str">
        <f t="shared" ref="L2301:L2364" si="155">IF(A2301="STOCK",E2301,IF(A2301="SOPTION",G2301,IF(A2301="LOPTION",F2301,"")))</f>
        <v/>
      </c>
    </row>
    <row r="2302" spans="3:12" x14ac:dyDescent="0.2">
      <c r="C2302"/>
      <c r="L2302" s="9" t="str">
        <f t="shared" si="155"/>
        <v/>
      </c>
    </row>
    <row r="2303" spans="3:12" x14ac:dyDescent="0.2">
      <c r="C2303"/>
      <c r="L2303" s="9" t="str">
        <f t="shared" si="155"/>
        <v/>
      </c>
    </row>
    <row r="2304" spans="3:12" x14ac:dyDescent="0.2">
      <c r="C2304"/>
      <c r="L2304" s="9" t="str">
        <f t="shared" si="155"/>
        <v/>
      </c>
    </row>
    <row r="2305" spans="3:12" x14ac:dyDescent="0.2">
      <c r="C2305"/>
      <c r="L2305" s="9" t="str">
        <f t="shared" si="155"/>
        <v/>
      </c>
    </row>
    <row r="2306" spans="3:12" x14ac:dyDescent="0.2">
      <c r="C2306"/>
      <c r="L2306" s="9" t="str">
        <f t="shared" si="155"/>
        <v/>
      </c>
    </row>
    <row r="2307" spans="3:12" x14ac:dyDescent="0.2">
      <c r="C2307"/>
      <c r="L2307" s="9" t="str">
        <f t="shared" si="155"/>
        <v/>
      </c>
    </row>
    <row r="2308" spans="3:12" x14ac:dyDescent="0.2">
      <c r="C2308"/>
      <c r="L2308" s="9" t="str">
        <f t="shared" si="155"/>
        <v/>
      </c>
    </row>
    <row r="2309" spans="3:12" x14ac:dyDescent="0.2">
      <c r="C2309"/>
      <c r="L2309" s="9" t="str">
        <f t="shared" si="155"/>
        <v/>
      </c>
    </row>
    <row r="2310" spans="3:12" x14ac:dyDescent="0.2">
      <c r="C2310"/>
      <c r="L2310" s="9" t="str">
        <f t="shared" si="155"/>
        <v/>
      </c>
    </row>
    <row r="2311" spans="3:12" x14ac:dyDescent="0.2">
      <c r="C2311"/>
      <c r="L2311" s="9" t="str">
        <f t="shared" si="155"/>
        <v/>
      </c>
    </row>
    <row r="2312" spans="3:12" x14ac:dyDescent="0.2">
      <c r="C2312"/>
      <c r="L2312" s="9" t="str">
        <f t="shared" si="155"/>
        <v/>
      </c>
    </row>
    <row r="2313" spans="3:12" x14ac:dyDescent="0.2">
      <c r="C2313"/>
      <c r="L2313" s="9" t="str">
        <f t="shared" si="155"/>
        <v/>
      </c>
    </row>
    <row r="2314" spans="3:12" x14ac:dyDescent="0.2">
      <c r="C2314"/>
      <c r="L2314" s="9" t="str">
        <f t="shared" si="155"/>
        <v/>
      </c>
    </row>
    <row r="2315" spans="3:12" x14ac:dyDescent="0.2">
      <c r="C2315"/>
      <c r="L2315" s="9" t="str">
        <f t="shared" si="155"/>
        <v/>
      </c>
    </row>
    <row r="2316" spans="3:12" x14ac:dyDescent="0.2">
      <c r="C2316"/>
      <c r="L2316" s="9" t="str">
        <f t="shared" si="155"/>
        <v/>
      </c>
    </row>
    <row r="2317" spans="3:12" x14ac:dyDescent="0.2">
      <c r="C2317"/>
      <c r="L2317" s="9" t="str">
        <f t="shared" si="155"/>
        <v/>
      </c>
    </row>
    <row r="2318" spans="3:12" x14ac:dyDescent="0.2">
      <c r="C2318"/>
      <c r="L2318" s="9" t="str">
        <f t="shared" si="155"/>
        <v/>
      </c>
    </row>
    <row r="2319" spans="3:12" x14ac:dyDescent="0.2">
      <c r="C2319"/>
      <c r="L2319" s="9" t="str">
        <f t="shared" si="155"/>
        <v/>
      </c>
    </row>
    <row r="2320" spans="3:12" x14ac:dyDescent="0.2">
      <c r="C2320"/>
      <c r="L2320" s="9" t="str">
        <f t="shared" si="155"/>
        <v/>
      </c>
    </row>
    <row r="2321" spans="3:12" x14ac:dyDescent="0.2">
      <c r="C2321"/>
      <c r="L2321" s="9" t="str">
        <f t="shared" si="155"/>
        <v/>
      </c>
    </row>
    <row r="2322" spans="3:12" x14ac:dyDescent="0.2">
      <c r="C2322"/>
      <c r="L2322" s="9" t="str">
        <f t="shared" si="155"/>
        <v/>
      </c>
    </row>
    <row r="2323" spans="3:12" x14ac:dyDescent="0.2">
      <c r="C2323"/>
      <c r="L2323" s="9" t="str">
        <f t="shared" si="155"/>
        <v/>
      </c>
    </row>
    <row r="2324" spans="3:12" x14ac:dyDescent="0.2">
      <c r="C2324"/>
      <c r="L2324" s="9" t="str">
        <f t="shared" si="155"/>
        <v/>
      </c>
    </row>
    <row r="2325" spans="3:12" x14ac:dyDescent="0.2">
      <c r="C2325"/>
      <c r="L2325" s="9" t="str">
        <f t="shared" si="155"/>
        <v/>
      </c>
    </row>
    <row r="2326" spans="3:12" x14ac:dyDescent="0.2">
      <c r="C2326"/>
      <c r="L2326" s="9" t="str">
        <f t="shared" si="155"/>
        <v/>
      </c>
    </row>
    <row r="2327" spans="3:12" x14ac:dyDescent="0.2">
      <c r="C2327"/>
      <c r="L2327" s="9" t="str">
        <f t="shared" si="155"/>
        <v/>
      </c>
    </row>
    <row r="2328" spans="3:12" x14ac:dyDescent="0.2">
      <c r="C2328"/>
      <c r="L2328" s="9" t="str">
        <f t="shared" si="155"/>
        <v/>
      </c>
    </row>
    <row r="2329" spans="3:12" x14ac:dyDescent="0.2">
      <c r="C2329"/>
      <c r="L2329" s="9" t="str">
        <f t="shared" si="155"/>
        <v/>
      </c>
    </row>
    <row r="2330" spans="3:12" x14ac:dyDescent="0.2">
      <c r="C2330"/>
      <c r="L2330" s="9" t="str">
        <f t="shared" si="155"/>
        <v/>
      </c>
    </row>
    <row r="2331" spans="3:12" x14ac:dyDescent="0.2">
      <c r="C2331"/>
      <c r="L2331" s="9" t="str">
        <f t="shared" si="155"/>
        <v/>
      </c>
    </row>
    <row r="2332" spans="3:12" x14ac:dyDescent="0.2">
      <c r="C2332"/>
      <c r="L2332" s="9" t="str">
        <f t="shared" si="155"/>
        <v/>
      </c>
    </row>
    <row r="2333" spans="3:12" x14ac:dyDescent="0.2">
      <c r="C2333"/>
      <c r="L2333" s="9" t="str">
        <f t="shared" si="155"/>
        <v/>
      </c>
    </row>
    <row r="2334" spans="3:12" x14ac:dyDescent="0.2">
      <c r="C2334"/>
      <c r="L2334" s="9" t="str">
        <f t="shared" si="155"/>
        <v/>
      </c>
    </row>
    <row r="2335" spans="3:12" x14ac:dyDescent="0.2">
      <c r="C2335"/>
      <c r="L2335" s="9" t="str">
        <f t="shared" si="155"/>
        <v/>
      </c>
    </row>
    <row r="2336" spans="3:12" x14ac:dyDescent="0.2">
      <c r="C2336"/>
      <c r="L2336" s="9" t="str">
        <f t="shared" si="155"/>
        <v/>
      </c>
    </row>
    <row r="2337" spans="3:12" x14ac:dyDescent="0.2">
      <c r="C2337"/>
      <c r="L2337" s="9" t="str">
        <f t="shared" si="155"/>
        <v/>
      </c>
    </row>
    <row r="2338" spans="3:12" x14ac:dyDescent="0.2">
      <c r="C2338"/>
      <c r="L2338" s="9" t="str">
        <f t="shared" si="155"/>
        <v/>
      </c>
    </row>
    <row r="2339" spans="3:12" x14ac:dyDescent="0.2">
      <c r="C2339"/>
      <c r="L2339" s="9" t="str">
        <f t="shared" si="155"/>
        <v/>
      </c>
    </row>
    <row r="2340" spans="3:12" x14ac:dyDescent="0.2">
      <c r="C2340"/>
      <c r="L2340" s="9" t="str">
        <f t="shared" si="155"/>
        <v/>
      </c>
    </row>
    <row r="2341" spans="3:12" x14ac:dyDescent="0.2">
      <c r="C2341"/>
      <c r="L2341" s="9" t="str">
        <f t="shared" si="155"/>
        <v/>
      </c>
    </row>
    <row r="2342" spans="3:12" x14ac:dyDescent="0.2">
      <c r="C2342"/>
      <c r="L2342" s="9" t="str">
        <f t="shared" si="155"/>
        <v/>
      </c>
    </row>
    <row r="2343" spans="3:12" x14ac:dyDescent="0.2">
      <c r="C2343"/>
      <c r="L2343" s="9" t="str">
        <f t="shared" si="155"/>
        <v/>
      </c>
    </row>
    <row r="2344" spans="3:12" x14ac:dyDescent="0.2">
      <c r="C2344"/>
      <c r="L2344" s="9" t="str">
        <f t="shared" si="155"/>
        <v/>
      </c>
    </row>
    <row r="2345" spans="3:12" x14ac:dyDescent="0.2">
      <c r="C2345"/>
      <c r="L2345" s="9" t="str">
        <f t="shared" si="155"/>
        <v/>
      </c>
    </row>
    <row r="2346" spans="3:12" x14ac:dyDescent="0.2">
      <c r="C2346"/>
      <c r="L2346" s="9" t="str">
        <f t="shared" si="155"/>
        <v/>
      </c>
    </row>
    <row r="2347" spans="3:12" x14ac:dyDescent="0.2">
      <c r="C2347"/>
      <c r="L2347" s="9" t="str">
        <f t="shared" si="155"/>
        <v/>
      </c>
    </row>
    <row r="2348" spans="3:12" x14ac:dyDescent="0.2">
      <c r="C2348"/>
      <c r="L2348" s="9" t="str">
        <f t="shared" si="155"/>
        <v/>
      </c>
    </row>
    <row r="2349" spans="3:12" x14ac:dyDescent="0.2">
      <c r="C2349"/>
      <c r="L2349" s="9" t="str">
        <f t="shared" si="155"/>
        <v/>
      </c>
    </row>
    <row r="2350" spans="3:12" x14ac:dyDescent="0.2">
      <c r="C2350"/>
      <c r="L2350" s="9" t="str">
        <f t="shared" si="155"/>
        <v/>
      </c>
    </row>
    <row r="2351" spans="3:12" x14ac:dyDescent="0.2">
      <c r="C2351"/>
      <c r="L2351" s="9" t="str">
        <f t="shared" si="155"/>
        <v/>
      </c>
    </row>
    <row r="2352" spans="3:12" x14ac:dyDescent="0.2">
      <c r="C2352"/>
      <c r="L2352" s="9" t="str">
        <f t="shared" si="155"/>
        <v/>
      </c>
    </row>
    <row r="2353" spans="3:12" x14ac:dyDescent="0.2">
      <c r="C2353"/>
      <c r="L2353" s="9" t="str">
        <f t="shared" si="155"/>
        <v/>
      </c>
    </row>
    <row r="2354" spans="3:12" x14ac:dyDescent="0.2">
      <c r="C2354"/>
      <c r="L2354" s="9" t="str">
        <f t="shared" si="155"/>
        <v/>
      </c>
    </row>
    <row r="2355" spans="3:12" x14ac:dyDescent="0.2">
      <c r="C2355"/>
      <c r="L2355" s="9" t="str">
        <f t="shared" si="155"/>
        <v/>
      </c>
    </row>
    <row r="2356" spans="3:12" x14ac:dyDescent="0.2">
      <c r="C2356"/>
      <c r="L2356" s="9" t="str">
        <f t="shared" si="155"/>
        <v/>
      </c>
    </row>
    <row r="2357" spans="3:12" x14ac:dyDescent="0.2">
      <c r="C2357"/>
      <c r="L2357" s="9" t="str">
        <f t="shared" si="155"/>
        <v/>
      </c>
    </row>
    <row r="2358" spans="3:12" x14ac:dyDescent="0.2">
      <c r="C2358"/>
      <c r="L2358" s="9" t="str">
        <f t="shared" si="155"/>
        <v/>
      </c>
    </row>
    <row r="2359" spans="3:12" x14ac:dyDescent="0.2">
      <c r="C2359"/>
      <c r="L2359" s="9" t="str">
        <f t="shared" si="155"/>
        <v/>
      </c>
    </row>
    <row r="2360" spans="3:12" x14ac:dyDescent="0.2">
      <c r="C2360"/>
      <c r="L2360" s="9" t="str">
        <f t="shared" si="155"/>
        <v/>
      </c>
    </row>
    <row r="2361" spans="3:12" x14ac:dyDescent="0.2">
      <c r="C2361"/>
      <c r="L2361" s="9" t="str">
        <f t="shared" si="155"/>
        <v/>
      </c>
    </row>
    <row r="2362" spans="3:12" x14ac:dyDescent="0.2">
      <c r="C2362"/>
      <c r="L2362" s="9" t="str">
        <f t="shared" si="155"/>
        <v/>
      </c>
    </row>
    <row r="2363" spans="3:12" x14ac:dyDescent="0.2">
      <c r="C2363"/>
      <c r="L2363" s="9" t="str">
        <f t="shared" si="155"/>
        <v/>
      </c>
    </row>
    <row r="2364" spans="3:12" x14ac:dyDescent="0.2">
      <c r="C2364"/>
      <c r="L2364" s="9" t="str">
        <f t="shared" si="155"/>
        <v/>
      </c>
    </row>
    <row r="2365" spans="3:12" x14ac:dyDescent="0.2">
      <c r="C2365"/>
      <c r="L2365" s="9" t="str">
        <f t="shared" ref="L2365:L2428" si="156">IF(A2365="STOCK",E2365,IF(A2365="SOPTION",G2365,IF(A2365="LOPTION",F2365,"")))</f>
        <v/>
      </c>
    </row>
    <row r="2366" spans="3:12" x14ac:dyDescent="0.2">
      <c r="C2366"/>
      <c r="L2366" s="9" t="str">
        <f t="shared" si="156"/>
        <v/>
      </c>
    </row>
    <row r="2367" spans="3:12" x14ac:dyDescent="0.2">
      <c r="C2367"/>
      <c r="L2367" s="9" t="str">
        <f t="shared" si="156"/>
        <v/>
      </c>
    </row>
    <row r="2368" spans="3:12" x14ac:dyDescent="0.2">
      <c r="C2368"/>
      <c r="L2368" s="9" t="str">
        <f t="shared" si="156"/>
        <v/>
      </c>
    </row>
    <row r="2369" spans="3:12" x14ac:dyDescent="0.2">
      <c r="C2369"/>
      <c r="L2369" s="9" t="str">
        <f t="shared" si="156"/>
        <v/>
      </c>
    </row>
    <row r="2370" spans="3:12" x14ac:dyDescent="0.2">
      <c r="C2370"/>
      <c r="L2370" s="9" t="str">
        <f t="shared" si="156"/>
        <v/>
      </c>
    </row>
    <row r="2371" spans="3:12" x14ac:dyDescent="0.2">
      <c r="C2371"/>
      <c r="L2371" s="9" t="str">
        <f t="shared" si="156"/>
        <v/>
      </c>
    </row>
    <row r="2372" spans="3:12" x14ac:dyDescent="0.2">
      <c r="C2372"/>
      <c r="L2372" s="9" t="str">
        <f t="shared" si="156"/>
        <v/>
      </c>
    </row>
    <row r="2373" spans="3:12" x14ac:dyDescent="0.2">
      <c r="C2373"/>
      <c r="L2373" s="9" t="str">
        <f t="shared" si="156"/>
        <v/>
      </c>
    </row>
    <row r="2374" spans="3:12" x14ac:dyDescent="0.2">
      <c r="C2374"/>
      <c r="L2374" s="9" t="str">
        <f t="shared" si="156"/>
        <v/>
      </c>
    </row>
    <row r="2375" spans="3:12" x14ac:dyDescent="0.2">
      <c r="C2375"/>
      <c r="L2375" s="9" t="str">
        <f t="shared" si="156"/>
        <v/>
      </c>
    </row>
    <row r="2376" spans="3:12" x14ac:dyDescent="0.2">
      <c r="C2376"/>
      <c r="L2376" s="9" t="str">
        <f t="shared" si="156"/>
        <v/>
      </c>
    </row>
    <row r="2377" spans="3:12" x14ac:dyDescent="0.2">
      <c r="C2377"/>
      <c r="L2377" s="9" t="str">
        <f t="shared" si="156"/>
        <v/>
      </c>
    </row>
    <row r="2378" spans="3:12" x14ac:dyDescent="0.2">
      <c r="C2378"/>
      <c r="L2378" s="9" t="str">
        <f t="shared" si="156"/>
        <v/>
      </c>
    </row>
    <row r="2379" spans="3:12" x14ac:dyDescent="0.2">
      <c r="C2379"/>
      <c r="L2379" s="9" t="str">
        <f t="shared" si="156"/>
        <v/>
      </c>
    </row>
    <row r="2380" spans="3:12" x14ac:dyDescent="0.2">
      <c r="C2380"/>
      <c r="L2380" s="9" t="str">
        <f t="shared" si="156"/>
        <v/>
      </c>
    </row>
    <row r="2381" spans="3:12" x14ac:dyDescent="0.2">
      <c r="C2381"/>
      <c r="L2381" s="9" t="str">
        <f t="shared" si="156"/>
        <v/>
      </c>
    </row>
    <row r="2382" spans="3:12" x14ac:dyDescent="0.2">
      <c r="C2382"/>
      <c r="L2382" s="9" t="str">
        <f t="shared" si="156"/>
        <v/>
      </c>
    </row>
    <row r="2383" spans="3:12" x14ac:dyDescent="0.2">
      <c r="C2383"/>
      <c r="L2383" s="9" t="str">
        <f t="shared" si="156"/>
        <v/>
      </c>
    </row>
    <row r="2384" spans="3:12" x14ac:dyDescent="0.2">
      <c r="C2384"/>
      <c r="L2384" s="9" t="str">
        <f t="shared" si="156"/>
        <v/>
      </c>
    </row>
    <row r="2385" spans="3:12" x14ac:dyDescent="0.2">
      <c r="C2385"/>
      <c r="L2385" s="9" t="str">
        <f t="shared" si="156"/>
        <v/>
      </c>
    </row>
    <row r="2386" spans="3:12" x14ac:dyDescent="0.2">
      <c r="C2386"/>
      <c r="L2386" s="9" t="str">
        <f t="shared" si="156"/>
        <v/>
      </c>
    </row>
    <row r="2387" spans="3:12" x14ac:dyDescent="0.2">
      <c r="C2387"/>
      <c r="L2387" s="9" t="str">
        <f t="shared" si="156"/>
        <v/>
      </c>
    </row>
    <row r="2388" spans="3:12" x14ac:dyDescent="0.2">
      <c r="C2388"/>
      <c r="L2388" s="9" t="str">
        <f t="shared" si="156"/>
        <v/>
      </c>
    </row>
    <row r="2389" spans="3:12" x14ac:dyDescent="0.2">
      <c r="C2389"/>
      <c r="L2389" s="9" t="str">
        <f t="shared" si="156"/>
        <v/>
      </c>
    </row>
    <row r="2390" spans="3:12" x14ac:dyDescent="0.2">
      <c r="C2390"/>
      <c r="L2390" s="9" t="str">
        <f t="shared" si="156"/>
        <v/>
      </c>
    </row>
    <row r="2391" spans="3:12" x14ac:dyDescent="0.2">
      <c r="C2391"/>
      <c r="L2391" s="9" t="str">
        <f t="shared" si="156"/>
        <v/>
      </c>
    </row>
    <row r="2392" spans="3:12" x14ac:dyDescent="0.2">
      <c r="C2392"/>
      <c r="L2392" s="9" t="str">
        <f t="shared" si="156"/>
        <v/>
      </c>
    </row>
    <row r="2393" spans="3:12" x14ac:dyDescent="0.2">
      <c r="C2393"/>
      <c r="L2393" s="9" t="str">
        <f t="shared" si="156"/>
        <v/>
      </c>
    </row>
    <row r="2394" spans="3:12" x14ac:dyDescent="0.2">
      <c r="C2394"/>
      <c r="L2394" s="9" t="str">
        <f t="shared" si="156"/>
        <v/>
      </c>
    </row>
    <row r="2395" spans="3:12" x14ac:dyDescent="0.2">
      <c r="C2395"/>
      <c r="L2395" s="9" t="str">
        <f t="shared" si="156"/>
        <v/>
      </c>
    </row>
    <row r="2396" spans="3:12" x14ac:dyDescent="0.2">
      <c r="C2396"/>
      <c r="L2396" s="9" t="str">
        <f t="shared" si="156"/>
        <v/>
      </c>
    </row>
    <row r="2397" spans="3:12" x14ac:dyDescent="0.2">
      <c r="C2397"/>
      <c r="L2397" s="9" t="str">
        <f t="shared" si="156"/>
        <v/>
      </c>
    </row>
    <row r="2398" spans="3:12" x14ac:dyDescent="0.2">
      <c r="C2398"/>
      <c r="L2398" s="9" t="str">
        <f t="shared" si="156"/>
        <v/>
      </c>
    </row>
    <row r="2399" spans="3:12" x14ac:dyDescent="0.2">
      <c r="C2399"/>
      <c r="L2399" s="9" t="str">
        <f t="shared" si="156"/>
        <v/>
      </c>
    </row>
    <row r="2400" spans="3:12" x14ac:dyDescent="0.2">
      <c r="C2400"/>
      <c r="L2400" s="9" t="str">
        <f t="shared" si="156"/>
        <v/>
      </c>
    </row>
    <row r="2401" spans="3:12" x14ac:dyDescent="0.2">
      <c r="C2401"/>
      <c r="L2401" s="9" t="str">
        <f t="shared" si="156"/>
        <v/>
      </c>
    </row>
    <row r="2402" spans="3:12" x14ac:dyDescent="0.2">
      <c r="C2402"/>
      <c r="L2402" s="9" t="str">
        <f t="shared" si="156"/>
        <v/>
      </c>
    </row>
    <row r="2403" spans="3:12" x14ac:dyDescent="0.2">
      <c r="C2403"/>
      <c r="L2403" s="9" t="str">
        <f t="shared" si="156"/>
        <v/>
      </c>
    </row>
    <row r="2404" spans="3:12" x14ac:dyDescent="0.2">
      <c r="C2404"/>
      <c r="L2404" s="9" t="str">
        <f t="shared" si="156"/>
        <v/>
      </c>
    </row>
    <row r="2405" spans="3:12" x14ac:dyDescent="0.2">
      <c r="C2405"/>
      <c r="L2405" s="9" t="str">
        <f t="shared" si="156"/>
        <v/>
      </c>
    </row>
    <row r="2406" spans="3:12" x14ac:dyDescent="0.2">
      <c r="C2406"/>
      <c r="L2406" s="9" t="str">
        <f t="shared" si="156"/>
        <v/>
      </c>
    </row>
    <row r="2407" spans="3:12" x14ac:dyDescent="0.2">
      <c r="C2407"/>
      <c r="L2407" s="9" t="str">
        <f t="shared" si="156"/>
        <v/>
      </c>
    </row>
    <row r="2408" spans="3:12" x14ac:dyDescent="0.2">
      <c r="C2408"/>
      <c r="L2408" s="9" t="str">
        <f t="shared" si="156"/>
        <v/>
      </c>
    </row>
    <row r="2409" spans="3:12" x14ac:dyDescent="0.2">
      <c r="C2409"/>
      <c r="L2409" s="9" t="str">
        <f t="shared" si="156"/>
        <v/>
      </c>
    </row>
    <row r="2410" spans="3:12" x14ac:dyDescent="0.2">
      <c r="C2410"/>
      <c r="L2410" s="9" t="str">
        <f t="shared" si="156"/>
        <v/>
      </c>
    </row>
    <row r="2411" spans="3:12" x14ac:dyDescent="0.2">
      <c r="C2411"/>
      <c r="L2411" s="9" t="str">
        <f t="shared" si="156"/>
        <v/>
      </c>
    </row>
    <row r="2412" spans="3:12" x14ac:dyDescent="0.2">
      <c r="C2412"/>
      <c r="L2412" s="9" t="str">
        <f t="shared" si="156"/>
        <v/>
      </c>
    </row>
    <row r="2413" spans="3:12" x14ac:dyDescent="0.2">
      <c r="C2413"/>
      <c r="L2413" s="9" t="str">
        <f t="shared" si="156"/>
        <v/>
      </c>
    </row>
    <row r="2414" spans="3:12" x14ac:dyDescent="0.2">
      <c r="C2414"/>
      <c r="L2414" s="9" t="str">
        <f t="shared" si="156"/>
        <v/>
      </c>
    </row>
    <row r="2415" spans="3:12" x14ac:dyDescent="0.2">
      <c r="C2415"/>
      <c r="L2415" s="9" t="str">
        <f t="shared" si="156"/>
        <v/>
      </c>
    </row>
    <row r="2416" spans="3:12" x14ac:dyDescent="0.2">
      <c r="C2416"/>
      <c r="L2416" s="9" t="str">
        <f t="shared" si="156"/>
        <v/>
      </c>
    </row>
    <row r="2417" spans="3:12" x14ac:dyDescent="0.2">
      <c r="C2417"/>
      <c r="L2417" s="9" t="str">
        <f t="shared" si="156"/>
        <v/>
      </c>
    </row>
    <row r="2418" spans="3:12" x14ac:dyDescent="0.2">
      <c r="C2418"/>
      <c r="L2418" s="9" t="str">
        <f t="shared" si="156"/>
        <v/>
      </c>
    </row>
    <row r="2419" spans="3:12" x14ac:dyDescent="0.2">
      <c r="C2419"/>
      <c r="L2419" s="9" t="str">
        <f t="shared" si="156"/>
        <v/>
      </c>
    </row>
    <row r="2420" spans="3:12" x14ac:dyDescent="0.2">
      <c r="C2420"/>
      <c r="L2420" s="9" t="str">
        <f t="shared" si="156"/>
        <v/>
      </c>
    </row>
    <row r="2421" spans="3:12" x14ac:dyDescent="0.2">
      <c r="C2421"/>
      <c r="L2421" s="9" t="str">
        <f t="shared" si="156"/>
        <v/>
      </c>
    </row>
    <row r="2422" spans="3:12" x14ac:dyDescent="0.2">
      <c r="C2422"/>
      <c r="L2422" s="9" t="str">
        <f t="shared" si="156"/>
        <v/>
      </c>
    </row>
    <row r="2423" spans="3:12" x14ac:dyDescent="0.2">
      <c r="C2423"/>
      <c r="L2423" s="9" t="str">
        <f t="shared" si="156"/>
        <v/>
      </c>
    </row>
    <row r="2424" spans="3:12" x14ac:dyDescent="0.2">
      <c r="C2424"/>
      <c r="L2424" s="9" t="str">
        <f t="shared" si="156"/>
        <v/>
      </c>
    </row>
    <row r="2425" spans="3:12" x14ac:dyDescent="0.2">
      <c r="C2425"/>
      <c r="L2425" s="9" t="str">
        <f t="shared" si="156"/>
        <v/>
      </c>
    </row>
    <row r="2426" spans="3:12" x14ac:dyDescent="0.2">
      <c r="C2426"/>
      <c r="L2426" s="9" t="str">
        <f t="shared" si="156"/>
        <v/>
      </c>
    </row>
    <row r="2427" spans="3:12" x14ac:dyDescent="0.2">
      <c r="C2427"/>
      <c r="L2427" s="9" t="str">
        <f t="shared" si="156"/>
        <v/>
      </c>
    </row>
    <row r="2428" spans="3:12" x14ac:dyDescent="0.2">
      <c r="C2428"/>
      <c r="L2428" s="9" t="str">
        <f t="shared" si="156"/>
        <v/>
      </c>
    </row>
    <row r="2429" spans="3:12" x14ac:dyDescent="0.2">
      <c r="C2429"/>
      <c r="L2429" s="9" t="str">
        <f t="shared" ref="L2429:L2492" si="157">IF(A2429="STOCK",E2429,IF(A2429="SOPTION",G2429,IF(A2429="LOPTION",F2429,"")))</f>
        <v/>
      </c>
    </row>
    <row r="2430" spans="3:12" x14ac:dyDescent="0.2">
      <c r="C2430"/>
      <c r="L2430" s="9" t="str">
        <f t="shared" si="157"/>
        <v/>
      </c>
    </row>
    <row r="2431" spans="3:12" x14ac:dyDescent="0.2">
      <c r="C2431"/>
      <c r="L2431" s="9" t="str">
        <f t="shared" si="157"/>
        <v/>
      </c>
    </row>
    <row r="2432" spans="3:12" x14ac:dyDescent="0.2">
      <c r="C2432"/>
      <c r="L2432" s="9" t="str">
        <f t="shared" si="157"/>
        <v/>
      </c>
    </row>
    <row r="2433" spans="3:12" x14ac:dyDescent="0.2">
      <c r="C2433"/>
      <c r="L2433" s="9" t="str">
        <f t="shared" si="157"/>
        <v/>
      </c>
    </row>
    <row r="2434" spans="3:12" x14ac:dyDescent="0.2">
      <c r="C2434"/>
      <c r="L2434" s="9" t="str">
        <f t="shared" si="157"/>
        <v/>
      </c>
    </row>
    <row r="2435" spans="3:12" x14ac:dyDescent="0.2">
      <c r="C2435"/>
      <c r="L2435" s="9" t="str">
        <f t="shared" si="157"/>
        <v/>
      </c>
    </row>
    <row r="2436" spans="3:12" x14ac:dyDescent="0.2">
      <c r="C2436"/>
      <c r="L2436" s="9" t="str">
        <f t="shared" si="157"/>
        <v/>
      </c>
    </row>
    <row r="2437" spans="3:12" x14ac:dyDescent="0.2">
      <c r="C2437"/>
      <c r="L2437" s="9" t="str">
        <f t="shared" si="157"/>
        <v/>
      </c>
    </row>
    <row r="2438" spans="3:12" x14ac:dyDescent="0.2">
      <c r="C2438"/>
      <c r="L2438" s="9" t="str">
        <f t="shared" si="157"/>
        <v/>
      </c>
    </row>
    <row r="2439" spans="3:12" x14ac:dyDescent="0.2">
      <c r="C2439"/>
      <c r="L2439" s="9" t="str">
        <f t="shared" si="157"/>
        <v/>
      </c>
    </row>
    <row r="2440" spans="3:12" x14ac:dyDescent="0.2">
      <c r="C2440"/>
      <c r="L2440" s="9" t="str">
        <f t="shared" si="157"/>
        <v/>
      </c>
    </row>
    <row r="2441" spans="3:12" x14ac:dyDescent="0.2">
      <c r="C2441"/>
      <c r="L2441" s="9" t="str">
        <f t="shared" si="157"/>
        <v/>
      </c>
    </row>
    <row r="2442" spans="3:12" x14ac:dyDescent="0.2">
      <c r="C2442"/>
      <c r="L2442" s="9" t="str">
        <f t="shared" si="157"/>
        <v/>
      </c>
    </row>
    <row r="2443" spans="3:12" x14ac:dyDescent="0.2">
      <c r="C2443"/>
      <c r="L2443" s="9" t="str">
        <f t="shared" si="157"/>
        <v/>
      </c>
    </row>
    <row r="2444" spans="3:12" x14ac:dyDescent="0.2">
      <c r="C2444"/>
      <c r="L2444" s="9" t="str">
        <f t="shared" si="157"/>
        <v/>
      </c>
    </row>
    <row r="2445" spans="3:12" x14ac:dyDescent="0.2">
      <c r="C2445"/>
      <c r="L2445" s="9" t="str">
        <f t="shared" si="157"/>
        <v/>
      </c>
    </row>
    <row r="2446" spans="3:12" x14ac:dyDescent="0.2">
      <c r="C2446"/>
      <c r="L2446" s="9" t="str">
        <f t="shared" si="157"/>
        <v/>
      </c>
    </row>
    <row r="2447" spans="3:12" x14ac:dyDescent="0.2">
      <c r="C2447"/>
      <c r="L2447" s="9" t="str">
        <f t="shared" si="157"/>
        <v/>
      </c>
    </row>
    <row r="2448" spans="3:12" x14ac:dyDescent="0.2">
      <c r="C2448"/>
      <c r="L2448" s="9" t="str">
        <f t="shared" si="157"/>
        <v/>
      </c>
    </row>
    <row r="2449" spans="3:12" x14ac:dyDescent="0.2">
      <c r="C2449"/>
      <c r="L2449" s="9" t="str">
        <f t="shared" si="157"/>
        <v/>
      </c>
    </row>
    <row r="2450" spans="3:12" x14ac:dyDescent="0.2">
      <c r="C2450"/>
      <c r="L2450" s="9" t="str">
        <f t="shared" si="157"/>
        <v/>
      </c>
    </row>
    <row r="2451" spans="3:12" x14ac:dyDescent="0.2">
      <c r="C2451"/>
      <c r="L2451" s="9" t="str">
        <f t="shared" si="157"/>
        <v/>
      </c>
    </row>
    <row r="2452" spans="3:12" x14ac:dyDescent="0.2">
      <c r="C2452"/>
      <c r="L2452" s="9" t="str">
        <f t="shared" si="157"/>
        <v/>
      </c>
    </row>
    <row r="2453" spans="3:12" x14ac:dyDescent="0.2">
      <c r="C2453"/>
      <c r="L2453" s="9" t="str">
        <f t="shared" si="157"/>
        <v/>
      </c>
    </row>
    <row r="2454" spans="3:12" x14ac:dyDescent="0.2">
      <c r="C2454"/>
      <c r="L2454" s="9" t="str">
        <f t="shared" si="157"/>
        <v/>
      </c>
    </row>
    <row r="2455" spans="3:12" x14ac:dyDescent="0.2">
      <c r="C2455"/>
      <c r="L2455" s="9" t="str">
        <f t="shared" si="157"/>
        <v/>
      </c>
    </row>
    <row r="2456" spans="3:12" x14ac:dyDescent="0.2">
      <c r="C2456"/>
      <c r="L2456" s="9" t="str">
        <f t="shared" si="157"/>
        <v/>
      </c>
    </row>
    <row r="2457" spans="3:12" x14ac:dyDescent="0.2">
      <c r="C2457"/>
      <c r="L2457" s="9" t="str">
        <f t="shared" si="157"/>
        <v/>
      </c>
    </row>
    <row r="2458" spans="3:12" x14ac:dyDescent="0.2">
      <c r="C2458"/>
      <c r="L2458" s="9" t="str">
        <f t="shared" si="157"/>
        <v/>
      </c>
    </row>
    <row r="2459" spans="3:12" x14ac:dyDescent="0.2">
      <c r="C2459"/>
      <c r="L2459" s="9" t="str">
        <f t="shared" si="157"/>
        <v/>
      </c>
    </row>
    <row r="2460" spans="3:12" x14ac:dyDescent="0.2">
      <c r="C2460"/>
      <c r="L2460" s="9" t="str">
        <f t="shared" si="157"/>
        <v/>
      </c>
    </row>
    <row r="2461" spans="3:12" x14ac:dyDescent="0.2">
      <c r="C2461"/>
      <c r="L2461" s="9" t="str">
        <f t="shared" si="157"/>
        <v/>
      </c>
    </row>
    <row r="2462" spans="3:12" x14ac:dyDescent="0.2">
      <c r="C2462"/>
      <c r="L2462" s="9" t="str">
        <f t="shared" si="157"/>
        <v/>
      </c>
    </row>
    <row r="2463" spans="3:12" x14ac:dyDescent="0.2">
      <c r="C2463"/>
      <c r="L2463" s="9" t="str">
        <f t="shared" si="157"/>
        <v/>
      </c>
    </row>
    <row r="2464" spans="3:12" x14ac:dyDescent="0.2">
      <c r="C2464"/>
      <c r="L2464" s="9" t="str">
        <f t="shared" si="157"/>
        <v/>
      </c>
    </row>
    <row r="2465" spans="3:12" x14ac:dyDescent="0.2">
      <c r="C2465"/>
      <c r="L2465" s="9" t="str">
        <f t="shared" si="157"/>
        <v/>
      </c>
    </row>
    <row r="2466" spans="3:12" x14ac:dyDescent="0.2">
      <c r="C2466"/>
      <c r="L2466" s="9" t="str">
        <f t="shared" si="157"/>
        <v/>
      </c>
    </row>
    <row r="2467" spans="3:12" x14ac:dyDescent="0.2">
      <c r="C2467"/>
      <c r="L2467" s="9" t="str">
        <f t="shared" si="157"/>
        <v/>
      </c>
    </row>
    <row r="2468" spans="3:12" x14ac:dyDescent="0.2">
      <c r="C2468"/>
      <c r="L2468" s="9" t="str">
        <f t="shared" si="157"/>
        <v/>
      </c>
    </row>
    <row r="2469" spans="3:12" x14ac:dyDescent="0.2">
      <c r="C2469"/>
      <c r="L2469" s="9" t="str">
        <f t="shared" si="157"/>
        <v/>
      </c>
    </row>
    <row r="2470" spans="3:12" x14ac:dyDescent="0.2">
      <c r="C2470"/>
      <c r="L2470" s="9" t="str">
        <f t="shared" si="157"/>
        <v/>
      </c>
    </row>
    <row r="2471" spans="3:12" x14ac:dyDescent="0.2">
      <c r="C2471"/>
      <c r="L2471" s="9" t="str">
        <f t="shared" si="157"/>
        <v/>
      </c>
    </row>
    <row r="2472" spans="3:12" x14ac:dyDescent="0.2">
      <c r="C2472"/>
      <c r="L2472" s="9" t="str">
        <f t="shared" si="157"/>
        <v/>
      </c>
    </row>
    <row r="2473" spans="3:12" x14ac:dyDescent="0.2">
      <c r="C2473"/>
      <c r="L2473" s="9" t="str">
        <f t="shared" si="157"/>
        <v/>
      </c>
    </row>
    <row r="2474" spans="3:12" x14ac:dyDescent="0.2">
      <c r="C2474"/>
      <c r="L2474" s="9" t="str">
        <f t="shared" si="157"/>
        <v/>
      </c>
    </row>
    <row r="2475" spans="3:12" x14ac:dyDescent="0.2">
      <c r="C2475"/>
      <c r="L2475" s="9" t="str">
        <f t="shared" si="157"/>
        <v/>
      </c>
    </row>
    <row r="2476" spans="3:12" x14ac:dyDescent="0.2">
      <c r="C2476"/>
      <c r="L2476" s="9" t="str">
        <f t="shared" si="157"/>
        <v/>
      </c>
    </row>
    <row r="2477" spans="3:12" x14ac:dyDescent="0.2">
      <c r="C2477"/>
      <c r="L2477" s="9" t="str">
        <f t="shared" si="157"/>
        <v/>
      </c>
    </row>
    <row r="2478" spans="3:12" x14ac:dyDescent="0.2">
      <c r="C2478"/>
      <c r="L2478" s="9" t="str">
        <f t="shared" si="157"/>
        <v/>
      </c>
    </row>
    <row r="2479" spans="3:12" x14ac:dyDescent="0.2">
      <c r="C2479"/>
      <c r="L2479" s="9" t="str">
        <f t="shared" si="157"/>
        <v/>
      </c>
    </row>
    <row r="2480" spans="3:12" x14ac:dyDescent="0.2">
      <c r="C2480"/>
      <c r="L2480" s="9" t="str">
        <f t="shared" si="157"/>
        <v/>
      </c>
    </row>
    <row r="2481" spans="3:12" x14ac:dyDescent="0.2">
      <c r="C2481"/>
      <c r="L2481" s="9" t="str">
        <f t="shared" si="157"/>
        <v/>
      </c>
    </row>
    <row r="2482" spans="3:12" x14ac:dyDescent="0.2">
      <c r="C2482"/>
      <c r="L2482" s="9" t="str">
        <f t="shared" si="157"/>
        <v/>
      </c>
    </row>
    <row r="2483" spans="3:12" x14ac:dyDescent="0.2">
      <c r="C2483"/>
      <c r="L2483" s="9" t="str">
        <f t="shared" si="157"/>
        <v/>
      </c>
    </row>
    <row r="2484" spans="3:12" x14ac:dyDescent="0.2">
      <c r="C2484"/>
      <c r="L2484" s="9" t="str">
        <f t="shared" si="157"/>
        <v/>
      </c>
    </row>
    <row r="2485" spans="3:12" x14ac:dyDescent="0.2">
      <c r="C2485"/>
      <c r="L2485" s="9" t="str">
        <f t="shared" si="157"/>
        <v/>
      </c>
    </row>
    <row r="2486" spans="3:12" x14ac:dyDescent="0.2">
      <c r="C2486"/>
      <c r="L2486" s="9" t="str">
        <f t="shared" si="157"/>
        <v/>
      </c>
    </row>
    <row r="2487" spans="3:12" x14ac:dyDescent="0.2">
      <c r="C2487"/>
      <c r="L2487" s="9" t="str">
        <f t="shared" si="157"/>
        <v/>
      </c>
    </row>
    <row r="2488" spans="3:12" x14ac:dyDescent="0.2">
      <c r="C2488"/>
      <c r="L2488" s="9" t="str">
        <f t="shared" si="157"/>
        <v/>
      </c>
    </row>
    <row r="2489" spans="3:12" x14ac:dyDescent="0.2">
      <c r="C2489"/>
      <c r="L2489" s="9" t="str">
        <f t="shared" si="157"/>
        <v/>
      </c>
    </row>
    <row r="2490" spans="3:12" x14ac:dyDescent="0.2">
      <c r="C2490"/>
      <c r="L2490" s="9" t="str">
        <f t="shared" si="157"/>
        <v/>
      </c>
    </row>
    <row r="2491" spans="3:12" x14ac:dyDescent="0.2">
      <c r="C2491"/>
      <c r="L2491" s="9" t="str">
        <f t="shared" si="157"/>
        <v/>
      </c>
    </row>
    <row r="2492" spans="3:12" x14ac:dyDescent="0.2">
      <c r="C2492"/>
      <c r="L2492" s="9" t="str">
        <f t="shared" si="157"/>
        <v/>
      </c>
    </row>
    <row r="2493" spans="3:12" x14ac:dyDescent="0.2">
      <c r="C2493"/>
      <c r="L2493" s="9" t="str">
        <f t="shared" ref="L2493:L2556" si="158">IF(A2493="STOCK",E2493,IF(A2493="SOPTION",G2493,IF(A2493="LOPTION",F2493,"")))</f>
        <v/>
      </c>
    </row>
    <row r="2494" spans="3:12" x14ac:dyDescent="0.2">
      <c r="C2494"/>
      <c r="L2494" s="9" t="str">
        <f t="shared" si="158"/>
        <v/>
      </c>
    </row>
    <row r="2495" spans="3:12" x14ac:dyDescent="0.2">
      <c r="C2495"/>
      <c r="L2495" s="9" t="str">
        <f t="shared" si="158"/>
        <v/>
      </c>
    </row>
    <row r="2496" spans="3:12" x14ac:dyDescent="0.2">
      <c r="C2496"/>
      <c r="L2496" s="9" t="str">
        <f t="shared" si="158"/>
        <v/>
      </c>
    </row>
    <row r="2497" spans="3:12" x14ac:dyDescent="0.2">
      <c r="C2497"/>
      <c r="L2497" s="9" t="str">
        <f t="shared" si="158"/>
        <v/>
      </c>
    </row>
    <row r="2498" spans="3:12" x14ac:dyDescent="0.2">
      <c r="C2498"/>
      <c r="L2498" s="9" t="str">
        <f t="shared" si="158"/>
        <v/>
      </c>
    </row>
    <row r="2499" spans="3:12" x14ac:dyDescent="0.2">
      <c r="C2499"/>
      <c r="L2499" s="9" t="str">
        <f t="shared" si="158"/>
        <v/>
      </c>
    </row>
    <row r="2500" spans="3:12" x14ac:dyDescent="0.2">
      <c r="C2500"/>
      <c r="L2500" s="9" t="str">
        <f t="shared" si="158"/>
        <v/>
      </c>
    </row>
    <row r="2501" spans="3:12" x14ac:dyDescent="0.2">
      <c r="C2501"/>
      <c r="L2501" s="9" t="str">
        <f t="shared" si="158"/>
        <v/>
      </c>
    </row>
    <row r="2502" spans="3:12" x14ac:dyDescent="0.2">
      <c r="C2502"/>
      <c r="L2502" s="9" t="str">
        <f t="shared" si="158"/>
        <v/>
      </c>
    </row>
    <row r="2503" spans="3:12" x14ac:dyDescent="0.2">
      <c r="C2503"/>
      <c r="L2503" s="9" t="str">
        <f t="shared" si="158"/>
        <v/>
      </c>
    </row>
    <row r="2504" spans="3:12" x14ac:dyDescent="0.2">
      <c r="C2504"/>
      <c r="L2504" s="9" t="str">
        <f t="shared" si="158"/>
        <v/>
      </c>
    </row>
    <row r="2505" spans="3:12" x14ac:dyDescent="0.2">
      <c r="C2505"/>
      <c r="L2505" s="9" t="str">
        <f t="shared" si="158"/>
        <v/>
      </c>
    </row>
    <row r="2506" spans="3:12" x14ac:dyDescent="0.2">
      <c r="C2506"/>
      <c r="L2506" s="9" t="str">
        <f t="shared" si="158"/>
        <v/>
      </c>
    </row>
    <row r="2507" spans="3:12" x14ac:dyDescent="0.2">
      <c r="C2507"/>
      <c r="L2507" s="9" t="str">
        <f t="shared" si="158"/>
        <v/>
      </c>
    </row>
    <row r="2508" spans="3:12" x14ac:dyDescent="0.2">
      <c r="C2508"/>
      <c r="L2508" s="9" t="str">
        <f t="shared" si="158"/>
        <v/>
      </c>
    </row>
    <row r="2509" spans="3:12" x14ac:dyDescent="0.2">
      <c r="C2509"/>
      <c r="L2509" s="9" t="str">
        <f t="shared" si="158"/>
        <v/>
      </c>
    </row>
    <row r="2510" spans="3:12" x14ac:dyDescent="0.2">
      <c r="C2510"/>
      <c r="L2510" s="9" t="str">
        <f t="shared" si="158"/>
        <v/>
      </c>
    </row>
    <row r="2511" spans="3:12" x14ac:dyDescent="0.2">
      <c r="C2511"/>
      <c r="L2511" s="9" t="str">
        <f t="shared" si="158"/>
        <v/>
      </c>
    </row>
    <row r="2512" spans="3:12" x14ac:dyDescent="0.2">
      <c r="C2512"/>
      <c r="L2512" s="9" t="str">
        <f t="shared" si="158"/>
        <v/>
      </c>
    </row>
    <row r="2513" spans="3:12" x14ac:dyDescent="0.2">
      <c r="C2513"/>
      <c r="L2513" s="9" t="str">
        <f t="shared" si="158"/>
        <v/>
      </c>
    </row>
    <row r="2514" spans="3:12" x14ac:dyDescent="0.2">
      <c r="C2514"/>
      <c r="L2514" s="9" t="str">
        <f t="shared" si="158"/>
        <v/>
      </c>
    </row>
    <row r="2515" spans="3:12" x14ac:dyDescent="0.2">
      <c r="C2515"/>
      <c r="L2515" s="9" t="str">
        <f t="shared" si="158"/>
        <v/>
      </c>
    </row>
    <row r="2516" spans="3:12" x14ac:dyDescent="0.2">
      <c r="C2516"/>
      <c r="L2516" s="9" t="str">
        <f t="shared" si="158"/>
        <v/>
      </c>
    </row>
    <row r="2517" spans="3:12" x14ac:dyDescent="0.2">
      <c r="C2517"/>
      <c r="L2517" s="9" t="str">
        <f t="shared" si="158"/>
        <v/>
      </c>
    </row>
    <row r="2518" spans="3:12" x14ac:dyDescent="0.2">
      <c r="C2518"/>
      <c r="L2518" s="9" t="str">
        <f t="shared" si="158"/>
        <v/>
      </c>
    </row>
    <row r="2519" spans="3:12" x14ac:dyDescent="0.2">
      <c r="C2519"/>
      <c r="L2519" s="9" t="str">
        <f t="shared" si="158"/>
        <v/>
      </c>
    </row>
    <row r="2520" spans="3:12" x14ac:dyDescent="0.2">
      <c r="C2520"/>
      <c r="L2520" s="9" t="str">
        <f t="shared" si="158"/>
        <v/>
      </c>
    </row>
    <row r="2521" spans="3:12" x14ac:dyDescent="0.2">
      <c r="C2521"/>
      <c r="L2521" s="9" t="str">
        <f t="shared" si="158"/>
        <v/>
      </c>
    </row>
    <row r="2522" spans="3:12" x14ac:dyDescent="0.2">
      <c r="C2522"/>
      <c r="L2522" s="9" t="str">
        <f t="shared" si="158"/>
        <v/>
      </c>
    </row>
    <row r="2523" spans="3:12" x14ac:dyDescent="0.2">
      <c r="C2523"/>
      <c r="L2523" s="9" t="str">
        <f t="shared" si="158"/>
        <v/>
      </c>
    </row>
    <row r="2524" spans="3:12" x14ac:dyDescent="0.2">
      <c r="C2524"/>
      <c r="L2524" s="9" t="str">
        <f t="shared" si="158"/>
        <v/>
      </c>
    </row>
    <row r="2525" spans="3:12" x14ac:dyDescent="0.2">
      <c r="C2525"/>
      <c r="L2525" s="9" t="str">
        <f t="shared" si="158"/>
        <v/>
      </c>
    </row>
    <row r="2526" spans="3:12" x14ac:dyDescent="0.2">
      <c r="C2526"/>
      <c r="L2526" s="9" t="str">
        <f t="shared" si="158"/>
        <v/>
      </c>
    </row>
    <row r="2527" spans="3:12" x14ac:dyDescent="0.2">
      <c r="C2527"/>
      <c r="L2527" s="9" t="str">
        <f t="shared" si="158"/>
        <v/>
      </c>
    </row>
    <row r="2528" spans="3:12" x14ac:dyDescent="0.2">
      <c r="C2528"/>
      <c r="L2528" s="9" t="str">
        <f t="shared" si="158"/>
        <v/>
      </c>
    </row>
    <row r="2529" spans="3:12" x14ac:dyDescent="0.2">
      <c r="C2529"/>
      <c r="L2529" s="9" t="str">
        <f t="shared" si="158"/>
        <v/>
      </c>
    </row>
    <row r="2530" spans="3:12" x14ac:dyDescent="0.2">
      <c r="C2530"/>
      <c r="L2530" s="9" t="str">
        <f t="shared" si="158"/>
        <v/>
      </c>
    </row>
    <row r="2531" spans="3:12" x14ac:dyDescent="0.2">
      <c r="C2531"/>
      <c r="L2531" s="9" t="str">
        <f t="shared" si="158"/>
        <v/>
      </c>
    </row>
    <row r="2532" spans="3:12" x14ac:dyDescent="0.2">
      <c r="C2532"/>
      <c r="L2532" s="9" t="str">
        <f t="shared" si="158"/>
        <v/>
      </c>
    </row>
    <row r="2533" spans="3:12" x14ac:dyDescent="0.2">
      <c r="C2533"/>
      <c r="L2533" s="9" t="str">
        <f t="shared" si="158"/>
        <v/>
      </c>
    </row>
    <row r="2534" spans="3:12" x14ac:dyDescent="0.2">
      <c r="C2534"/>
      <c r="L2534" s="9" t="str">
        <f t="shared" si="158"/>
        <v/>
      </c>
    </row>
    <row r="2535" spans="3:12" x14ac:dyDescent="0.2">
      <c r="C2535"/>
      <c r="L2535" s="9" t="str">
        <f t="shared" si="158"/>
        <v/>
      </c>
    </row>
    <row r="2536" spans="3:12" x14ac:dyDescent="0.2">
      <c r="C2536"/>
      <c r="L2536" s="9" t="str">
        <f t="shared" si="158"/>
        <v/>
      </c>
    </row>
    <row r="2537" spans="3:12" x14ac:dyDescent="0.2">
      <c r="C2537"/>
      <c r="L2537" s="9" t="str">
        <f t="shared" si="158"/>
        <v/>
      </c>
    </row>
    <row r="2538" spans="3:12" x14ac:dyDescent="0.2">
      <c r="C2538"/>
      <c r="L2538" s="9" t="str">
        <f t="shared" si="158"/>
        <v/>
      </c>
    </row>
    <row r="2539" spans="3:12" x14ac:dyDescent="0.2">
      <c r="C2539"/>
      <c r="L2539" s="9" t="str">
        <f t="shared" si="158"/>
        <v/>
      </c>
    </row>
    <row r="2540" spans="3:12" x14ac:dyDescent="0.2">
      <c r="C2540"/>
      <c r="L2540" s="9" t="str">
        <f t="shared" si="158"/>
        <v/>
      </c>
    </row>
    <row r="2541" spans="3:12" x14ac:dyDescent="0.2">
      <c r="C2541"/>
      <c r="L2541" s="9" t="str">
        <f t="shared" si="158"/>
        <v/>
      </c>
    </row>
    <row r="2542" spans="3:12" x14ac:dyDescent="0.2">
      <c r="C2542"/>
      <c r="L2542" s="9" t="str">
        <f t="shared" si="158"/>
        <v/>
      </c>
    </row>
    <row r="2543" spans="3:12" x14ac:dyDescent="0.2">
      <c r="C2543"/>
      <c r="L2543" s="9" t="str">
        <f t="shared" si="158"/>
        <v/>
      </c>
    </row>
    <row r="2544" spans="3:12" x14ac:dyDescent="0.2">
      <c r="C2544"/>
      <c r="L2544" s="9" t="str">
        <f t="shared" si="158"/>
        <v/>
      </c>
    </row>
    <row r="2545" spans="3:12" x14ac:dyDescent="0.2">
      <c r="C2545"/>
      <c r="L2545" s="9" t="str">
        <f t="shared" si="158"/>
        <v/>
      </c>
    </row>
    <row r="2546" spans="3:12" x14ac:dyDescent="0.2">
      <c r="C2546"/>
      <c r="L2546" s="9" t="str">
        <f t="shared" si="158"/>
        <v/>
      </c>
    </row>
    <row r="2547" spans="3:12" x14ac:dyDescent="0.2">
      <c r="C2547"/>
      <c r="L2547" s="9" t="str">
        <f t="shared" si="158"/>
        <v/>
      </c>
    </row>
    <row r="2548" spans="3:12" x14ac:dyDescent="0.2">
      <c r="C2548"/>
      <c r="L2548" s="9" t="str">
        <f t="shared" si="158"/>
        <v/>
      </c>
    </row>
    <row r="2549" spans="3:12" x14ac:dyDescent="0.2">
      <c r="C2549"/>
      <c r="L2549" s="9" t="str">
        <f t="shared" si="158"/>
        <v/>
      </c>
    </row>
    <row r="2550" spans="3:12" x14ac:dyDescent="0.2">
      <c r="C2550"/>
      <c r="L2550" s="9" t="str">
        <f t="shared" si="158"/>
        <v/>
      </c>
    </row>
    <row r="2551" spans="3:12" x14ac:dyDescent="0.2">
      <c r="C2551"/>
      <c r="L2551" s="9" t="str">
        <f t="shared" si="158"/>
        <v/>
      </c>
    </row>
    <row r="2552" spans="3:12" x14ac:dyDescent="0.2">
      <c r="C2552"/>
      <c r="L2552" s="9" t="str">
        <f t="shared" si="158"/>
        <v/>
      </c>
    </row>
    <row r="2553" spans="3:12" x14ac:dyDescent="0.2">
      <c r="C2553"/>
      <c r="L2553" s="9" t="str">
        <f t="shared" si="158"/>
        <v/>
      </c>
    </row>
    <row r="2554" spans="3:12" x14ac:dyDescent="0.2">
      <c r="C2554"/>
      <c r="L2554" s="9" t="str">
        <f t="shared" si="158"/>
        <v/>
      </c>
    </row>
    <row r="2555" spans="3:12" x14ac:dyDescent="0.2">
      <c r="C2555"/>
      <c r="L2555" s="9" t="str">
        <f t="shared" si="158"/>
        <v/>
      </c>
    </row>
    <row r="2556" spans="3:12" x14ac:dyDescent="0.2">
      <c r="C2556"/>
      <c r="L2556" s="9" t="str">
        <f t="shared" si="158"/>
        <v/>
      </c>
    </row>
    <row r="2557" spans="3:12" x14ac:dyDescent="0.2">
      <c r="C2557"/>
      <c r="L2557" s="9" t="str">
        <f t="shared" ref="L2557:L2620" si="159">IF(A2557="STOCK",E2557,IF(A2557="SOPTION",G2557,IF(A2557="LOPTION",F2557,"")))</f>
        <v/>
      </c>
    </row>
    <row r="2558" spans="3:12" x14ac:dyDescent="0.2">
      <c r="C2558"/>
      <c r="L2558" s="9" t="str">
        <f t="shared" si="159"/>
        <v/>
      </c>
    </row>
    <row r="2559" spans="3:12" x14ac:dyDescent="0.2">
      <c r="C2559"/>
      <c r="L2559" s="9" t="str">
        <f t="shared" si="159"/>
        <v/>
      </c>
    </row>
    <row r="2560" spans="3:12" x14ac:dyDescent="0.2">
      <c r="C2560"/>
      <c r="L2560" s="9" t="str">
        <f t="shared" si="159"/>
        <v/>
      </c>
    </row>
    <row r="2561" spans="3:12" x14ac:dyDescent="0.2">
      <c r="C2561"/>
      <c r="L2561" s="9" t="str">
        <f t="shared" si="159"/>
        <v/>
      </c>
    </row>
    <row r="2562" spans="3:12" x14ac:dyDescent="0.2">
      <c r="C2562"/>
      <c r="L2562" s="9" t="str">
        <f t="shared" si="159"/>
        <v/>
      </c>
    </row>
    <row r="2563" spans="3:12" x14ac:dyDescent="0.2">
      <c r="C2563"/>
      <c r="L2563" s="9" t="str">
        <f t="shared" si="159"/>
        <v/>
      </c>
    </row>
    <row r="2564" spans="3:12" x14ac:dyDescent="0.2">
      <c r="C2564"/>
      <c r="L2564" s="9" t="str">
        <f t="shared" si="159"/>
        <v/>
      </c>
    </row>
    <row r="2565" spans="3:12" x14ac:dyDescent="0.2">
      <c r="C2565"/>
      <c r="L2565" s="9" t="str">
        <f t="shared" si="159"/>
        <v/>
      </c>
    </row>
    <row r="2566" spans="3:12" x14ac:dyDescent="0.2">
      <c r="C2566"/>
      <c r="L2566" s="9" t="str">
        <f t="shared" si="159"/>
        <v/>
      </c>
    </row>
    <row r="2567" spans="3:12" x14ac:dyDescent="0.2">
      <c r="C2567"/>
      <c r="L2567" s="9" t="str">
        <f t="shared" si="159"/>
        <v/>
      </c>
    </row>
    <row r="2568" spans="3:12" x14ac:dyDescent="0.2">
      <c r="C2568"/>
      <c r="L2568" s="9" t="str">
        <f t="shared" si="159"/>
        <v/>
      </c>
    </row>
    <row r="2569" spans="3:12" x14ac:dyDescent="0.2">
      <c r="C2569"/>
      <c r="L2569" s="9" t="str">
        <f t="shared" si="159"/>
        <v/>
      </c>
    </row>
    <row r="2570" spans="3:12" x14ac:dyDescent="0.2">
      <c r="C2570"/>
      <c r="L2570" s="9" t="str">
        <f t="shared" si="159"/>
        <v/>
      </c>
    </row>
    <row r="2571" spans="3:12" x14ac:dyDescent="0.2">
      <c r="C2571"/>
      <c r="L2571" s="9" t="str">
        <f t="shared" si="159"/>
        <v/>
      </c>
    </row>
    <row r="2572" spans="3:12" x14ac:dyDescent="0.2">
      <c r="C2572"/>
      <c r="L2572" s="9" t="str">
        <f t="shared" si="159"/>
        <v/>
      </c>
    </row>
    <row r="2573" spans="3:12" x14ac:dyDescent="0.2">
      <c r="C2573"/>
      <c r="L2573" s="9" t="str">
        <f t="shared" si="159"/>
        <v/>
      </c>
    </row>
    <row r="2574" spans="3:12" x14ac:dyDescent="0.2">
      <c r="C2574"/>
      <c r="L2574" s="9" t="str">
        <f t="shared" si="159"/>
        <v/>
      </c>
    </row>
    <row r="2575" spans="3:12" x14ac:dyDescent="0.2">
      <c r="C2575"/>
      <c r="L2575" s="9" t="str">
        <f t="shared" si="159"/>
        <v/>
      </c>
    </row>
    <row r="2576" spans="3:12" x14ac:dyDescent="0.2">
      <c r="C2576"/>
      <c r="L2576" s="9" t="str">
        <f t="shared" si="159"/>
        <v/>
      </c>
    </row>
    <row r="2577" spans="3:12" x14ac:dyDescent="0.2">
      <c r="C2577"/>
      <c r="L2577" s="9" t="str">
        <f t="shared" si="159"/>
        <v/>
      </c>
    </row>
    <row r="2578" spans="3:12" x14ac:dyDescent="0.2">
      <c r="C2578"/>
      <c r="L2578" s="9" t="str">
        <f t="shared" si="159"/>
        <v/>
      </c>
    </row>
    <row r="2579" spans="3:12" x14ac:dyDescent="0.2">
      <c r="C2579"/>
      <c r="L2579" s="9" t="str">
        <f t="shared" si="159"/>
        <v/>
      </c>
    </row>
    <row r="2580" spans="3:12" x14ac:dyDescent="0.2">
      <c r="C2580"/>
      <c r="L2580" s="9" t="str">
        <f t="shared" si="159"/>
        <v/>
      </c>
    </row>
    <row r="2581" spans="3:12" x14ac:dyDescent="0.2">
      <c r="C2581"/>
      <c r="L2581" s="9" t="str">
        <f t="shared" si="159"/>
        <v/>
      </c>
    </row>
    <row r="2582" spans="3:12" x14ac:dyDescent="0.2">
      <c r="C2582"/>
      <c r="L2582" s="9" t="str">
        <f t="shared" si="159"/>
        <v/>
      </c>
    </row>
    <row r="2583" spans="3:12" x14ac:dyDescent="0.2">
      <c r="C2583"/>
      <c r="L2583" s="9" t="str">
        <f t="shared" si="159"/>
        <v/>
      </c>
    </row>
    <row r="2584" spans="3:12" x14ac:dyDescent="0.2">
      <c r="C2584"/>
      <c r="L2584" s="9" t="str">
        <f t="shared" si="159"/>
        <v/>
      </c>
    </row>
    <row r="2585" spans="3:12" x14ac:dyDescent="0.2">
      <c r="C2585"/>
      <c r="L2585" s="9" t="str">
        <f t="shared" si="159"/>
        <v/>
      </c>
    </row>
    <row r="2586" spans="3:12" x14ac:dyDescent="0.2">
      <c r="C2586"/>
      <c r="L2586" s="9" t="str">
        <f t="shared" si="159"/>
        <v/>
      </c>
    </row>
    <row r="2587" spans="3:12" x14ac:dyDescent="0.2">
      <c r="C2587"/>
      <c r="L2587" s="9" t="str">
        <f t="shared" si="159"/>
        <v/>
      </c>
    </row>
    <row r="2588" spans="3:12" x14ac:dyDescent="0.2">
      <c r="C2588"/>
      <c r="L2588" s="9" t="str">
        <f t="shared" si="159"/>
        <v/>
      </c>
    </row>
    <row r="2589" spans="3:12" x14ac:dyDescent="0.2">
      <c r="C2589"/>
      <c r="L2589" s="9" t="str">
        <f t="shared" si="159"/>
        <v/>
      </c>
    </row>
    <row r="2590" spans="3:12" x14ac:dyDescent="0.2">
      <c r="C2590"/>
      <c r="L2590" s="9" t="str">
        <f t="shared" si="159"/>
        <v/>
      </c>
    </row>
    <row r="2591" spans="3:12" x14ac:dyDescent="0.2">
      <c r="C2591"/>
      <c r="L2591" s="9" t="str">
        <f t="shared" si="159"/>
        <v/>
      </c>
    </row>
    <row r="2592" spans="3:12" x14ac:dyDescent="0.2">
      <c r="C2592"/>
      <c r="L2592" s="9" t="str">
        <f t="shared" si="159"/>
        <v/>
      </c>
    </row>
    <row r="2593" spans="3:12" x14ac:dyDescent="0.2">
      <c r="C2593"/>
      <c r="L2593" s="9" t="str">
        <f t="shared" si="159"/>
        <v/>
      </c>
    </row>
    <row r="2594" spans="3:12" x14ac:dyDescent="0.2">
      <c r="C2594"/>
      <c r="L2594" s="9" t="str">
        <f t="shared" si="159"/>
        <v/>
      </c>
    </row>
    <row r="2595" spans="3:12" x14ac:dyDescent="0.2">
      <c r="C2595"/>
      <c r="L2595" s="9" t="str">
        <f t="shared" si="159"/>
        <v/>
      </c>
    </row>
    <row r="2596" spans="3:12" x14ac:dyDescent="0.2">
      <c r="C2596"/>
      <c r="L2596" s="9" t="str">
        <f t="shared" si="159"/>
        <v/>
      </c>
    </row>
    <row r="2597" spans="3:12" x14ac:dyDescent="0.2">
      <c r="C2597"/>
      <c r="L2597" s="9" t="str">
        <f t="shared" si="159"/>
        <v/>
      </c>
    </row>
    <row r="2598" spans="3:12" x14ac:dyDescent="0.2">
      <c r="C2598"/>
      <c r="L2598" s="9" t="str">
        <f t="shared" si="159"/>
        <v/>
      </c>
    </row>
    <row r="2599" spans="3:12" x14ac:dyDescent="0.2">
      <c r="C2599"/>
      <c r="L2599" s="9" t="str">
        <f t="shared" si="159"/>
        <v/>
      </c>
    </row>
    <row r="2600" spans="3:12" x14ac:dyDescent="0.2">
      <c r="C2600"/>
      <c r="L2600" s="9" t="str">
        <f t="shared" si="159"/>
        <v/>
      </c>
    </row>
    <row r="2601" spans="3:12" x14ac:dyDescent="0.2">
      <c r="C2601"/>
      <c r="L2601" s="9" t="str">
        <f t="shared" si="159"/>
        <v/>
      </c>
    </row>
    <row r="2602" spans="3:12" x14ac:dyDescent="0.2">
      <c r="C2602"/>
      <c r="L2602" s="9" t="str">
        <f t="shared" si="159"/>
        <v/>
      </c>
    </row>
    <row r="2603" spans="3:12" x14ac:dyDescent="0.2">
      <c r="C2603"/>
      <c r="L2603" s="9" t="str">
        <f t="shared" si="159"/>
        <v/>
      </c>
    </row>
    <row r="2604" spans="3:12" x14ac:dyDescent="0.2">
      <c r="C2604"/>
      <c r="L2604" s="9" t="str">
        <f t="shared" si="159"/>
        <v/>
      </c>
    </row>
    <row r="2605" spans="3:12" x14ac:dyDescent="0.2">
      <c r="C2605"/>
      <c r="L2605" s="9" t="str">
        <f t="shared" si="159"/>
        <v/>
      </c>
    </row>
    <row r="2606" spans="3:12" x14ac:dyDescent="0.2">
      <c r="C2606"/>
      <c r="L2606" s="9" t="str">
        <f t="shared" si="159"/>
        <v/>
      </c>
    </row>
    <row r="2607" spans="3:12" x14ac:dyDescent="0.2">
      <c r="C2607"/>
      <c r="L2607" s="9" t="str">
        <f t="shared" si="159"/>
        <v/>
      </c>
    </row>
    <row r="2608" spans="3:12" x14ac:dyDescent="0.2">
      <c r="C2608"/>
      <c r="L2608" s="9" t="str">
        <f t="shared" si="159"/>
        <v/>
      </c>
    </row>
    <row r="2609" spans="3:12" x14ac:dyDescent="0.2">
      <c r="C2609"/>
      <c r="L2609" s="9" t="str">
        <f t="shared" si="159"/>
        <v/>
      </c>
    </row>
    <row r="2610" spans="3:12" x14ac:dyDescent="0.2">
      <c r="C2610"/>
      <c r="L2610" s="9" t="str">
        <f t="shared" si="159"/>
        <v/>
      </c>
    </row>
    <row r="2611" spans="3:12" x14ac:dyDescent="0.2">
      <c r="C2611"/>
      <c r="L2611" s="9" t="str">
        <f t="shared" si="159"/>
        <v/>
      </c>
    </row>
    <row r="2612" spans="3:12" x14ac:dyDescent="0.2">
      <c r="C2612"/>
      <c r="L2612" s="9" t="str">
        <f t="shared" si="159"/>
        <v/>
      </c>
    </row>
    <row r="2613" spans="3:12" x14ac:dyDescent="0.2">
      <c r="C2613"/>
      <c r="L2613" s="9" t="str">
        <f t="shared" si="159"/>
        <v/>
      </c>
    </row>
    <row r="2614" spans="3:12" x14ac:dyDescent="0.2">
      <c r="C2614"/>
      <c r="L2614" s="9" t="str">
        <f t="shared" si="159"/>
        <v/>
      </c>
    </row>
    <row r="2615" spans="3:12" x14ac:dyDescent="0.2">
      <c r="C2615"/>
      <c r="L2615" s="9" t="str">
        <f t="shared" si="159"/>
        <v/>
      </c>
    </row>
    <row r="2616" spans="3:12" x14ac:dyDescent="0.2">
      <c r="C2616"/>
      <c r="L2616" s="9" t="str">
        <f t="shared" si="159"/>
        <v/>
      </c>
    </row>
    <row r="2617" spans="3:12" x14ac:dyDescent="0.2">
      <c r="C2617"/>
      <c r="L2617" s="9" t="str">
        <f t="shared" si="159"/>
        <v/>
      </c>
    </row>
    <row r="2618" spans="3:12" x14ac:dyDescent="0.2">
      <c r="C2618"/>
      <c r="L2618" s="9" t="str">
        <f t="shared" si="159"/>
        <v/>
      </c>
    </row>
    <row r="2619" spans="3:12" x14ac:dyDescent="0.2">
      <c r="C2619"/>
      <c r="L2619" s="9" t="str">
        <f t="shared" si="159"/>
        <v/>
      </c>
    </row>
    <row r="2620" spans="3:12" x14ac:dyDescent="0.2">
      <c r="C2620"/>
      <c r="L2620" s="9" t="str">
        <f t="shared" si="159"/>
        <v/>
      </c>
    </row>
    <row r="2621" spans="3:12" x14ac:dyDescent="0.2">
      <c r="C2621"/>
      <c r="L2621" s="9" t="str">
        <f t="shared" ref="L2621:L2684" si="160">IF(A2621="STOCK",E2621,IF(A2621="SOPTION",G2621,IF(A2621="LOPTION",F2621,"")))</f>
        <v/>
      </c>
    </row>
    <row r="2622" spans="3:12" x14ac:dyDescent="0.2">
      <c r="C2622"/>
      <c r="L2622" s="9" t="str">
        <f t="shared" si="160"/>
        <v/>
      </c>
    </row>
    <row r="2623" spans="3:12" x14ac:dyDescent="0.2">
      <c r="C2623"/>
      <c r="L2623" s="9" t="str">
        <f t="shared" si="160"/>
        <v/>
      </c>
    </row>
    <row r="2624" spans="3:12" x14ac:dyDescent="0.2">
      <c r="C2624"/>
      <c r="L2624" s="9" t="str">
        <f t="shared" si="160"/>
        <v/>
      </c>
    </row>
    <row r="2625" spans="3:12" x14ac:dyDescent="0.2">
      <c r="C2625"/>
      <c r="L2625" s="9" t="str">
        <f t="shared" si="160"/>
        <v/>
      </c>
    </row>
    <row r="2626" spans="3:12" x14ac:dyDescent="0.2">
      <c r="C2626"/>
      <c r="L2626" s="9" t="str">
        <f t="shared" si="160"/>
        <v/>
      </c>
    </row>
    <row r="2627" spans="3:12" x14ac:dyDescent="0.2">
      <c r="C2627"/>
      <c r="L2627" s="9" t="str">
        <f t="shared" si="160"/>
        <v/>
      </c>
    </row>
    <row r="2628" spans="3:12" x14ac:dyDescent="0.2">
      <c r="C2628"/>
      <c r="L2628" s="9" t="str">
        <f t="shared" si="160"/>
        <v/>
      </c>
    </row>
    <row r="2629" spans="3:12" x14ac:dyDescent="0.2">
      <c r="C2629"/>
      <c r="L2629" s="9" t="str">
        <f t="shared" si="160"/>
        <v/>
      </c>
    </row>
    <row r="2630" spans="3:12" x14ac:dyDescent="0.2">
      <c r="C2630"/>
      <c r="L2630" s="9" t="str">
        <f t="shared" si="160"/>
        <v/>
      </c>
    </row>
    <row r="2631" spans="3:12" x14ac:dyDescent="0.2">
      <c r="C2631"/>
      <c r="L2631" s="9" t="str">
        <f t="shared" si="160"/>
        <v/>
      </c>
    </row>
    <row r="2632" spans="3:12" x14ac:dyDescent="0.2">
      <c r="C2632"/>
      <c r="L2632" s="9" t="str">
        <f t="shared" si="160"/>
        <v/>
      </c>
    </row>
    <row r="2633" spans="3:12" x14ac:dyDescent="0.2">
      <c r="C2633"/>
      <c r="L2633" s="9" t="str">
        <f t="shared" si="160"/>
        <v/>
      </c>
    </row>
    <row r="2634" spans="3:12" x14ac:dyDescent="0.2">
      <c r="C2634"/>
      <c r="L2634" s="9" t="str">
        <f t="shared" si="160"/>
        <v/>
      </c>
    </row>
    <row r="2635" spans="3:12" x14ac:dyDescent="0.2">
      <c r="C2635"/>
      <c r="L2635" s="9" t="str">
        <f t="shared" si="160"/>
        <v/>
      </c>
    </row>
    <row r="2636" spans="3:12" x14ac:dyDescent="0.2">
      <c r="C2636"/>
      <c r="L2636" s="9" t="str">
        <f t="shared" si="160"/>
        <v/>
      </c>
    </row>
    <row r="2637" spans="3:12" x14ac:dyDescent="0.2">
      <c r="C2637"/>
      <c r="L2637" s="9" t="str">
        <f t="shared" si="160"/>
        <v/>
      </c>
    </row>
    <row r="2638" spans="3:12" x14ac:dyDescent="0.2">
      <c r="C2638"/>
      <c r="L2638" s="9" t="str">
        <f t="shared" si="160"/>
        <v/>
      </c>
    </row>
    <row r="2639" spans="3:12" x14ac:dyDescent="0.2">
      <c r="C2639"/>
      <c r="L2639" s="9" t="str">
        <f t="shared" si="160"/>
        <v/>
      </c>
    </row>
    <row r="2640" spans="3:12" x14ac:dyDescent="0.2">
      <c r="C2640"/>
      <c r="L2640" s="9" t="str">
        <f t="shared" si="160"/>
        <v/>
      </c>
    </row>
    <row r="2641" spans="3:12" x14ac:dyDescent="0.2">
      <c r="C2641"/>
      <c r="L2641" s="9" t="str">
        <f t="shared" si="160"/>
        <v/>
      </c>
    </row>
    <row r="2642" spans="3:12" x14ac:dyDescent="0.2">
      <c r="C2642"/>
      <c r="L2642" s="9" t="str">
        <f t="shared" si="160"/>
        <v/>
      </c>
    </row>
    <row r="2643" spans="3:12" x14ac:dyDescent="0.2">
      <c r="C2643"/>
      <c r="L2643" s="9" t="str">
        <f t="shared" si="160"/>
        <v/>
      </c>
    </row>
    <row r="2644" spans="3:12" x14ac:dyDescent="0.2">
      <c r="C2644"/>
      <c r="L2644" s="9" t="str">
        <f t="shared" si="160"/>
        <v/>
      </c>
    </row>
    <row r="2645" spans="3:12" x14ac:dyDescent="0.2">
      <c r="C2645"/>
      <c r="L2645" s="9" t="str">
        <f t="shared" si="160"/>
        <v/>
      </c>
    </row>
    <row r="2646" spans="3:12" x14ac:dyDescent="0.2">
      <c r="C2646"/>
      <c r="L2646" s="9" t="str">
        <f t="shared" si="160"/>
        <v/>
      </c>
    </row>
    <row r="2647" spans="3:12" x14ac:dyDescent="0.2">
      <c r="C2647"/>
      <c r="L2647" s="9" t="str">
        <f t="shared" si="160"/>
        <v/>
      </c>
    </row>
    <row r="2648" spans="3:12" x14ac:dyDescent="0.2">
      <c r="C2648"/>
      <c r="L2648" s="9" t="str">
        <f t="shared" si="160"/>
        <v/>
      </c>
    </row>
    <row r="2649" spans="3:12" x14ac:dyDescent="0.2">
      <c r="C2649"/>
      <c r="L2649" s="9" t="str">
        <f t="shared" si="160"/>
        <v/>
      </c>
    </row>
    <row r="2650" spans="3:12" x14ac:dyDescent="0.2">
      <c r="C2650"/>
      <c r="L2650" s="9" t="str">
        <f t="shared" si="160"/>
        <v/>
      </c>
    </row>
    <row r="2651" spans="3:12" x14ac:dyDescent="0.2">
      <c r="C2651"/>
      <c r="L2651" s="9" t="str">
        <f t="shared" si="160"/>
        <v/>
      </c>
    </row>
    <row r="2652" spans="3:12" x14ac:dyDescent="0.2">
      <c r="C2652"/>
      <c r="L2652" s="9" t="str">
        <f t="shared" si="160"/>
        <v/>
      </c>
    </row>
    <row r="2653" spans="3:12" x14ac:dyDescent="0.2">
      <c r="C2653"/>
      <c r="L2653" s="9" t="str">
        <f t="shared" si="160"/>
        <v/>
      </c>
    </row>
    <row r="2654" spans="3:12" x14ac:dyDescent="0.2">
      <c r="C2654"/>
      <c r="L2654" s="9" t="str">
        <f t="shared" si="160"/>
        <v/>
      </c>
    </row>
    <row r="2655" spans="3:12" x14ac:dyDescent="0.2">
      <c r="C2655"/>
      <c r="L2655" s="9" t="str">
        <f t="shared" si="160"/>
        <v/>
      </c>
    </row>
    <row r="2656" spans="3:12" x14ac:dyDescent="0.2">
      <c r="C2656"/>
      <c r="L2656" s="9" t="str">
        <f t="shared" si="160"/>
        <v/>
      </c>
    </row>
    <row r="2657" spans="3:12" x14ac:dyDescent="0.2">
      <c r="C2657"/>
      <c r="L2657" s="9" t="str">
        <f t="shared" si="160"/>
        <v/>
      </c>
    </row>
    <row r="2658" spans="3:12" x14ac:dyDescent="0.2">
      <c r="C2658"/>
      <c r="L2658" s="9" t="str">
        <f t="shared" si="160"/>
        <v/>
      </c>
    </row>
    <row r="2659" spans="3:12" x14ac:dyDescent="0.2">
      <c r="C2659"/>
      <c r="L2659" s="9" t="str">
        <f t="shared" si="160"/>
        <v/>
      </c>
    </row>
    <row r="2660" spans="3:12" x14ac:dyDescent="0.2">
      <c r="C2660"/>
      <c r="L2660" s="9" t="str">
        <f t="shared" si="160"/>
        <v/>
      </c>
    </row>
    <row r="2661" spans="3:12" x14ac:dyDescent="0.2">
      <c r="C2661"/>
      <c r="L2661" s="9" t="str">
        <f t="shared" si="160"/>
        <v/>
      </c>
    </row>
    <row r="2662" spans="3:12" x14ac:dyDescent="0.2">
      <c r="C2662"/>
      <c r="L2662" s="9" t="str">
        <f t="shared" si="160"/>
        <v/>
      </c>
    </row>
    <row r="2663" spans="3:12" x14ac:dyDescent="0.2">
      <c r="C2663"/>
      <c r="L2663" s="9" t="str">
        <f t="shared" si="160"/>
        <v/>
      </c>
    </row>
    <row r="2664" spans="3:12" x14ac:dyDescent="0.2">
      <c r="C2664"/>
      <c r="L2664" s="9" t="str">
        <f t="shared" si="160"/>
        <v/>
      </c>
    </row>
    <row r="2665" spans="3:12" x14ac:dyDescent="0.2">
      <c r="C2665"/>
      <c r="L2665" s="9" t="str">
        <f t="shared" si="160"/>
        <v/>
      </c>
    </row>
    <row r="2666" spans="3:12" x14ac:dyDescent="0.2">
      <c r="C2666"/>
      <c r="L2666" s="9" t="str">
        <f t="shared" si="160"/>
        <v/>
      </c>
    </row>
    <row r="2667" spans="3:12" x14ac:dyDescent="0.2">
      <c r="C2667"/>
      <c r="L2667" s="9" t="str">
        <f t="shared" si="160"/>
        <v/>
      </c>
    </row>
    <row r="2668" spans="3:12" x14ac:dyDescent="0.2">
      <c r="C2668"/>
      <c r="L2668" s="9" t="str">
        <f t="shared" si="160"/>
        <v/>
      </c>
    </row>
    <row r="2669" spans="3:12" x14ac:dyDescent="0.2">
      <c r="C2669"/>
      <c r="L2669" s="9" t="str">
        <f t="shared" si="160"/>
        <v/>
      </c>
    </row>
    <row r="2670" spans="3:12" x14ac:dyDescent="0.2">
      <c r="C2670"/>
      <c r="L2670" s="9" t="str">
        <f t="shared" si="160"/>
        <v/>
      </c>
    </row>
    <row r="2671" spans="3:12" x14ac:dyDescent="0.2">
      <c r="C2671"/>
      <c r="L2671" s="9" t="str">
        <f t="shared" si="160"/>
        <v/>
      </c>
    </row>
    <row r="2672" spans="3:12" x14ac:dyDescent="0.2">
      <c r="C2672"/>
      <c r="L2672" s="9" t="str">
        <f t="shared" si="160"/>
        <v/>
      </c>
    </row>
    <row r="2673" spans="3:12" x14ac:dyDescent="0.2">
      <c r="C2673"/>
      <c r="L2673" s="9" t="str">
        <f t="shared" si="160"/>
        <v/>
      </c>
    </row>
    <row r="2674" spans="3:12" x14ac:dyDescent="0.2">
      <c r="C2674"/>
      <c r="L2674" s="9" t="str">
        <f t="shared" si="160"/>
        <v/>
      </c>
    </row>
    <row r="2675" spans="3:12" x14ac:dyDescent="0.2">
      <c r="C2675"/>
      <c r="L2675" s="9" t="str">
        <f t="shared" si="160"/>
        <v/>
      </c>
    </row>
    <row r="2676" spans="3:12" x14ac:dyDescent="0.2">
      <c r="C2676"/>
      <c r="L2676" s="9" t="str">
        <f t="shared" si="160"/>
        <v/>
      </c>
    </row>
    <row r="2677" spans="3:12" x14ac:dyDescent="0.2">
      <c r="C2677"/>
      <c r="L2677" s="9" t="str">
        <f t="shared" si="160"/>
        <v/>
      </c>
    </row>
    <row r="2678" spans="3:12" x14ac:dyDescent="0.2">
      <c r="C2678"/>
      <c r="L2678" s="9" t="str">
        <f t="shared" si="160"/>
        <v/>
      </c>
    </row>
    <row r="2679" spans="3:12" x14ac:dyDescent="0.2">
      <c r="C2679"/>
      <c r="L2679" s="9" t="str">
        <f t="shared" si="160"/>
        <v/>
      </c>
    </row>
    <row r="2680" spans="3:12" x14ac:dyDescent="0.2">
      <c r="C2680"/>
      <c r="L2680" s="9" t="str">
        <f t="shared" si="160"/>
        <v/>
      </c>
    </row>
    <row r="2681" spans="3:12" x14ac:dyDescent="0.2">
      <c r="C2681"/>
      <c r="L2681" s="9" t="str">
        <f t="shared" si="160"/>
        <v/>
      </c>
    </row>
    <row r="2682" spans="3:12" x14ac:dyDescent="0.2">
      <c r="C2682"/>
      <c r="L2682" s="9" t="str">
        <f t="shared" si="160"/>
        <v/>
      </c>
    </row>
    <row r="2683" spans="3:12" x14ac:dyDescent="0.2">
      <c r="C2683"/>
      <c r="L2683" s="9" t="str">
        <f t="shared" si="160"/>
        <v/>
      </c>
    </row>
    <row r="2684" spans="3:12" x14ac:dyDescent="0.2">
      <c r="C2684"/>
      <c r="L2684" s="9" t="str">
        <f t="shared" si="160"/>
        <v/>
      </c>
    </row>
    <row r="2685" spans="3:12" x14ac:dyDescent="0.2">
      <c r="C2685"/>
      <c r="L2685" s="9" t="str">
        <f t="shared" ref="L2685:L2748" si="161">IF(A2685="STOCK",E2685,IF(A2685="SOPTION",G2685,IF(A2685="LOPTION",F2685,"")))</f>
        <v/>
      </c>
    </row>
    <row r="2686" spans="3:12" x14ac:dyDescent="0.2">
      <c r="C2686"/>
      <c r="L2686" s="9" t="str">
        <f t="shared" si="161"/>
        <v/>
      </c>
    </row>
    <row r="2687" spans="3:12" x14ac:dyDescent="0.2">
      <c r="C2687"/>
      <c r="L2687" s="9" t="str">
        <f t="shared" si="161"/>
        <v/>
      </c>
    </row>
    <row r="2688" spans="3:12" x14ac:dyDescent="0.2">
      <c r="C2688"/>
      <c r="L2688" s="9" t="str">
        <f t="shared" si="161"/>
        <v/>
      </c>
    </row>
    <row r="2689" spans="3:12" x14ac:dyDescent="0.2">
      <c r="C2689"/>
      <c r="L2689" s="9" t="str">
        <f t="shared" si="161"/>
        <v/>
      </c>
    </row>
    <row r="2690" spans="3:12" x14ac:dyDescent="0.2">
      <c r="C2690"/>
      <c r="L2690" s="9" t="str">
        <f t="shared" si="161"/>
        <v/>
      </c>
    </row>
    <row r="2691" spans="3:12" x14ac:dyDescent="0.2">
      <c r="C2691"/>
      <c r="L2691" s="9" t="str">
        <f t="shared" si="161"/>
        <v/>
      </c>
    </row>
    <row r="2692" spans="3:12" x14ac:dyDescent="0.2">
      <c r="C2692"/>
      <c r="L2692" s="9" t="str">
        <f t="shared" si="161"/>
        <v/>
      </c>
    </row>
    <row r="2693" spans="3:12" x14ac:dyDescent="0.2">
      <c r="C2693"/>
      <c r="L2693" s="9" t="str">
        <f t="shared" si="161"/>
        <v/>
      </c>
    </row>
    <row r="2694" spans="3:12" x14ac:dyDescent="0.2">
      <c r="C2694"/>
      <c r="L2694" s="9" t="str">
        <f t="shared" si="161"/>
        <v/>
      </c>
    </row>
    <row r="2695" spans="3:12" x14ac:dyDescent="0.2">
      <c r="C2695"/>
      <c r="L2695" s="9" t="str">
        <f t="shared" si="161"/>
        <v/>
      </c>
    </row>
    <row r="2696" spans="3:12" x14ac:dyDescent="0.2">
      <c r="C2696"/>
      <c r="L2696" s="9" t="str">
        <f t="shared" si="161"/>
        <v/>
      </c>
    </row>
    <row r="2697" spans="3:12" x14ac:dyDescent="0.2">
      <c r="C2697"/>
      <c r="L2697" s="9" t="str">
        <f t="shared" si="161"/>
        <v/>
      </c>
    </row>
    <row r="2698" spans="3:12" x14ac:dyDescent="0.2">
      <c r="C2698"/>
      <c r="L2698" s="9" t="str">
        <f t="shared" si="161"/>
        <v/>
      </c>
    </row>
    <row r="2699" spans="3:12" x14ac:dyDescent="0.2">
      <c r="C2699"/>
      <c r="L2699" s="9" t="str">
        <f t="shared" si="161"/>
        <v/>
      </c>
    </row>
    <row r="2700" spans="3:12" x14ac:dyDescent="0.2">
      <c r="C2700"/>
      <c r="L2700" s="9" t="str">
        <f t="shared" si="161"/>
        <v/>
      </c>
    </row>
    <row r="2701" spans="3:12" x14ac:dyDescent="0.2">
      <c r="C2701"/>
      <c r="L2701" s="9" t="str">
        <f t="shared" si="161"/>
        <v/>
      </c>
    </row>
    <row r="2702" spans="3:12" x14ac:dyDescent="0.2">
      <c r="C2702"/>
      <c r="L2702" s="9" t="str">
        <f t="shared" si="161"/>
        <v/>
      </c>
    </row>
    <row r="2703" spans="3:12" x14ac:dyDescent="0.2">
      <c r="C2703"/>
      <c r="L2703" s="9" t="str">
        <f t="shared" si="161"/>
        <v/>
      </c>
    </row>
    <row r="2704" spans="3:12" x14ac:dyDescent="0.2">
      <c r="C2704"/>
      <c r="L2704" s="9" t="str">
        <f t="shared" si="161"/>
        <v/>
      </c>
    </row>
    <row r="2705" spans="3:12" x14ac:dyDescent="0.2">
      <c r="C2705"/>
      <c r="L2705" s="9" t="str">
        <f t="shared" si="161"/>
        <v/>
      </c>
    </row>
    <row r="2706" spans="3:12" x14ac:dyDescent="0.2">
      <c r="C2706"/>
      <c r="L2706" s="9" t="str">
        <f t="shared" si="161"/>
        <v/>
      </c>
    </row>
    <row r="2707" spans="3:12" x14ac:dyDescent="0.2">
      <c r="C2707"/>
      <c r="L2707" s="9" t="str">
        <f t="shared" si="161"/>
        <v/>
      </c>
    </row>
    <row r="2708" spans="3:12" x14ac:dyDescent="0.2">
      <c r="C2708"/>
      <c r="L2708" s="9" t="str">
        <f t="shared" si="161"/>
        <v/>
      </c>
    </row>
    <row r="2709" spans="3:12" x14ac:dyDescent="0.2">
      <c r="C2709"/>
      <c r="L2709" s="9" t="str">
        <f t="shared" si="161"/>
        <v/>
      </c>
    </row>
    <row r="2710" spans="3:12" x14ac:dyDescent="0.2">
      <c r="C2710"/>
      <c r="L2710" s="9" t="str">
        <f t="shared" si="161"/>
        <v/>
      </c>
    </row>
    <row r="2711" spans="3:12" x14ac:dyDescent="0.2">
      <c r="C2711"/>
      <c r="L2711" s="9" t="str">
        <f t="shared" si="161"/>
        <v/>
      </c>
    </row>
    <row r="2712" spans="3:12" x14ac:dyDescent="0.2">
      <c r="C2712"/>
      <c r="L2712" s="9" t="str">
        <f t="shared" si="161"/>
        <v/>
      </c>
    </row>
    <row r="2713" spans="3:12" x14ac:dyDescent="0.2">
      <c r="C2713"/>
      <c r="L2713" s="9" t="str">
        <f t="shared" si="161"/>
        <v/>
      </c>
    </row>
    <row r="2714" spans="3:12" x14ac:dyDescent="0.2">
      <c r="C2714"/>
      <c r="L2714" s="9" t="str">
        <f t="shared" si="161"/>
        <v/>
      </c>
    </row>
    <row r="2715" spans="3:12" x14ac:dyDescent="0.2">
      <c r="C2715"/>
      <c r="L2715" s="9" t="str">
        <f t="shared" si="161"/>
        <v/>
      </c>
    </row>
    <row r="2716" spans="3:12" x14ac:dyDescent="0.2">
      <c r="C2716"/>
      <c r="L2716" s="9" t="str">
        <f t="shared" si="161"/>
        <v/>
      </c>
    </row>
    <row r="2717" spans="3:12" x14ac:dyDescent="0.2">
      <c r="C2717"/>
      <c r="L2717" s="9" t="str">
        <f t="shared" si="161"/>
        <v/>
      </c>
    </row>
    <row r="2718" spans="3:12" x14ac:dyDescent="0.2">
      <c r="C2718"/>
      <c r="L2718" s="9" t="str">
        <f t="shared" si="161"/>
        <v/>
      </c>
    </row>
    <row r="2719" spans="3:12" x14ac:dyDescent="0.2">
      <c r="C2719"/>
      <c r="L2719" s="9" t="str">
        <f t="shared" si="161"/>
        <v/>
      </c>
    </row>
    <row r="2720" spans="3:12" x14ac:dyDescent="0.2">
      <c r="C2720"/>
      <c r="L2720" s="9" t="str">
        <f t="shared" si="161"/>
        <v/>
      </c>
    </row>
    <row r="2721" spans="3:12" x14ac:dyDescent="0.2">
      <c r="C2721"/>
      <c r="L2721" s="9" t="str">
        <f t="shared" si="161"/>
        <v/>
      </c>
    </row>
    <row r="2722" spans="3:12" x14ac:dyDescent="0.2">
      <c r="C2722"/>
      <c r="L2722" s="9" t="str">
        <f t="shared" si="161"/>
        <v/>
      </c>
    </row>
    <row r="2723" spans="3:12" x14ac:dyDescent="0.2">
      <c r="C2723"/>
      <c r="L2723" s="9" t="str">
        <f t="shared" si="161"/>
        <v/>
      </c>
    </row>
    <row r="2724" spans="3:12" x14ac:dyDescent="0.2">
      <c r="C2724"/>
      <c r="L2724" s="9" t="str">
        <f t="shared" si="161"/>
        <v/>
      </c>
    </row>
    <row r="2725" spans="3:12" x14ac:dyDescent="0.2">
      <c r="C2725"/>
      <c r="L2725" s="9" t="str">
        <f t="shared" si="161"/>
        <v/>
      </c>
    </row>
    <row r="2726" spans="3:12" x14ac:dyDescent="0.2">
      <c r="C2726"/>
      <c r="L2726" s="9" t="str">
        <f t="shared" si="161"/>
        <v/>
      </c>
    </row>
    <row r="2727" spans="3:12" x14ac:dyDescent="0.2">
      <c r="C2727"/>
      <c r="L2727" s="9" t="str">
        <f t="shared" si="161"/>
        <v/>
      </c>
    </row>
    <row r="2728" spans="3:12" x14ac:dyDescent="0.2">
      <c r="C2728"/>
      <c r="L2728" s="9" t="str">
        <f t="shared" si="161"/>
        <v/>
      </c>
    </row>
    <row r="2729" spans="3:12" x14ac:dyDescent="0.2">
      <c r="C2729"/>
      <c r="L2729" s="9" t="str">
        <f t="shared" si="161"/>
        <v/>
      </c>
    </row>
    <row r="2730" spans="3:12" x14ac:dyDescent="0.2">
      <c r="C2730"/>
      <c r="L2730" s="9" t="str">
        <f t="shared" si="161"/>
        <v/>
      </c>
    </row>
    <row r="2731" spans="3:12" x14ac:dyDescent="0.2">
      <c r="C2731"/>
      <c r="L2731" s="9" t="str">
        <f t="shared" si="161"/>
        <v/>
      </c>
    </row>
    <row r="2732" spans="3:12" x14ac:dyDescent="0.2">
      <c r="C2732"/>
      <c r="L2732" s="9" t="str">
        <f t="shared" si="161"/>
        <v/>
      </c>
    </row>
    <row r="2733" spans="3:12" x14ac:dyDescent="0.2">
      <c r="C2733"/>
      <c r="L2733" s="9" t="str">
        <f t="shared" si="161"/>
        <v/>
      </c>
    </row>
    <row r="2734" spans="3:12" x14ac:dyDescent="0.2">
      <c r="C2734"/>
      <c r="L2734" s="9" t="str">
        <f t="shared" si="161"/>
        <v/>
      </c>
    </row>
    <row r="2735" spans="3:12" x14ac:dyDescent="0.2">
      <c r="C2735"/>
      <c r="L2735" s="9" t="str">
        <f t="shared" si="161"/>
        <v/>
      </c>
    </row>
    <row r="2736" spans="3:12" x14ac:dyDescent="0.2">
      <c r="C2736"/>
      <c r="L2736" s="9" t="str">
        <f t="shared" si="161"/>
        <v/>
      </c>
    </row>
    <row r="2737" spans="3:12" x14ac:dyDescent="0.2">
      <c r="C2737"/>
      <c r="L2737" s="9" t="str">
        <f t="shared" si="161"/>
        <v/>
      </c>
    </row>
    <row r="2738" spans="3:12" x14ac:dyDescent="0.2">
      <c r="C2738"/>
      <c r="L2738" s="9" t="str">
        <f t="shared" si="161"/>
        <v/>
      </c>
    </row>
    <row r="2739" spans="3:12" x14ac:dyDescent="0.2">
      <c r="C2739"/>
      <c r="L2739" s="9" t="str">
        <f t="shared" si="161"/>
        <v/>
      </c>
    </row>
    <row r="2740" spans="3:12" x14ac:dyDescent="0.2">
      <c r="C2740"/>
      <c r="L2740" s="9" t="str">
        <f t="shared" si="161"/>
        <v/>
      </c>
    </row>
    <row r="2741" spans="3:12" x14ac:dyDescent="0.2">
      <c r="C2741"/>
      <c r="L2741" s="9" t="str">
        <f t="shared" si="161"/>
        <v/>
      </c>
    </row>
    <row r="2742" spans="3:12" x14ac:dyDescent="0.2">
      <c r="C2742"/>
      <c r="L2742" s="9" t="str">
        <f t="shared" si="161"/>
        <v/>
      </c>
    </row>
    <row r="2743" spans="3:12" x14ac:dyDescent="0.2">
      <c r="C2743"/>
      <c r="L2743" s="9" t="str">
        <f t="shared" si="161"/>
        <v/>
      </c>
    </row>
    <row r="2744" spans="3:12" x14ac:dyDescent="0.2">
      <c r="C2744"/>
      <c r="L2744" s="9" t="str">
        <f t="shared" si="161"/>
        <v/>
      </c>
    </row>
    <row r="2745" spans="3:12" x14ac:dyDescent="0.2">
      <c r="C2745"/>
      <c r="L2745" s="9" t="str">
        <f t="shared" si="161"/>
        <v/>
      </c>
    </row>
    <row r="2746" spans="3:12" x14ac:dyDescent="0.2">
      <c r="C2746"/>
      <c r="L2746" s="9" t="str">
        <f t="shared" si="161"/>
        <v/>
      </c>
    </row>
    <row r="2747" spans="3:12" x14ac:dyDescent="0.2">
      <c r="C2747"/>
      <c r="L2747" s="9" t="str">
        <f t="shared" si="161"/>
        <v/>
      </c>
    </row>
    <row r="2748" spans="3:12" x14ac:dyDescent="0.2">
      <c r="C2748"/>
      <c r="L2748" s="9" t="str">
        <f t="shared" si="161"/>
        <v/>
      </c>
    </row>
    <row r="2749" spans="3:12" x14ac:dyDescent="0.2">
      <c r="C2749"/>
      <c r="L2749" s="9" t="str">
        <f t="shared" ref="L2749:L2812" si="162">IF(A2749="STOCK",E2749,IF(A2749="SOPTION",G2749,IF(A2749="LOPTION",F2749,"")))</f>
        <v/>
      </c>
    </row>
    <row r="2750" spans="3:12" x14ac:dyDescent="0.2">
      <c r="C2750"/>
      <c r="L2750" s="9" t="str">
        <f t="shared" si="162"/>
        <v/>
      </c>
    </row>
    <row r="2751" spans="3:12" x14ac:dyDescent="0.2">
      <c r="C2751"/>
      <c r="L2751" s="9" t="str">
        <f t="shared" si="162"/>
        <v/>
      </c>
    </row>
    <row r="2752" spans="3:12" x14ac:dyDescent="0.2">
      <c r="C2752"/>
      <c r="L2752" s="9" t="str">
        <f t="shared" si="162"/>
        <v/>
      </c>
    </row>
    <row r="2753" spans="3:12" x14ac:dyDescent="0.2">
      <c r="C2753"/>
      <c r="L2753" s="9" t="str">
        <f t="shared" si="162"/>
        <v/>
      </c>
    </row>
    <row r="2754" spans="3:12" x14ac:dyDescent="0.2">
      <c r="C2754"/>
      <c r="L2754" s="9" t="str">
        <f t="shared" si="162"/>
        <v/>
      </c>
    </row>
    <row r="2755" spans="3:12" x14ac:dyDescent="0.2">
      <c r="C2755"/>
      <c r="L2755" s="9" t="str">
        <f t="shared" si="162"/>
        <v/>
      </c>
    </row>
    <row r="2756" spans="3:12" x14ac:dyDescent="0.2">
      <c r="C2756"/>
      <c r="L2756" s="9" t="str">
        <f t="shared" si="162"/>
        <v/>
      </c>
    </row>
    <row r="2757" spans="3:12" x14ac:dyDescent="0.2">
      <c r="C2757"/>
      <c r="L2757" s="9" t="str">
        <f t="shared" si="162"/>
        <v/>
      </c>
    </row>
    <row r="2758" spans="3:12" x14ac:dyDescent="0.2">
      <c r="C2758"/>
      <c r="L2758" s="9" t="str">
        <f t="shared" si="162"/>
        <v/>
      </c>
    </row>
    <row r="2759" spans="3:12" x14ac:dyDescent="0.2">
      <c r="C2759"/>
      <c r="L2759" s="9" t="str">
        <f t="shared" si="162"/>
        <v/>
      </c>
    </row>
    <row r="2760" spans="3:12" x14ac:dyDescent="0.2">
      <c r="C2760"/>
      <c r="L2760" s="9" t="str">
        <f t="shared" si="162"/>
        <v/>
      </c>
    </row>
    <row r="2761" spans="3:12" x14ac:dyDescent="0.2">
      <c r="C2761"/>
      <c r="L2761" s="9" t="str">
        <f t="shared" si="162"/>
        <v/>
      </c>
    </row>
    <row r="2762" spans="3:12" x14ac:dyDescent="0.2">
      <c r="C2762"/>
      <c r="L2762" s="9" t="str">
        <f t="shared" si="162"/>
        <v/>
      </c>
    </row>
    <row r="2763" spans="3:12" x14ac:dyDescent="0.2">
      <c r="C2763"/>
      <c r="L2763" s="9" t="str">
        <f t="shared" si="162"/>
        <v/>
      </c>
    </row>
    <row r="2764" spans="3:12" x14ac:dyDescent="0.2">
      <c r="C2764"/>
      <c r="L2764" s="9" t="str">
        <f t="shared" si="162"/>
        <v/>
      </c>
    </row>
    <row r="2765" spans="3:12" x14ac:dyDescent="0.2">
      <c r="C2765"/>
      <c r="L2765" s="9" t="str">
        <f t="shared" si="162"/>
        <v/>
      </c>
    </row>
    <row r="2766" spans="3:12" x14ac:dyDescent="0.2">
      <c r="C2766"/>
      <c r="L2766" s="9" t="str">
        <f t="shared" si="162"/>
        <v/>
      </c>
    </row>
    <row r="2767" spans="3:12" x14ac:dyDescent="0.2">
      <c r="C2767"/>
      <c r="L2767" s="9" t="str">
        <f t="shared" si="162"/>
        <v/>
      </c>
    </row>
    <row r="2768" spans="3:12" x14ac:dyDescent="0.2">
      <c r="C2768"/>
      <c r="L2768" s="9" t="str">
        <f t="shared" si="162"/>
        <v/>
      </c>
    </row>
    <row r="2769" spans="3:12" x14ac:dyDescent="0.2">
      <c r="C2769"/>
      <c r="L2769" s="9" t="str">
        <f t="shared" si="162"/>
        <v/>
      </c>
    </row>
    <row r="2770" spans="3:12" x14ac:dyDescent="0.2">
      <c r="C2770"/>
      <c r="L2770" s="9" t="str">
        <f t="shared" si="162"/>
        <v/>
      </c>
    </row>
    <row r="2771" spans="3:12" x14ac:dyDescent="0.2">
      <c r="C2771"/>
      <c r="L2771" s="9" t="str">
        <f t="shared" si="162"/>
        <v/>
      </c>
    </row>
    <row r="2772" spans="3:12" x14ac:dyDescent="0.2">
      <c r="C2772"/>
      <c r="L2772" s="9" t="str">
        <f t="shared" si="162"/>
        <v/>
      </c>
    </row>
    <row r="2773" spans="3:12" x14ac:dyDescent="0.2">
      <c r="C2773"/>
      <c r="L2773" s="9" t="str">
        <f t="shared" si="162"/>
        <v/>
      </c>
    </row>
    <row r="2774" spans="3:12" x14ac:dyDescent="0.2">
      <c r="C2774"/>
      <c r="L2774" s="9" t="str">
        <f t="shared" si="162"/>
        <v/>
      </c>
    </row>
    <row r="2775" spans="3:12" x14ac:dyDescent="0.2">
      <c r="C2775"/>
      <c r="L2775" s="9" t="str">
        <f t="shared" si="162"/>
        <v/>
      </c>
    </row>
    <row r="2776" spans="3:12" x14ac:dyDescent="0.2">
      <c r="C2776"/>
      <c r="L2776" s="9" t="str">
        <f t="shared" si="162"/>
        <v/>
      </c>
    </row>
    <row r="2777" spans="3:12" x14ac:dyDescent="0.2">
      <c r="C2777"/>
      <c r="L2777" s="9" t="str">
        <f t="shared" si="162"/>
        <v/>
      </c>
    </row>
    <row r="2778" spans="3:12" x14ac:dyDescent="0.2">
      <c r="C2778"/>
      <c r="L2778" s="9" t="str">
        <f t="shared" si="162"/>
        <v/>
      </c>
    </row>
    <row r="2779" spans="3:12" x14ac:dyDescent="0.2">
      <c r="C2779"/>
      <c r="L2779" s="9" t="str">
        <f t="shared" si="162"/>
        <v/>
      </c>
    </row>
    <row r="2780" spans="3:12" x14ac:dyDescent="0.2">
      <c r="C2780"/>
      <c r="L2780" s="9" t="str">
        <f t="shared" si="162"/>
        <v/>
      </c>
    </row>
    <row r="2781" spans="3:12" x14ac:dyDescent="0.2">
      <c r="C2781"/>
      <c r="L2781" s="9" t="str">
        <f t="shared" si="162"/>
        <v/>
      </c>
    </row>
    <row r="2782" spans="3:12" x14ac:dyDescent="0.2">
      <c r="C2782"/>
      <c r="L2782" s="9" t="str">
        <f t="shared" si="162"/>
        <v/>
      </c>
    </row>
    <row r="2783" spans="3:12" x14ac:dyDescent="0.2">
      <c r="C2783"/>
      <c r="L2783" s="9" t="str">
        <f t="shared" si="162"/>
        <v/>
      </c>
    </row>
    <row r="2784" spans="3:12" x14ac:dyDescent="0.2">
      <c r="C2784"/>
      <c r="L2784" s="9" t="str">
        <f t="shared" si="162"/>
        <v/>
      </c>
    </row>
    <row r="2785" spans="3:12" x14ac:dyDescent="0.2">
      <c r="C2785"/>
      <c r="L2785" s="9" t="str">
        <f t="shared" si="162"/>
        <v/>
      </c>
    </row>
    <row r="2786" spans="3:12" x14ac:dyDescent="0.2">
      <c r="C2786"/>
      <c r="L2786" s="9" t="str">
        <f t="shared" si="162"/>
        <v/>
      </c>
    </row>
    <row r="2787" spans="3:12" x14ac:dyDescent="0.2">
      <c r="C2787"/>
      <c r="L2787" s="9" t="str">
        <f t="shared" si="162"/>
        <v/>
      </c>
    </row>
    <row r="2788" spans="3:12" x14ac:dyDescent="0.2">
      <c r="C2788"/>
      <c r="L2788" s="9" t="str">
        <f t="shared" si="162"/>
        <v/>
      </c>
    </row>
    <row r="2789" spans="3:12" x14ac:dyDescent="0.2">
      <c r="C2789"/>
      <c r="L2789" s="9" t="str">
        <f t="shared" si="162"/>
        <v/>
      </c>
    </row>
    <row r="2790" spans="3:12" x14ac:dyDescent="0.2">
      <c r="C2790"/>
      <c r="L2790" s="9" t="str">
        <f t="shared" si="162"/>
        <v/>
      </c>
    </row>
    <row r="2791" spans="3:12" x14ac:dyDescent="0.2">
      <c r="C2791"/>
      <c r="L2791" s="9" t="str">
        <f t="shared" si="162"/>
        <v/>
      </c>
    </row>
    <row r="2792" spans="3:12" x14ac:dyDescent="0.2">
      <c r="C2792"/>
      <c r="L2792" s="9" t="str">
        <f t="shared" si="162"/>
        <v/>
      </c>
    </row>
    <row r="2793" spans="3:12" x14ac:dyDescent="0.2">
      <c r="C2793"/>
      <c r="L2793" s="9" t="str">
        <f t="shared" si="162"/>
        <v/>
      </c>
    </row>
    <row r="2794" spans="3:12" x14ac:dyDescent="0.2">
      <c r="C2794"/>
      <c r="L2794" s="9" t="str">
        <f t="shared" si="162"/>
        <v/>
      </c>
    </row>
    <row r="2795" spans="3:12" x14ac:dyDescent="0.2">
      <c r="C2795"/>
      <c r="L2795" s="9" t="str">
        <f t="shared" si="162"/>
        <v/>
      </c>
    </row>
    <row r="2796" spans="3:12" x14ac:dyDescent="0.2">
      <c r="C2796"/>
      <c r="L2796" s="9" t="str">
        <f t="shared" si="162"/>
        <v/>
      </c>
    </row>
    <row r="2797" spans="3:12" x14ac:dyDescent="0.2">
      <c r="C2797"/>
      <c r="L2797" s="9" t="str">
        <f t="shared" si="162"/>
        <v/>
      </c>
    </row>
    <row r="2798" spans="3:12" x14ac:dyDescent="0.2">
      <c r="C2798"/>
      <c r="L2798" s="9" t="str">
        <f t="shared" si="162"/>
        <v/>
      </c>
    </row>
    <row r="2799" spans="3:12" x14ac:dyDescent="0.2">
      <c r="C2799"/>
      <c r="L2799" s="9" t="str">
        <f t="shared" si="162"/>
        <v/>
      </c>
    </row>
    <row r="2800" spans="3:12" x14ac:dyDescent="0.2">
      <c r="C2800"/>
      <c r="L2800" s="9" t="str">
        <f t="shared" si="162"/>
        <v/>
      </c>
    </row>
    <row r="2801" spans="3:12" x14ac:dyDescent="0.2">
      <c r="C2801"/>
      <c r="L2801" s="9" t="str">
        <f t="shared" si="162"/>
        <v/>
      </c>
    </row>
    <row r="2802" spans="3:12" x14ac:dyDescent="0.2">
      <c r="C2802"/>
      <c r="L2802" s="9" t="str">
        <f t="shared" si="162"/>
        <v/>
      </c>
    </row>
    <row r="2803" spans="3:12" x14ac:dyDescent="0.2">
      <c r="C2803"/>
      <c r="L2803" s="9" t="str">
        <f t="shared" si="162"/>
        <v/>
      </c>
    </row>
    <row r="2804" spans="3:12" x14ac:dyDescent="0.2">
      <c r="C2804"/>
      <c r="L2804" s="9" t="str">
        <f t="shared" si="162"/>
        <v/>
      </c>
    </row>
    <row r="2805" spans="3:12" x14ac:dyDescent="0.2">
      <c r="C2805"/>
      <c r="L2805" s="9" t="str">
        <f t="shared" si="162"/>
        <v/>
      </c>
    </row>
    <row r="2806" spans="3:12" x14ac:dyDescent="0.2">
      <c r="C2806"/>
      <c r="L2806" s="9" t="str">
        <f t="shared" si="162"/>
        <v/>
      </c>
    </row>
    <row r="2807" spans="3:12" x14ac:dyDescent="0.2">
      <c r="C2807"/>
      <c r="L2807" s="9" t="str">
        <f t="shared" si="162"/>
        <v/>
      </c>
    </row>
    <row r="2808" spans="3:12" x14ac:dyDescent="0.2">
      <c r="C2808"/>
      <c r="L2808" s="9" t="str">
        <f t="shared" si="162"/>
        <v/>
      </c>
    </row>
    <row r="2809" spans="3:12" x14ac:dyDescent="0.2">
      <c r="C2809"/>
      <c r="L2809" s="9" t="str">
        <f t="shared" si="162"/>
        <v/>
      </c>
    </row>
    <row r="2810" spans="3:12" x14ac:dyDescent="0.2">
      <c r="C2810"/>
      <c r="L2810" s="9" t="str">
        <f t="shared" si="162"/>
        <v/>
      </c>
    </row>
    <row r="2811" spans="3:12" x14ac:dyDescent="0.2">
      <c r="C2811"/>
      <c r="L2811" s="9" t="str">
        <f t="shared" si="162"/>
        <v/>
      </c>
    </row>
    <row r="2812" spans="3:12" x14ac:dyDescent="0.2">
      <c r="C2812"/>
      <c r="L2812" s="9" t="str">
        <f t="shared" si="162"/>
        <v/>
      </c>
    </row>
    <row r="2813" spans="3:12" x14ac:dyDescent="0.2">
      <c r="C2813"/>
      <c r="L2813" s="9" t="str">
        <f t="shared" ref="L2813:L2876" si="163">IF(A2813="STOCK",E2813,IF(A2813="SOPTION",G2813,IF(A2813="LOPTION",F2813,"")))</f>
        <v/>
      </c>
    </row>
    <row r="2814" spans="3:12" x14ac:dyDescent="0.2">
      <c r="C2814"/>
      <c r="L2814" s="9" t="str">
        <f t="shared" si="163"/>
        <v/>
      </c>
    </row>
    <row r="2815" spans="3:12" x14ac:dyDescent="0.2">
      <c r="C2815"/>
      <c r="L2815" s="9" t="str">
        <f t="shared" si="163"/>
        <v/>
      </c>
    </row>
    <row r="2816" spans="3:12" x14ac:dyDescent="0.2">
      <c r="C2816"/>
      <c r="L2816" s="9" t="str">
        <f t="shared" si="163"/>
        <v/>
      </c>
    </row>
    <row r="2817" spans="3:12" x14ac:dyDescent="0.2">
      <c r="C2817"/>
      <c r="L2817" s="9" t="str">
        <f t="shared" si="163"/>
        <v/>
      </c>
    </row>
    <row r="2818" spans="3:12" x14ac:dyDescent="0.2">
      <c r="C2818"/>
      <c r="L2818" s="9" t="str">
        <f t="shared" si="163"/>
        <v/>
      </c>
    </row>
    <row r="2819" spans="3:12" x14ac:dyDescent="0.2">
      <c r="C2819"/>
      <c r="L2819" s="9" t="str">
        <f t="shared" si="163"/>
        <v/>
      </c>
    </row>
    <row r="2820" spans="3:12" x14ac:dyDescent="0.2">
      <c r="C2820"/>
      <c r="L2820" s="9" t="str">
        <f t="shared" si="163"/>
        <v/>
      </c>
    </row>
    <row r="2821" spans="3:12" x14ac:dyDescent="0.2">
      <c r="C2821"/>
      <c r="L2821" s="9" t="str">
        <f t="shared" si="163"/>
        <v/>
      </c>
    </row>
    <row r="2822" spans="3:12" x14ac:dyDescent="0.2">
      <c r="C2822"/>
      <c r="L2822" s="9" t="str">
        <f t="shared" si="163"/>
        <v/>
      </c>
    </row>
    <row r="2823" spans="3:12" x14ac:dyDescent="0.2">
      <c r="C2823"/>
      <c r="L2823" s="9" t="str">
        <f t="shared" si="163"/>
        <v/>
      </c>
    </row>
    <row r="2824" spans="3:12" x14ac:dyDescent="0.2">
      <c r="C2824"/>
      <c r="L2824" s="9" t="str">
        <f t="shared" si="163"/>
        <v/>
      </c>
    </row>
    <row r="2825" spans="3:12" x14ac:dyDescent="0.2">
      <c r="C2825"/>
      <c r="L2825" s="9" t="str">
        <f t="shared" si="163"/>
        <v/>
      </c>
    </row>
    <row r="2826" spans="3:12" x14ac:dyDescent="0.2">
      <c r="C2826"/>
      <c r="L2826" s="9" t="str">
        <f t="shared" si="163"/>
        <v/>
      </c>
    </row>
    <row r="2827" spans="3:12" x14ac:dyDescent="0.2">
      <c r="C2827"/>
      <c r="L2827" s="9" t="str">
        <f t="shared" si="163"/>
        <v/>
      </c>
    </row>
    <row r="2828" spans="3:12" x14ac:dyDescent="0.2">
      <c r="C2828"/>
      <c r="L2828" s="9" t="str">
        <f t="shared" si="163"/>
        <v/>
      </c>
    </row>
    <row r="2829" spans="3:12" x14ac:dyDescent="0.2">
      <c r="C2829"/>
      <c r="L2829" s="9" t="str">
        <f t="shared" si="163"/>
        <v/>
      </c>
    </row>
    <row r="2830" spans="3:12" x14ac:dyDescent="0.2">
      <c r="C2830"/>
      <c r="L2830" s="9" t="str">
        <f t="shared" si="163"/>
        <v/>
      </c>
    </row>
    <row r="2831" spans="3:12" x14ac:dyDescent="0.2">
      <c r="C2831"/>
      <c r="L2831" s="9" t="str">
        <f t="shared" si="163"/>
        <v/>
      </c>
    </row>
    <row r="2832" spans="3:12" x14ac:dyDescent="0.2">
      <c r="C2832"/>
      <c r="L2832" s="9" t="str">
        <f t="shared" si="163"/>
        <v/>
      </c>
    </row>
    <row r="2833" spans="3:12" x14ac:dyDescent="0.2">
      <c r="C2833"/>
      <c r="L2833" s="9" t="str">
        <f t="shared" si="163"/>
        <v/>
      </c>
    </row>
    <row r="2834" spans="3:12" x14ac:dyDescent="0.2">
      <c r="C2834"/>
      <c r="L2834" s="9" t="str">
        <f t="shared" si="163"/>
        <v/>
      </c>
    </row>
    <row r="2835" spans="3:12" x14ac:dyDescent="0.2">
      <c r="C2835"/>
      <c r="L2835" s="9" t="str">
        <f t="shared" si="163"/>
        <v/>
      </c>
    </row>
    <row r="2836" spans="3:12" x14ac:dyDescent="0.2">
      <c r="C2836"/>
      <c r="L2836" s="9" t="str">
        <f t="shared" si="163"/>
        <v/>
      </c>
    </row>
    <row r="2837" spans="3:12" x14ac:dyDescent="0.2">
      <c r="C2837"/>
      <c r="L2837" s="9" t="str">
        <f t="shared" si="163"/>
        <v/>
      </c>
    </row>
    <row r="2838" spans="3:12" x14ac:dyDescent="0.2">
      <c r="C2838"/>
      <c r="L2838" s="9" t="str">
        <f t="shared" si="163"/>
        <v/>
      </c>
    </row>
    <row r="2839" spans="3:12" x14ac:dyDescent="0.2">
      <c r="C2839"/>
      <c r="L2839" s="9" t="str">
        <f t="shared" si="163"/>
        <v/>
      </c>
    </row>
    <row r="2840" spans="3:12" x14ac:dyDescent="0.2">
      <c r="C2840"/>
      <c r="L2840" s="9" t="str">
        <f t="shared" si="163"/>
        <v/>
      </c>
    </row>
    <row r="2841" spans="3:12" x14ac:dyDescent="0.2">
      <c r="C2841"/>
      <c r="L2841" s="9" t="str">
        <f t="shared" si="163"/>
        <v/>
      </c>
    </row>
    <row r="2842" spans="3:12" x14ac:dyDescent="0.2">
      <c r="C2842"/>
      <c r="L2842" s="9" t="str">
        <f t="shared" si="163"/>
        <v/>
      </c>
    </row>
    <row r="2843" spans="3:12" x14ac:dyDescent="0.2">
      <c r="C2843"/>
      <c r="L2843" s="9" t="str">
        <f t="shared" si="163"/>
        <v/>
      </c>
    </row>
    <row r="2844" spans="3:12" x14ac:dyDescent="0.2">
      <c r="C2844"/>
      <c r="L2844" s="9" t="str">
        <f t="shared" si="163"/>
        <v/>
      </c>
    </row>
    <row r="2845" spans="3:12" x14ac:dyDescent="0.2">
      <c r="C2845"/>
      <c r="L2845" s="9" t="str">
        <f t="shared" si="163"/>
        <v/>
      </c>
    </row>
    <row r="2846" spans="3:12" x14ac:dyDescent="0.2">
      <c r="C2846"/>
      <c r="L2846" s="9" t="str">
        <f t="shared" si="163"/>
        <v/>
      </c>
    </row>
    <row r="2847" spans="3:12" x14ac:dyDescent="0.2">
      <c r="C2847"/>
      <c r="L2847" s="9" t="str">
        <f t="shared" si="163"/>
        <v/>
      </c>
    </row>
    <row r="2848" spans="3:12" x14ac:dyDescent="0.2">
      <c r="C2848"/>
      <c r="L2848" s="9" t="str">
        <f t="shared" si="163"/>
        <v/>
      </c>
    </row>
    <row r="2849" spans="3:12" x14ac:dyDescent="0.2">
      <c r="C2849"/>
      <c r="L2849" s="9" t="str">
        <f t="shared" si="163"/>
        <v/>
      </c>
    </row>
    <row r="2850" spans="3:12" x14ac:dyDescent="0.2">
      <c r="C2850"/>
      <c r="L2850" s="9" t="str">
        <f t="shared" si="163"/>
        <v/>
      </c>
    </row>
    <row r="2851" spans="3:12" x14ac:dyDescent="0.2">
      <c r="C2851"/>
      <c r="L2851" s="9" t="str">
        <f t="shared" si="163"/>
        <v/>
      </c>
    </row>
    <row r="2852" spans="3:12" x14ac:dyDescent="0.2">
      <c r="C2852"/>
      <c r="L2852" s="9" t="str">
        <f t="shared" si="163"/>
        <v/>
      </c>
    </row>
    <row r="2853" spans="3:12" x14ac:dyDescent="0.2">
      <c r="C2853"/>
      <c r="L2853" s="9" t="str">
        <f t="shared" si="163"/>
        <v/>
      </c>
    </row>
    <row r="2854" spans="3:12" x14ac:dyDescent="0.2">
      <c r="C2854"/>
      <c r="L2854" s="9" t="str">
        <f t="shared" si="163"/>
        <v/>
      </c>
    </row>
    <row r="2855" spans="3:12" x14ac:dyDescent="0.2">
      <c r="C2855"/>
      <c r="L2855" s="9" t="str">
        <f t="shared" si="163"/>
        <v/>
      </c>
    </row>
    <row r="2856" spans="3:12" x14ac:dyDescent="0.2">
      <c r="C2856"/>
      <c r="L2856" s="9" t="str">
        <f t="shared" si="163"/>
        <v/>
      </c>
    </row>
    <row r="2857" spans="3:12" x14ac:dyDescent="0.2">
      <c r="C2857"/>
      <c r="L2857" s="9" t="str">
        <f t="shared" si="163"/>
        <v/>
      </c>
    </row>
    <row r="2858" spans="3:12" x14ac:dyDescent="0.2">
      <c r="C2858"/>
      <c r="L2858" s="9" t="str">
        <f t="shared" si="163"/>
        <v/>
      </c>
    </row>
    <row r="2859" spans="3:12" x14ac:dyDescent="0.2">
      <c r="C2859"/>
      <c r="L2859" s="9" t="str">
        <f t="shared" si="163"/>
        <v/>
      </c>
    </row>
    <row r="2860" spans="3:12" x14ac:dyDescent="0.2">
      <c r="C2860"/>
      <c r="L2860" s="9" t="str">
        <f t="shared" si="163"/>
        <v/>
      </c>
    </row>
    <row r="2861" spans="3:12" x14ac:dyDescent="0.2">
      <c r="C2861"/>
      <c r="L2861" s="9" t="str">
        <f t="shared" si="163"/>
        <v/>
      </c>
    </row>
    <row r="2862" spans="3:12" x14ac:dyDescent="0.2">
      <c r="C2862"/>
      <c r="L2862" s="9" t="str">
        <f t="shared" si="163"/>
        <v/>
      </c>
    </row>
    <row r="2863" spans="3:12" x14ac:dyDescent="0.2">
      <c r="C2863"/>
      <c r="L2863" s="9" t="str">
        <f t="shared" si="163"/>
        <v/>
      </c>
    </row>
    <row r="2864" spans="3:12" x14ac:dyDescent="0.2">
      <c r="C2864"/>
      <c r="L2864" s="9" t="str">
        <f t="shared" si="163"/>
        <v/>
      </c>
    </row>
    <row r="2865" spans="3:12" x14ac:dyDescent="0.2">
      <c r="C2865"/>
      <c r="L2865" s="9" t="str">
        <f t="shared" si="163"/>
        <v/>
      </c>
    </row>
    <row r="2866" spans="3:12" x14ac:dyDescent="0.2">
      <c r="C2866"/>
      <c r="L2866" s="9" t="str">
        <f t="shared" si="163"/>
        <v/>
      </c>
    </row>
    <row r="2867" spans="3:12" x14ac:dyDescent="0.2">
      <c r="C2867"/>
      <c r="L2867" s="9" t="str">
        <f t="shared" si="163"/>
        <v/>
      </c>
    </row>
    <row r="2868" spans="3:12" x14ac:dyDescent="0.2">
      <c r="C2868"/>
      <c r="L2868" s="9" t="str">
        <f t="shared" si="163"/>
        <v/>
      </c>
    </row>
    <row r="2869" spans="3:12" x14ac:dyDescent="0.2">
      <c r="C2869"/>
      <c r="L2869" s="9" t="str">
        <f t="shared" si="163"/>
        <v/>
      </c>
    </row>
    <row r="2870" spans="3:12" x14ac:dyDescent="0.2">
      <c r="C2870"/>
      <c r="L2870" s="9" t="str">
        <f t="shared" si="163"/>
        <v/>
      </c>
    </row>
    <row r="2871" spans="3:12" x14ac:dyDescent="0.2">
      <c r="C2871"/>
      <c r="L2871" s="9" t="str">
        <f t="shared" si="163"/>
        <v/>
      </c>
    </row>
    <row r="2872" spans="3:12" x14ac:dyDescent="0.2">
      <c r="C2872"/>
      <c r="L2872" s="9" t="str">
        <f t="shared" si="163"/>
        <v/>
      </c>
    </row>
    <row r="2873" spans="3:12" x14ac:dyDescent="0.2">
      <c r="C2873"/>
      <c r="L2873" s="9" t="str">
        <f t="shared" si="163"/>
        <v/>
      </c>
    </row>
    <row r="2874" spans="3:12" x14ac:dyDescent="0.2">
      <c r="C2874"/>
      <c r="L2874" s="9" t="str">
        <f t="shared" si="163"/>
        <v/>
      </c>
    </row>
    <row r="2875" spans="3:12" x14ac:dyDescent="0.2">
      <c r="C2875"/>
      <c r="L2875" s="9" t="str">
        <f t="shared" si="163"/>
        <v/>
      </c>
    </row>
    <row r="2876" spans="3:12" x14ac:dyDescent="0.2">
      <c r="C2876"/>
      <c r="L2876" s="9" t="str">
        <f t="shared" si="163"/>
        <v/>
      </c>
    </row>
    <row r="2877" spans="3:12" x14ac:dyDescent="0.2">
      <c r="C2877"/>
      <c r="L2877" s="9" t="str">
        <f t="shared" ref="L2877:L2940" si="164">IF(A2877="STOCK",E2877,IF(A2877="SOPTION",G2877,IF(A2877="LOPTION",F2877,"")))</f>
        <v/>
      </c>
    </row>
    <row r="2878" spans="3:12" x14ac:dyDescent="0.2">
      <c r="C2878"/>
      <c r="L2878" s="9" t="str">
        <f t="shared" si="164"/>
        <v/>
      </c>
    </row>
    <row r="2879" spans="3:12" x14ac:dyDescent="0.2">
      <c r="C2879"/>
      <c r="L2879" s="9" t="str">
        <f t="shared" si="164"/>
        <v/>
      </c>
    </row>
    <row r="2880" spans="3:12" x14ac:dyDescent="0.2">
      <c r="C2880"/>
      <c r="L2880" s="9" t="str">
        <f t="shared" si="164"/>
        <v/>
      </c>
    </row>
    <row r="2881" spans="3:12" x14ac:dyDescent="0.2">
      <c r="C2881"/>
      <c r="L2881" s="9" t="str">
        <f t="shared" si="164"/>
        <v/>
      </c>
    </row>
    <row r="2882" spans="3:12" x14ac:dyDescent="0.2">
      <c r="C2882"/>
      <c r="L2882" s="9" t="str">
        <f t="shared" si="164"/>
        <v/>
      </c>
    </row>
    <row r="2883" spans="3:12" x14ac:dyDescent="0.2">
      <c r="C2883"/>
      <c r="L2883" s="9" t="str">
        <f t="shared" si="164"/>
        <v/>
      </c>
    </row>
    <row r="2884" spans="3:12" x14ac:dyDescent="0.2">
      <c r="C2884"/>
      <c r="L2884" s="9" t="str">
        <f t="shared" si="164"/>
        <v/>
      </c>
    </row>
    <row r="2885" spans="3:12" x14ac:dyDescent="0.2">
      <c r="C2885"/>
      <c r="L2885" s="9" t="str">
        <f t="shared" si="164"/>
        <v/>
      </c>
    </row>
    <row r="2886" spans="3:12" x14ac:dyDescent="0.2">
      <c r="C2886"/>
      <c r="L2886" s="9" t="str">
        <f t="shared" si="164"/>
        <v/>
      </c>
    </row>
    <row r="2887" spans="3:12" x14ac:dyDescent="0.2">
      <c r="C2887"/>
      <c r="L2887" s="9" t="str">
        <f t="shared" si="164"/>
        <v/>
      </c>
    </row>
    <row r="2888" spans="3:12" x14ac:dyDescent="0.2">
      <c r="C2888"/>
      <c r="L2888" s="9" t="str">
        <f t="shared" si="164"/>
        <v/>
      </c>
    </row>
    <row r="2889" spans="3:12" x14ac:dyDescent="0.2">
      <c r="C2889"/>
      <c r="L2889" s="9" t="str">
        <f t="shared" si="164"/>
        <v/>
      </c>
    </row>
    <row r="2890" spans="3:12" x14ac:dyDescent="0.2">
      <c r="C2890"/>
      <c r="L2890" s="9" t="str">
        <f t="shared" si="164"/>
        <v/>
      </c>
    </row>
    <row r="2891" spans="3:12" x14ac:dyDescent="0.2">
      <c r="C2891"/>
      <c r="L2891" s="9" t="str">
        <f t="shared" si="164"/>
        <v/>
      </c>
    </row>
    <row r="2892" spans="3:12" x14ac:dyDescent="0.2">
      <c r="C2892"/>
      <c r="L2892" s="9" t="str">
        <f t="shared" si="164"/>
        <v/>
      </c>
    </row>
    <row r="2893" spans="3:12" x14ac:dyDescent="0.2">
      <c r="C2893"/>
      <c r="L2893" s="9" t="str">
        <f t="shared" si="164"/>
        <v/>
      </c>
    </row>
    <row r="2894" spans="3:12" x14ac:dyDescent="0.2">
      <c r="C2894"/>
      <c r="L2894" s="9" t="str">
        <f t="shared" si="164"/>
        <v/>
      </c>
    </row>
    <row r="2895" spans="3:12" x14ac:dyDescent="0.2">
      <c r="C2895"/>
      <c r="L2895" s="9" t="str">
        <f t="shared" si="164"/>
        <v/>
      </c>
    </row>
    <row r="2896" spans="3:12" x14ac:dyDescent="0.2">
      <c r="C2896"/>
      <c r="L2896" s="9" t="str">
        <f t="shared" si="164"/>
        <v/>
      </c>
    </row>
    <row r="2897" spans="3:12" x14ac:dyDescent="0.2">
      <c r="C2897"/>
      <c r="L2897" s="9" t="str">
        <f t="shared" si="164"/>
        <v/>
      </c>
    </row>
    <row r="2898" spans="3:12" x14ac:dyDescent="0.2">
      <c r="C2898"/>
      <c r="L2898" s="9" t="str">
        <f t="shared" si="164"/>
        <v/>
      </c>
    </row>
    <row r="2899" spans="3:12" x14ac:dyDescent="0.2">
      <c r="C2899"/>
      <c r="L2899" s="9" t="str">
        <f t="shared" si="164"/>
        <v/>
      </c>
    </row>
    <row r="2900" spans="3:12" x14ac:dyDescent="0.2">
      <c r="C2900"/>
      <c r="L2900" s="9" t="str">
        <f t="shared" si="164"/>
        <v/>
      </c>
    </row>
    <row r="2901" spans="3:12" x14ac:dyDescent="0.2">
      <c r="C2901"/>
      <c r="L2901" s="9" t="str">
        <f t="shared" si="164"/>
        <v/>
      </c>
    </row>
    <row r="2902" spans="3:12" x14ac:dyDescent="0.2">
      <c r="C2902"/>
      <c r="L2902" s="9" t="str">
        <f t="shared" si="164"/>
        <v/>
      </c>
    </row>
    <row r="2903" spans="3:12" x14ac:dyDescent="0.2">
      <c r="C2903"/>
      <c r="L2903" s="9" t="str">
        <f t="shared" si="164"/>
        <v/>
      </c>
    </row>
    <row r="2904" spans="3:12" x14ac:dyDescent="0.2">
      <c r="C2904"/>
      <c r="L2904" s="9" t="str">
        <f t="shared" si="164"/>
        <v/>
      </c>
    </row>
    <row r="2905" spans="3:12" x14ac:dyDescent="0.2">
      <c r="C2905"/>
      <c r="L2905" s="9" t="str">
        <f t="shared" si="164"/>
        <v/>
      </c>
    </row>
    <row r="2906" spans="3:12" x14ac:dyDescent="0.2">
      <c r="C2906"/>
      <c r="L2906" s="9" t="str">
        <f t="shared" si="164"/>
        <v/>
      </c>
    </row>
    <row r="2907" spans="3:12" x14ac:dyDescent="0.2">
      <c r="C2907"/>
      <c r="L2907" s="9" t="str">
        <f t="shared" si="164"/>
        <v/>
      </c>
    </row>
    <row r="2908" spans="3:12" x14ac:dyDescent="0.2">
      <c r="C2908"/>
      <c r="L2908" s="9" t="str">
        <f t="shared" si="164"/>
        <v/>
      </c>
    </row>
    <row r="2909" spans="3:12" x14ac:dyDescent="0.2">
      <c r="C2909"/>
      <c r="L2909" s="9" t="str">
        <f t="shared" si="164"/>
        <v/>
      </c>
    </row>
    <row r="2910" spans="3:12" x14ac:dyDescent="0.2">
      <c r="C2910"/>
      <c r="L2910" s="9" t="str">
        <f t="shared" si="164"/>
        <v/>
      </c>
    </row>
    <row r="2911" spans="3:12" x14ac:dyDescent="0.2">
      <c r="C2911"/>
      <c r="L2911" s="9" t="str">
        <f t="shared" si="164"/>
        <v/>
      </c>
    </row>
    <row r="2912" spans="3:12" x14ac:dyDescent="0.2">
      <c r="C2912"/>
      <c r="L2912" s="9" t="str">
        <f t="shared" si="164"/>
        <v/>
      </c>
    </row>
    <row r="2913" spans="3:12" x14ac:dyDescent="0.2">
      <c r="C2913"/>
      <c r="L2913" s="9" t="str">
        <f t="shared" si="164"/>
        <v/>
      </c>
    </row>
    <row r="2914" spans="3:12" x14ac:dyDescent="0.2">
      <c r="C2914"/>
      <c r="L2914" s="9" t="str">
        <f t="shared" si="164"/>
        <v/>
      </c>
    </row>
    <row r="2915" spans="3:12" x14ac:dyDescent="0.2">
      <c r="C2915"/>
      <c r="L2915" s="9" t="str">
        <f t="shared" si="164"/>
        <v/>
      </c>
    </row>
    <row r="2916" spans="3:12" x14ac:dyDescent="0.2">
      <c r="C2916"/>
      <c r="L2916" s="9" t="str">
        <f t="shared" si="164"/>
        <v/>
      </c>
    </row>
    <row r="2917" spans="3:12" x14ac:dyDescent="0.2">
      <c r="C2917"/>
      <c r="L2917" s="9" t="str">
        <f t="shared" si="164"/>
        <v/>
      </c>
    </row>
    <row r="2918" spans="3:12" x14ac:dyDescent="0.2">
      <c r="C2918"/>
      <c r="L2918" s="9" t="str">
        <f t="shared" si="164"/>
        <v/>
      </c>
    </row>
    <row r="2919" spans="3:12" x14ac:dyDescent="0.2">
      <c r="C2919"/>
      <c r="L2919" s="9" t="str">
        <f t="shared" si="164"/>
        <v/>
      </c>
    </row>
    <row r="2920" spans="3:12" x14ac:dyDescent="0.2">
      <c r="C2920"/>
      <c r="L2920" s="9" t="str">
        <f t="shared" si="164"/>
        <v/>
      </c>
    </row>
    <row r="2921" spans="3:12" x14ac:dyDescent="0.2">
      <c r="C2921"/>
      <c r="L2921" s="9" t="str">
        <f t="shared" si="164"/>
        <v/>
      </c>
    </row>
    <row r="2922" spans="3:12" x14ac:dyDescent="0.2">
      <c r="C2922"/>
      <c r="L2922" s="9" t="str">
        <f t="shared" si="164"/>
        <v/>
      </c>
    </row>
    <row r="2923" spans="3:12" x14ac:dyDescent="0.2">
      <c r="C2923"/>
      <c r="L2923" s="9" t="str">
        <f t="shared" si="164"/>
        <v/>
      </c>
    </row>
    <row r="2924" spans="3:12" x14ac:dyDescent="0.2">
      <c r="C2924"/>
      <c r="L2924" s="9" t="str">
        <f t="shared" si="164"/>
        <v/>
      </c>
    </row>
    <row r="2925" spans="3:12" x14ac:dyDescent="0.2">
      <c r="C2925"/>
      <c r="L2925" s="9" t="str">
        <f t="shared" si="164"/>
        <v/>
      </c>
    </row>
    <row r="2926" spans="3:12" x14ac:dyDescent="0.2">
      <c r="C2926"/>
      <c r="L2926" s="9" t="str">
        <f t="shared" si="164"/>
        <v/>
      </c>
    </row>
    <row r="2927" spans="3:12" x14ac:dyDescent="0.2">
      <c r="C2927"/>
      <c r="L2927" s="9" t="str">
        <f t="shared" si="164"/>
        <v/>
      </c>
    </row>
    <row r="2928" spans="3:12" x14ac:dyDescent="0.2">
      <c r="C2928"/>
      <c r="L2928" s="9" t="str">
        <f t="shared" si="164"/>
        <v/>
      </c>
    </row>
    <row r="2929" spans="3:12" x14ac:dyDescent="0.2">
      <c r="C2929"/>
      <c r="L2929" s="9" t="str">
        <f t="shared" si="164"/>
        <v/>
      </c>
    </row>
    <row r="2930" spans="3:12" x14ac:dyDescent="0.2">
      <c r="C2930"/>
      <c r="L2930" s="9" t="str">
        <f t="shared" si="164"/>
        <v/>
      </c>
    </row>
    <row r="2931" spans="3:12" x14ac:dyDescent="0.2">
      <c r="C2931"/>
      <c r="L2931" s="9" t="str">
        <f t="shared" si="164"/>
        <v/>
      </c>
    </row>
    <row r="2932" spans="3:12" x14ac:dyDescent="0.2">
      <c r="C2932"/>
      <c r="L2932" s="9" t="str">
        <f t="shared" si="164"/>
        <v/>
      </c>
    </row>
    <row r="2933" spans="3:12" x14ac:dyDescent="0.2">
      <c r="C2933"/>
      <c r="L2933" s="9" t="str">
        <f t="shared" si="164"/>
        <v/>
      </c>
    </row>
    <row r="2934" spans="3:12" x14ac:dyDescent="0.2">
      <c r="C2934"/>
      <c r="L2934" s="9" t="str">
        <f t="shared" si="164"/>
        <v/>
      </c>
    </row>
    <row r="2935" spans="3:12" x14ac:dyDescent="0.2">
      <c r="C2935"/>
      <c r="L2935" s="9" t="str">
        <f t="shared" si="164"/>
        <v/>
      </c>
    </row>
    <row r="2936" spans="3:12" x14ac:dyDescent="0.2">
      <c r="C2936"/>
      <c r="L2936" s="9" t="str">
        <f t="shared" si="164"/>
        <v/>
      </c>
    </row>
    <row r="2937" spans="3:12" x14ac:dyDescent="0.2">
      <c r="C2937"/>
      <c r="L2937" s="9" t="str">
        <f t="shared" si="164"/>
        <v/>
      </c>
    </row>
    <row r="2938" spans="3:12" x14ac:dyDescent="0.2">
      <c r="C2938"/>
      <c r="L2938" s="9" t="str">
        <f t="shared" si="164"/>
        <v/>
      </c>
    </row>
    <row r="2939" spans="3:12" x14ac:dyDescent="0.2">
      <c r="C2939"/>
      <c r="L2939" s="9" t="str">
        <f t="shared" si="164"/>
        <v/>
      </c>
    </row>
    <row r="2940" spans="3:12" x14ac:dyDescent="0.2">
      <c r="C2940"/>
      <c r="L2940" s="9" t="str">
        <f t="shared" si="164"/>
        <v/>
      </c>
    </row>
    <row r="2941" spans="3:12" x14ac:dyDescent="0.2">
      <c r="C2941"/>
      <c r="L2941" s="9" t="str">
        <f t="shared" ref="L2941:L3004" si="165">IF(A2941="STOCK",E2941,IF(A2941="SOPTION",G2941,IF(A2941="LOPTION",F2941,"")))</f>
        <v/>
      </c>
    </row>
    <row r="2942" spans="3:12" x14ac:dyDescent="0.2">
      <c r="C2942"/>
      <c r="L2942" s="9" t="str">
        <f t="shared" si="165"/>
        <v/>
      </c>
    </row>
    <row r="2943" spans="3:12" x14ac:dyDescent="0.2">
      <c r="C2943"/>
      <c r="L2943" s="9" t="str">
        <f t="shared" si="165"/>
        <v/>
      </c>
    </row>
    <row r="2944" spans="3:12" x14ac:dyDescent="0.2">
      <c r="C2944"/>
      <c r="L2944" s="9" t="str">
        <f t="shared" si="165"/>
        <v/>
      </c>
    </row>
    <row r="2945" spans="3:12" x14ac:dyDescent="0.2">
      <c r="C2945"/>
      <c r="L2945" s="9" t="str">
        <f t="shared" si="165"/>
        <v/>
      </c>
    </row>
    <row r="2946" spans="3:12" x14ac:dyDescent="0.2">
      <c r="C2946"/>
      <c r="L2946" s="9" t="str">
        <f t="shared" si="165"/>
        <v/>
      </c>
    </row>
    <row r="2947" spans="3:12" x14ac:dyDescent="0.2">
      <c r="C2947"/>
      <c r="L2947" s="9" t="str">
        <f t="shared" si="165"/>
        <v/>
      </c>
    </row>
    <row r="2948" spans="3:12" x14ac:dyDescent="0.2">
      <c r="C2948"/>
      <c r="L2948" s="9" t="str">
        <f t="shared" si="165"/>
        <v/>
      </c>
    </row>
    <row r="2949" spans="3:12" x14ac:dyDescent="0.2">
      <c r="C2949"/>
      <c r="L2949" s="9" t="str">
        <f t="shared" si="165"/>
        <v/>
      </c>
    </row>
    <row r="2950" spans="3:12" x14ac:dyDescent="0.2">
      <c r="C2950"/>
      <c r="L2950" s="9" t="str">
        <f t="shared" si="165"/>
        <v/>
      </c>
    </row>
    <row r="2951" spans="3:12" x14ac:dyDescent="0.2">
      <c r="C2951"/>
      <c r="L2951" s="9" t="str">
        <f t="shared" si="165"/>
        <v/>
      </c>
    </row>
    <row r="2952" spans="3:12" x14ac:dyDescent="0.2">
      <c r="C2952"/>
      <c r="L2952" s="9" t="str">
        <f t="shared" si="165"/>
        <v/>
      </c>
    </row>
    <row r="2953" spans="3:12" x14ac:dyDescent="0.2">
      <c r="C2953"/>
      <c r="L2953" s="9" t="str">
        <f t="shared" si="165"/>
        <v/>
      </c>
    </row>
    <row r="2954" spans="3:12" x14ac:dyDescent="0.2">
      <c r="C2954"/>
      <c r="L2954" s="9" t="str">
        <f t="shared" si="165"/>
        <v/>
      </c>
    </row>
    <row r="2955" spans="3:12" x14ac:dyDescent="0.2">
      <c r="C2955"/>
      <c r="L2955" s="9" t="str">
        <f t="shared" si="165"/>
        <v/>
      </c>
    </row>
    <row r="2956" spans="3:12" x14ac:dyDescent="0.2">
      <c r="C2956"/>
      <c r="L2956" s="9" t="str">
        <f t="shared" si="165"/>
        <v/>
      </c>
    </row>
    <row r="2957" spans="3:12" x14ac:dyDescent="0.2">
      <c r="C2957"/>
      <c r="L2957" s="9" t="str">
        <f t="shared" si="165"/>
        <v/>
      </c>
    </row>
    <row r="2958" spans="3:12" x14ac:dyDescent="0.2">
      <c r="C2958"/>
      <c r="L2958" s="9" t="str">
        <f t="shared" si="165"/>
        <v/>
      </c>
    </row>
    <row r="2959" spans="3:12" x14ac:dyDescent="0.2">
      <c r="C2959"/>
      <c r="L2959" s="9" t="str">
        <f t="shared" si="165"/>
        <v/>
      </c>
    </row>
    <row r="2960" spans="3:12" x14ac:dyDescent="0.2">
      <c r="C2960"/>
      <c r="L2960" s="9" t="str">
        <f t="shared" si="165"/>
        <v/>
      </c>
    </row>
    <row r="2961" spans="3:12" x14ac:dyDescent="0.2">
      <c r="C2961"/>
      <c r="L2961" s="9" t="str">
        <f t="shared" si="165"/>
        <v/>
      </c>
    </row>
    <row r="2962" spans="3:12" x14ac:dyDescent="0.2">
      <c r="C2962"/>
      <c r="L2962" s="9" t="str">
        <f t="shared" si="165"/>
        <v/>
      </c>
    </row>
    <row r="2963" spans="3:12" x14ac:dyDescent="0.2">
      <c r="C2963"/>
      <c r="L2963" s="9" t="str">
        <f t="shared" si="165"/>
        <v/>
      </c>
    </row>
    <row r="2964" spans="3:12" x14ac:dyDescent="0.2">
      <c r="C2964"/>
      <c r="L2964" s="9" t="str">
        <f t="shared" si="165"/>
        <v/>
      </c>
    </row>
    <row r="2965" spans="3:12" x14ac:dyDescent="0.2">
      <c r="C2965"/>
      <c r="L2965" s="9" t="str">
        <f t="shared" si="165"/>
        <v/>
      </c>
    </row>
    <row r="2966" spans="3:12" x14ac:dyDescent="0.2">
      <c r="C2966"/>
      <c r="L2966" s="9" t="str">
        <f t="shared" si="165"/>
        <v/>
      </c>
    </row>
    <row r="2967" spans="3:12" x14ac:dyDescent="0.2">
      <c r="C2967"/>
      <c r="L2967" s="9" t="str">
        <f t="shared" si="165"/>
        <v/>
      </c>
    </row>
    <row r="2968" spans="3:12" x14ac:dyDescent="0.2">
      <c r="C2968"/>
      <c r="L2968" s="9" t="str">
        <f t="shared" si="165"/>
        <v/>
      </c>
    </row>
    <row r="2969" spans="3:12" x14ac:dyDescent="0.2">
      <c r="C2969"/>
      <c r="L2969" s="9" t="str">
        <f t="shared" si="165"/>
        <v/>
      </c>
    </row>
    <row r="2970" spans="3:12" x14ac:dyDescent="0.2">
      <c r="C2970"/>
      <c r="L2970" s="9" t="str">
        <f t="shared" si="165"/>
        <v/>
      </c>
    </row>
    <row r="2971" spans="3:12" x14ac:dyDescent="0.2">
      <c r="C2971"/>
      <c r="L2971" s="9" t="str">
        <f t="shared" si="165"/>
        <v/>
      </c>
    </row>
    <row r="2972" spans="3:12" x14ac:dyDescent="0.2">
      <c r="C2972"/>
      <c r="L2972" s="9" t="str">
        <f t="shared" si="165"/>
        <v/>
      </c>
    </row>
    <row r="2973" spans="3:12" x14ac:dyDescent="0.2">
      <c r="C2973"/>
      <c r="L2973" s="9" t="str">
        <f t="shared" si="165"/>
        <v/>
      </c>
    </row>
    <row r="2974" spans="3:12" x14ac:dyDescent="0.2">
      <c r="C2974"/>
      <c r="L2974" s="9" t="str">
        <f t="shared" si="165"/>
        <v/>
      </c>
    </row>
    <row r="2975" spans="3:12" x14ac:dyDescent="0.2">
      <c r="C2975"/>
      <c r="L2975" s="9" t="str">
        <f t="shared" si="165"/>
        <v/>
      </c>
    </row>
    <row r="2976" spans="3:12" x14ac:dyDescent="0.2">
      <c r="C2976"/>
      <c r="L2976" s="9" t="str">
        <f t="shared" si="165"/>
        <v/>
      </c>
    </row>
    <row r="2977" spans="3:12" x14ac:dyDescent="0.2">
      <c r="C2977"/>
      <c r="L2977" s="9" t="str">
        <f t="shared" si="165"/>
        <v/>
      </c>
    </row>
    <row r="2978" spans="3:12" x14ac:dyDescent="0.2">
      <c r="C2978"/>
      <c r="L2978" s="9" t="str">
        <f t="shared" si="165"/>
        <v/>
      </c>
    </row>
    <row r="2979" spans="3:12" x14ac:dyDescent="0.2">
      <c r="C2979"/>
      <c r="L2979" s="9" t="str">
        <f t="shared" si="165"/>
        <v/>
      </c>
    </row>
    <row r="2980" spans="3:12" x14ac:dyDescent="0.2">
      <c r="C2980"/>
      <c r="L2980" s="9" t="str">
        <f t="shared" si="165"/>
        <v/>
      </c>
    </row>
    <row r="2981" spans="3:12" x14ac:dyDescent="0.2">
      <c r="C2981"/>
      <c r="L2981" s="9" t="str">
        <f t="shared" si="165"/>
        <v/>
      </c>
    </row>
    <row r="2982" spans="3:12" x14ac:dyDescent="0.2">
      <c r="C2982"/>
      <c r="L2982" s="9" t="str">
        <f t="shared" si="165"/>
        <v/>
      </c>
    </row>
    <row r="2983" spans="3:12" x14ac:dyDescent="0.2">
      <c r="C2983"/>
      <c r="L2983" s="9" t="str">
        <f t="shared" si="165"/>
        <v/>
      </c>
    </row>
    <row r="2984" spans="3:12" x14ac:dyDescent="0.2">
      <c r="C2984"/>
      <c r="L2984" s="9" t="str">
        <f t="shared" si="165"/>
        <v/>
      </c>
    </row>
    <row r="2985" spans="3:12" x14ac:dyDescent="0.2">
      <c r="C2985"/>
      <c r="L2985" s="9" t="str">
        <f t="shared" si="165"/>
        <v/>
      </c>
    </row>
    <row r="2986" spans="3:12" x14ac:dyDescent="0.2">
      <c r="C2986"/>
      <c r="L2986" s="9" t="str">
        <f t="shared" si="165"/>
        <v/>
      </c>
    </row>
    <row r="2987" spans="3:12" x14ac:dyDescent="0.2">
      <c r="C2987"/>
      <c r="L2987" s="9" t="str">
        <f t="shared" si="165"/>
        <v/>
      </c>
    </row>
    <row r="2988" spans="3:12" x14ac:dyDescent="0.2">
      <c r="C2988"/>
      <c r="L2988" s="9" t="str">
        <f t="shared" si="165"/>
        <v/>
      </c>
    </row>
    <row r="2989" spans="3:12" x14ac:dyDescent="0.2">
      <c r="C2989"/>
      <c r="L2989" s="9" t="str">
        <f t="shared" si="165"/>
        <v/>
      </c>
    </row>
    <row r="2990" spans="3:12" x14ac:dyDescent="0.2">
      <c r="C2990"/>
      <c r="L2990" s="9" t="str">
        <f t="shared" si="165"/>
        <v/>
      </c>
    </row>
    <row r="2991" spans="3:12" x14ac:dyDescent="0.2">
      <c r="C2991"/>
      <c r="L2991" s="9" t="str">
        <f t="shared" si="165"/>
        <v/>
      </c>
    </row>
    <row r="2992" spans="3:12" x14ac:dyDescent="0.2">
      <c r="C2992"/>
      <c r="L2992" s="9" t="str">
        <f t="shared" si="165"/>
        <v/>
      </c>
    </row>
    <row r="2993" spans="3:12" x14ac:dyDescent="0.2">
      <c r="C2993"/>
      <c r="L2993" s="9" t="str">
        <f t="shared" si="165"/>
        <v/>
      </c>
    </row>
    <row r="2994" spans="3:12" x14ac:dyDescent="0.2">
      <c r="C2994"/>
      <c r="L2994" s="9" t="str">
        <f t="shared" si="165"/>
        <v/>
      </c>
    </row>
    <row r="2995" spans="3:12" x14ac:dyDescent="0.2">
      <c r="C2995"/>
      <c r="L2995" s="9" t="str">
        <f t="shared" si="165"/>
        <v/>
      </c>
    </row>
    <row r="2996" spans="3:12" x14ac:dyDescent="0.2">
      <c r="C2996"/>
      <c r="L2996" s="9" t="str">
        <f t="shared" si="165"/>
        <v/>
      </c>
    </row>
    <row r="2997" spans="3:12" x14ac:dyDescent="0.2">
      <c r="C2997"/>
      <c r="L2997" s="9" t="str">
        <f t="shared" si="165"/>
        <v/>
      </c>
    </row>
    <row r="2998" spans="3:12" x14ac:dyDescent="0.2">
      <c r="C2998"/>
      <c r="L2998" s="9" t="str">
        <f t="shared" si="165"/>
        <v/>
      </c>
    </row>
    <row r="2999" spans="3:12" x14ac:dyDescent="0.2">
      <c r="C2999"/>
      <c r="L2999" s="9" t="str">
        <f t="shared" si="165"/>
        <v/>
      </c>
    </row>
    <row r="3000" spans="3:12" x14ac:dyDescent="0.2">
      <c r="C3000"/>
      <c r="L3000" s="9" t="str">
        <f t="shared" si="165"/>
        <v/>
      </c>
    </row>
    <row r="3001" spans="3:12" x14ac:dyDescent="0.2">
      <c r="C3001"/>
      <c r="L3001" s="9" t="str">
        <f t="shared" si="165"/>
        <v/>
      </c>
    </row>
    <row r="3002" spans="3:12" x14ac:dyDescent="0.2">
      <c r="C3002"/>
      <c r="L3002" s="9" t="str">
        <f t="shared" si="165"/>
        <v/>
      </c>
    </row>
    <row r="3003" spans="3:12" x14ac:dyDescent="0.2">
      <c r="C3003"/>
      <c r="L3003" s="9" t="str">
        <f t="shared" si="165"/>
        <v/>
      </c>
    </row>
    <row r="3004" spans="3:12" x14ac:dyDescent="0.2">
      <c r="C3004"/>
      <c r="L3004" s="9" t="str">
        <f t="shared" si="165"/>
        <v/>
      </c>
    </row>
    <row r="3005" spans="3:12" x14ac:dyDescent="0.2">
      <c r="C3005"/>
      <c r="L3005" s="9" t="str">
        <f t="shared" ref="L3005:L3068" si="166">IF(A3005="STOCK",E3005,IF(A3005="SOPTION",G3005,IF(A3005="LOPTION",F3005,"")))</f>
        <v/>
      </c>
    </row>
    <row r="3006" spans="3:12" x14ac:dyDescent="0.2">
      <c r="C3006"/>
      <c r="L3006" s="9" t="str">
        <f t="shared" si="166"/>
        <v/>
      </c>
    </row>
    <row r="3007" spans="3:12" x14ac:dyDescent="0.2">
      <c r="C3007"/>
      <c r="L3007" s="9" t="str">
        <f t="shared" si="166"/>
        <v/>
      </c>
    </row>
    <row r="3008" spans="3:12" x14ac:dyDescent="0.2">
      <c r="C3008"/>
      <c r="L3008" s="9" t="str">
        <f t="shared" si="166"/>
        <v/>
      </c>
    </row>
    <row r="3009" spans="3:12" x14ac:dyDescent="0.2">
      <c r="C3009"/>
      <c r="L3009" s="9" t="str">
        <f t="shared" si="166"/>
        <v/>
      </c>
    </row>
    <row r="3010" spans="3:12" x14ac:dyDescent="0.2">
      <c r="C3010"/>
      <c r="L3010" s="9" t="str">
        <f t="shared" si="166"/>
        <v/>
      </c>
    </row>
    <row r="3011" spans="3:12" x14ac:dyDescent="0.2">
      <c r="C3011"/>
      <c r="L3011" s="9" t="str">
        <f t="shared" si="166"/>
        <v/>
      </c>
    </row>
    <row r="3012" spans="3:12" x14ac:dyDescent="0.2">
      <c r="C3012"/>
      <c r="L3012" s="9" t="str">
        <f t="shared" si="166"/>
        <v/>
      </c>
    </row>
    <row r="3013" spans="3:12" x14ac:dyDescent="0.2">
      <c r="C3013"/>
      <c r="L3013" s="9" t="str">
        <f t="shared" si="166"/>
        <v/>
      </c>
    </row>
    <row r="3014" spans="3:12" x14ac:dyDescent="0.2">
      <c r="C3014"/>
      <c r="L3014" s="9" t="str">
        <f t="shared" si="166"/>
        <v/>
      </c>
    </row>
    <row r="3015" spans="3:12" x14ac:dyDescent="0.2">
      <c r="C3015"/>
      <c r="L3015" s="9" t="str">
        <f t="shared" si="166"/>
        <v/>
      </c>
    </row>
    <row r="3016" spans="3:12" x14ac:dyDescent="0.2">
      <c r="C3016"/>
      <c r="L3016" s="9" t="str">
        <f t="shared" si="166"/>
        <v/>
      </c>
    </row>
    <row r="3017" spans="3:12" x14ac:dyDescent="0.2">
      <c r="C3017"/>
      <c r="L3017" s="9" t="str">
        <f t="shared" si="166"/>
        <v/>
      </c>
    </row>
    <row r="3018" spans="3:12" x14ac:dyDescent="0.2">
      <c r="C3018"/>
      <c r="L3018" s="9" t="str">
        <f t="shared" si="166"/>
        <v/>
      </c>
    </row>
    <row r="3019" spans="3:12" x14ac:dyDescent="0.2">
      <c r="C3019"/>
      <c r="L3019" s="9" t="str">
        <f t="shared" si="166"/>
        <v/>
      </c>
    </row>
    <row r="3020" spans="3:12" x14ac:dyDescent="0.2">
      <c r="C3020"/>
      <c r="L3020" s="9" t="str">
        <f t="shared" si="166"/>
        <v/>
      </c>
    </row>
    <row r="3021" spans="3:12" x14ac:dyDescent="0.2">
      <c r="C3021"/>
      <c r="L3021" s="9" t="str">
        <f t="shared" si="166"/>
        <v/>
      </c>
    </row>
    <row r="3022" spans="3:12" x14ac:dyDescent="0.2">
      <c r="C3022"/>
      <c r="L3022" s="9" t="str">
        <f t="shared" si="166"/>
        <v/>
      </c>
    </row>
    <row r="3023" spans="3:12" x14ac:dyDescent="0.2">
      <c r="C3023"/>
      <c r="L3023" s="9" t="str">
        <f t="shared" si="166"/>
        <v/>
      </c>
    </row>
    <row r="3024" spans="3:12" x14ac:dyDescent="0.2">
      <c r="C3024"/>
      <c r="L3024" s="9" t="str">
        <f t="shared" si="166"/>
        <v/>
      </c>
    </row>
    <row r="3025" spans="3:12" x14ac:dyDescent="0.2">
      <c r="C3025"/>
      <c r="L3025" s="9" t="str">
        <f t="shared" si="166"/>
        <v/>
      </c>
    </row>
    <row r="3026" spans="3:12" x14ac:dyDescent="0.2">
      <c r="C3026"/>
      <c r="L3026" s="9" t="str">
        <f t="shared" si="166"/>
        <v/>
      </c>
    </row>
    <row r="3027" spans="3:12" x14ac:dyDescent="0.2">
      <c r="C3027"/>
      <c r="L3027" s="9" t="str">
        <f t="shared" si="166"/>
        <v/>
      </c>
    </row>
    <row r="3028" spans="3:12" x14ac:dyDescent="0.2">
      <c r="C3028"/>
      <c r="L3028" s="9" t="str">
        <f t="shared" si="166"/>
        <v/>
      </c>
    </row>
    <row r="3029" spans="3:12" x14ac:dyDescent="0.2">
      <c r="C3029"/>
      <c r="L3029" s="9" t="str">
        <f t="shared" si="166"/>
        <v/>
      </c>
    </row>
    <row r="3030" spans="3:12" x14ac:dyDescent="0.2">
      <c r="C3030"/>
      <c r="L3030" s="9" t="str">
        <f t="shared" si="166"/>
        <v/>
      </c>
    </row>
    <row r="3031" spans="3:12" x14ac:dyDescent="0.2">
      <c r="C3031"/>
      <c r="L3031" s="9" t="str">
        <f t="shared" si="166"/>
        <v/>
      </c>
    </row>
    <row r="3032" spans="3:12" x14ac:dyDescent="0.2">
      <c r="C3032"/>
      <c r="L3032" s="9" t="str">
        <f t="shared" si="166"/>
        <v/>
      </c>
    </row>
    <row r="3033" spans="3:12" x14ac:dyDescent="0.2">
      <c r="C3033"/>
      <c r="L3033" s="9" t="str">
        <f t="shared" si="166"/>
        <v/>
      </c>
    </row>
    <row r="3034" spans="3:12" x14ac:dyDescent="0.2">
      <c r="C3034"/>
      <c r="L3034" s="9" t="str">
        <f t="shared" si="166"/>
        <v/>
      </c>
    </row>
    <row r="3035" spans="3:12" x14ac:dyDescent="0.2">
      <c r="C3035"/>
      <c r="L3035" s="9" t="str">
        <f t="shared" si="166"/>
        <v/>
      </c>
    </row>
    <row r="3036" spans="3:12" x14ac:dyDescent="0.2">
      <c r="C3036"/>
      <c r="L3036" s="9" t="str">
        <f t="shared" si="166"/>
        <v/>
      </c>
    </row>
    <row r="3037" spans="3:12" x14ac:dyDescent="0.2">
      <c r="C3037"/>
      <c r="L3037" s="9" t="str">
        <f t="shared" si="166"/>
        <v/>
      </c>
    </row>
    <row r="3038" spans="3:12" x14ac:dyDescent="0.2">
      <c r="C3038"/>
      <c r="L3038" s="9" t="str">
        <f t="shared" si="166"/>
        <v/>
      </c>
    </row>
    <row r="3039" spans="3:12" x14ac:dyDescent="0.2">
      <c r="C3039"/>
      <c r="L3039" s="9" t="str">
        <f t="shared" si="166"/>
        <v/>
      </c>
    </row>
    <row r="3040" spans="3:12" x14ac:dyDescent="0.2">
      <c r="C3040"/>
      <c r="L3040" s="9" t="str">
        <f t="shared" si="166"/>
        <v/>
      </c>
    </row>
    <row r="3041" spans="3:12" x14ac:dyDescent="0.2">
      <c r="C3041"/>
      <c r="L3041" s="9" t="str">
        <f t="shared" si="166"/>
        <v/>
      </c>
    </row>
    <row r="3042" spans="3:12" x14ac:dyDescent="0.2">
      <c r="C3042"/>
      <c r="L3042" s="9" t="str">
        <f t="shared" si="166"/>
        <v/>
      </c>
    </row>
    <row r="3043" spans="3:12" x14ac:dyDescent="0.2">
      <c r="C3043"/>
      <c r="L3043" s="9" t="str">
        <f t="shared" si="166"/>
        <v/>
      </c>
    </row>
    <row r="3044" spans="3:12" x14ac:dyDescent="0.2">
      <c r="C3044"/>
      <c r="L3044" s="9" t="str">
        <f t="shared" si="166"/>
        <v/>
      </c>
    </row>
    <row r="3045" spans="3:12" x14ac:dyDescent="0.2">
      <c r="C3045"/>
      <c r="L3045" s="9" t="str">
        <f t="shared" si="166"/>
        <v/>
      </c>
    </row>
    <row r="3046" spans="3:12" x14ac:dyDescent="0.2">
      <c r="C3046"/>
      <c r="L3046" s="9" t="str">
        <f t="shared" si="166"/>
        <v/>
      </c>
    </row>
    <row r="3047" spans="3:12" x14ac:dyDescent="0.2">
      <c r="C3047"/>
      <c r="L3047" s="9" t="str">
        <f t="shared" si="166"/>
        <v/>
      </c>
    </row>
    <row r="3048" spans="3:12" x14ac:dyDescent="0.2">
      <c r="C3048"/>
      <c r="L3048" s="9" t="str">
        <f t="shared" si="166"/>
        <v/>
      </c>
    </row>
    <row r="3049" spans="3:12" x14ac:dyDescent="0.2">
      <c r="C3049"/>
      <c r="L3049" s="9" t="str">
        <f t="shared" si="166"/>
        <v/>
      </c>
    </row>
    <row r="3050" spans="3:12" x14ac:dyDescent="0.2">
      <c r="C3050"/>
      <c r="L3050" s="9" t="str">
        <f t="shared" si="166"/>
        <v/>
      </c>
    </row>
    <row r="3051" spans="3:12" x14ac:dyDescent="0.2">
      <c r="C3051"/>
      <c r="L3051" s="9" t="str">
        <f t="shared" si="166"/>
        <v/>
      </c>
    </row>
    <row r="3052" spans="3:12" x14ac:dyDescent="0.2">
      <c r="C3052"/>
      <c r="L3052" s="9" t="str">
        <f t="shared" si="166"/>
        <v/>
      </c>
    </row>
    <row r="3053" spans="3:12" x14ac:dyDescent="0.2">
      <c r="C3053"/>
      <c r="L3053" s="9" t="str">
        <f t="shared" si="166"/>
        <v/>
      </c>
    </row>
    <row r="3054" spans="3:12" x14ac:dyDescent="0.2">
      <c r="C3054"/>
      <c r="L3054" s="9" t="str">
        <f t="shared" si="166"/>
        <v/>
      </c>
    </row>
    <row r="3055" spans="3:12" x14ac:dyDescent="0.2">
      <c r="C3055"/>
      <c r="L3055" s="9" t="str">
        <f t="shared" si="166"/>
        <v/>
      </c>
    </row>
    <row r="3056" spans="3:12" x14ac:dyDescent="0.2">
      <c r="C3056"/>
      <c r="L3056" s="9" t="str">
        <f t="shared" si="166"/>
        <v/>
      </c>
    </row>
    <row r="3057" spans="3:12" x14ac:dyDescent="0.2">
      <c r="C3057"/>
      <c r="L3057" s="9" t="str">
        <f t="shared" si="166"/>
        <v/>
      </c>
    </row>
    <row r="3058" spans="3:12" x14ac:dyDescent="0.2">
      <c r="C3058"/>
      <c r="L3058" s="9" t="str">
        <f t="shared" si="166"/>
        <v/>
      </c>
    </row>
    <row r="3059" spans="3:12" x14ac:dyDescent="0.2">
      <c r="C3059"/>
      <c r="L3059" s="9" t="str">
        <f t="shared" si="166"/>
        <v/>
      </c>
    </row>
    <row r="3060" spans="3:12" x14ac:dyDescent="0.2">
      <c r="C3060"/>
      <c r="L3060" s="9" t="str">
        <f t="shared" si="166"/>
        <v/>
      </c>
    </row>
    <row r="3061" spans="3:12" x14ac:dyDescent="0.2">
      <c r="C3061"/>
      <c r="L3061" s="9" t="str">
        <f t="shared" si="166"/>
        <v/>
      </c>
    </row>
    <row r="3062" spans="3:12" x14ac:dyDescent="0.2">
      <c r="C3062"/>
      <c r="L3062" s="9" t="str">
        <f t="shared" si="166"/>
        <v/>
      </c>
    </row>
    <row r="3063" spans="3:12" x14ac:dyDescent="0.2">
      <c r="C3063"/>
      <c r="L3063" s="9" t="str">
        <f t="shared" si="166"/>
        <v/>
      </c>
    </row>
    <row r="3064" spans="3:12" x14ac:dyDescent="0.2">
      <c r="C3064"/>
      <c r="L3064" s="9" t="str">
        <f t="shared" si="166"/>
        <v/>
      </c>
    </row>
    <row r="3065" spans="3:12" x14ac:dyDescent="0.2">
      <c r="C3065"/>
      <c r="L3065" s="9" t="str">
        <f t="shared" si="166"/>
        <v/>
      </c>
    </row>
    <row r="3066" spans="3:12" x14ac:dyDescent="0.2">
      <c r="C3066"/>
      <c r="L3066" s="9" t="str">
        <f t="shared" si="166"/>
        <v/>
      </c>
    </row>
    <row r="3067" spans="3:12" x14ac:dyDescent="0.2">
      <c r="C3067"/>
      <c r="L3067" s="9" t="str">
        <f t="shared" si="166"/>
        <v/>
      </c>
    </row>
    <row r="3068" spans="3:12" x14ac:dyDescent="0.2">
      <c r="C3068"/>
      <c r="L3068" s="9" t="str">
        <f t="shared" si="166"/>
        <v/>
      </c>
    </row>
    <row r="3069" spans="3:12" x14ac:dyDescent="0.2">
      <c r="C3069"/>
      <c r="L3069" s="9" t="str">
        <f t="shared" ref="L3069:L3132" si="167">IF(A3069="STOCK",E3069,IF(A3069="SOPTION",G3069,IF(A3069="LOPTION",F3069,"")))</f>
        <v/>
      </c>
    </row>
    <row r="3070" spans="3:12" x14ac:dyDescent="0.2">
      <c r="C3070"/>
      <c r="L3070" s="9" t="str">
        <f t="shared" si="167"/>
        <v/>
      </c>
    </row>
    <row r="3071" spans="3:12" x14ac:dyDescent="0.2">
      <c r="C3071"/>
      <c r="L3071" s="9" t="str">
        <f t="shared" si="167"/>
        <v/>
      </c>
    </row>
    <row r="3072" spans="3:12" x14ac:dyDescent="0.2">
      <c r="C3072"/>
      <c r="L3072" s="9" t="str">
        <f t="shared" si="167"/>
        <v/>
      </c>
    </row>
    <row r="3073" spans="3:12" x14ac:dyDescent="0.2">
      <c r="C3073"/>
      <c r="L3073" s="9" t="str">
        <f t="shared" si="167"/>
        <v/>
      </c>
    </row>
    <row r="3074" spans="3:12" x14ac:dyDescent="0.2">
      <c r="C3074"/>
      <c r="L3074" s="9" t="str">
        <f t="shared" si="167"/>
        <v/>
      </c>
    </row>
    <row r="3075" spans="3:12" x14ac:dyDescent="0.2">
      <c r="C3075"/>
      <c r="L3075" s="9" t="str">
        <f t="shared" si="167"/>
        <v/>
      </c>
    </row>
    <row r="3076" spans="3:12" x14ac:dyDescent="0.2">
      <c r="C3076"/>
      <c r="L3076" s="9" t="str">
        <f t="shared" si="167"/>
        <v/>
      </c>
    </row>
    <row r="3077" spans="3:12" x14ac:dyDescent="0.2">
      <c r="C3077"/>
      <c r="L3077" s="9" t="str">
        <f t="shared" si="167"/>
        <v/>
      </c>
    </row>
    <row r="3078" spans="3:12" x14ac:dyDescent="0.2">
      <c r="C3078"/>
      <c r="L3078" s="9" t="str">
        <f t="shared" si="167"/>
        <v/>
      </c>
    </row>
    <row r="3079" spans="3:12" x14ac:dyDescent="0.2">
      <c r="C3079"/>
      <c r="L3079" s="9" t="str">
        <f t="shared" si="167"/>
        <v/>
      </c>
    </row>
    <row r="3080" spans="3:12" x14ac:dyDescent="0.2">
      <c r="C3080"/>
      <c r="L3080" s="9" t="str">
        <f t="shared" si="167"/>
        <v/>
      </c>
    </row>
    <row r="3081" spans="3:12" x14ac:dyDescent="0.2">
      <c r="C3081"/>
      <c r="L3081" s="9" t="str">
        <f t="shared" si="167"/>
        <v/>
      </c>
    </row>
    <row r="3082" spans="3:12" x14ac:dyDescent="0.2">
      <c r="C3082"/>
      <c r="L3082" s="9" t="str">
        <f t="shared" si="167"/>
        <v/>
      </c>
    </row>
    <row r="3083" spans="3:12" x14ac:dyDescent="0.2">
      <c r="C3083"/>
      <c r="L3083" s="9" t="str">
        <f t="shared" si="167"/>
        <v/>
      </c>
    </row>
    <row r="3084" spans="3:12" x14ac:dyDescent="0.2">
      <c r="C3084"/>
      <c r="L3084" s="9" t="str">
        <f t="shared" si="167"/>
        <v/>
      </c>
    </row>
    <row r="3085" spans="3:12" x14ac:dyDescent="0.2">
      <c r="C3085"/>
      <c r="L3085" s="9" t="str">
        <f t="shared" si="167"/>
        <v/>
      </c>
    </row>
    <row r="3086" spans="3:12" x14ac:dyDescent="0.2">
      <c r="C3086"/>
      <c r="L3086" s="9" t="str">
        <f t="shared" si="167"/>
        <v/>
      </c>
    </row>
    <row r="3087" spans="3:12" x14ac:dyDescent="0.2">
      <c r="C3087"/>
      <c r="L3087" s="9" t="str">
        <f t="shared" si="167"/>
        <v/>
      </c>
    </row>
    <row r="3088" spans="3:12" x14ac:dyDescent="0.2">
      <c r="C3088"/>
      <c r="L3088" s="9" t="str">
        <f t="shared" si="167"/>
        <v/>
      </c>
    </row>
    <row r="3089" spans="3:12" x14ac:dyDescent="0.2">
      <c r="C3089"/>
      <c r="L3089" s="9" t="str">
        <f t="shared" si="167"/>
        <v/>
      </c>
    </row>
    <row r="3090" spans="3:12" x14ac:dyDescent="0.2">
      <c r="C3090"/>
      <c r="L3090" s="9" t="str">
        <f t="shared" si="167"/>
        <v/>
      </c>
    </row>
    <row r="3091" spans="3:12" x14ac:dyDescent="0.2">
      <c r="C3091"/>
      <c r="L3091" s="9" t="str">
        <f t="shared" si="167"/>
        <v/>
      </c>
    </row>
    <row r="3092" spans="3:12" x14ac:dyDescent="0.2">
      <c r="C3092"/>
      <c r="L3092" s="9" t="str">
        <f t="shared" si="167"/>
        <v/>
      </c>
    </row>
    <row r="3093" spans="3:12" x14ac:dyDescent="0.2">
      <c r="C3093"/>
      <c r="L3093" s="9" t="str">
        <f t="shared" si="167"/>
        <v/>
      </c>
    </row>
    <row r="3094" spans="3:12" x14ac:dyDescent="0.2">
      <c r="C3094"/>
      <c r="L3094" s="9" t="str">
        <f t="shared" si="167"/>
        <v/>
      </c>
    </row>
    <row r="3095" spans="3:12" x14ac:dyDescent="0.2">
      <c r="C3095"/>
      <c r="L3095" s="9" t="str">
        <f t="shared" si="167"/>
        <v/>
      </c>
    </row>
    <row r="3096" spans="3:12" x14ac:dyDescent="0.2">
      <c r="C3096"/>
      <c r="L3096" s="9" t="str">
        <f t="shared" si="167"/>
        <v/>
      </c>
    </row>
    <row r="3097" spans="3:12" x14ac:dyDescent="0.2">
      <c r="C3097"/>
      <c r="L3097" s="9" t="str">
        <f t="shared" si="167"/>
        <v/>
      </c>
    </row>
    <row r="3098" spans="3:12" x14ac:dyDescent="0.2">
      <c r="C3098"/>
      <c r="L3098" s="9" t="str">
        <f t="shared" si="167"/>
        <v/>
      </c>
    </row>
    <row r="3099" spans="3:12" x14ac:dyDescent="0.2">
      <c r="C3099"/>
      <c r="L3099" s="9" t="str">
        <f t="shared" si="167"/>
        <v/>
      </c>
    </row>
    <row r="3100" spans="3:12" x14ac:dyDescent="0.2">
      <c r="C3100"/>
      <c r="L3100" s="9" t="str">
        <f t="shared" si="167"/>
        <v/>
      </c>
    </row>
    <row r="3101" spans="3:12" x14ac:dyDescent="0.2">
      <c r="C3101"/>
      <c r="L3101" s="9" t="str">
        <f t="shared" si="167"/>
        <v/>
      </c>
    </row>
    <row r="3102" spans="3:12" x14ac:dyDescent="0.2">
      <c r="C3102"/>
      <c r="L3102" s="9" t="str">
        <f t="shared" si="167"/>
        <v/>
      </c>
    </row>
    <row r="3103" spans="3:12" x14ac:dyDescent="0.2">
      <c r="C3103"/>
      <c r="L3103" s="9" t="str">
        <f t="shared" si="167"/>
        <v/>
      </c>
    </row>
    <row r="3104" spans="3:12" x14ac:dyDescent="0.2">
      <c r="C3104"/>
      <c r="L3104" s="9" t="str">
        <f t="shared" si="167"/>
        <v/>
      </c>
    </row>
    <row r="3105" spans="3:12" x14ac:dyDescent="0.2">
      <c r="C3105"/>
      <c r="L3105" s="9" t="str">
        <f t="shared" si="167"/>
        <v/>
      </c>
    </row>
    <row r="3106" spans="3:12" x14ac:dyDescent="0.2">
      <c r="C3106"/>
      <c r="L3106" s="9" t="str">
        <f t="shared" si="167"/>
        <v/>
      </c>
    </row>
    <row r="3107" spans="3:12" x14ac:dyDescent="0.2">
      <c r="C3107"/>
      <c r="L3107" s="9" t="str">
        <f t="shared" si="167"/>
        <v/>
      </c>
    </row>
    <row r="3108" spans="3:12" x14ac:dyDescent="0.2">
      <c r="C3108"/>
      <c r="L3108" s="9" t="str">
        <f t="shared" si="167"/>
        <v/>
      </c>
    </row>
    <row r="3109" spans="3:12" x14ac:dyDescent="0.2">
      <c r="C3109"/>
      <c r="L3109" s="9" t="str">
        <f t="shared" si="167"/>
        <v/>
      </c>
    </row>
    <row r="3110" spans="3:12" x14ac:dyDescent="0.2">
      <c r="C3110"/>
      <c r="L3110" s="9" t="str">
        <f t="shared" si="167"/>
        <v/>
      </c>
    </row>
    <row r="3111" spans="3:12" x14ac:dyDescent="0.2">
      <c r="C3111"/>
      <c r="L3111" s="9" t="str">
        <f t="shared" si="167"/>
        <v/>
      </c>
    </row>
    <row r="3112" spans="3:12" x14ac:dyDescent="0.2">
      <c r="C3112"/>
      <c r="L3112" s="9" t="str">
        <f t="shared" si="167"/>
        <v/>
      </c>
    </row>
    <row r="3113" spans="3:12" x14ac:dyDescent="0.2">
      <c r="C3113"/>
      <c r="L3113" s="9" t="str">
        <f t="shared" si="167"/>
        <v/>
      </c>
    </row>
    <row r="3114" spans="3:12" x14ac:dyDescent="0.2">
      <c r="C3114"/>
      <c r="L3114" s="9" t="str">
        <f t="shared" si="167"/>
        <v/>
      </c>
    </row>
    <row r="3115" spans="3:12" x14ac:dyDescent="0.2">
      <c r="C3115"/>
      <c r="L3115" s="9" t="str">
        <f t="shared" si="167"/>
        <v/>
      </c>
    </row>
    <row r="3116" spans="3:12" x14ac:dyDescent="0.2">
      <c r="C3116"/>
      <c r="L3116" s="9" t="str">
        <f t="shared" si="167"/>
        <v/>
      </c>
    </row>
    <row r="3117" spans="3:12" x14ac:dyDescent="0.2">
      <c r="C3117"/>
      <c r="L3117" s="9" t="str">
        <f t="shared" si="167"/>
        <v/>
      </c>
    </row>
    <row r="3118" spans="3:12" x14ac:dyDescent="0.2">
      <c r="C3118"/>
      <c r="L3118" s="9" t="str">
        <f t="shared" si="167"/>
        <v/>
      </c>
    </row>
    <row r="3119" spans="3:12" x14ac:dyDescent="0.2">
      <c r="C3119"/>
      <c r="L3119" s="9" t="str">
        <f t="shared" si="167"/>
        <v/>
      </c>
    </row>
    <row r="3120" spans="3:12" x14ac:dyDescent="0.2">
      <c r="C3120"/>
      <c r="L3120" s="9" t="str">
        <f t="shared" si="167"/>
        <v/>
      </c>
    </row>
    <row r="3121" spans="3:12" x14ac:dyDescent="0.2">
      <c r="C3121"/>
      <c r="L3121" s="9" t="str">
        <f t="shared" si="167"/>
        <v/>
      </c>
    </row>
    <row r="3122" spans="3:12" x14ac:dyDescent="0.2">
      <c r="C3122"/>
      <c r="L3122" s="9" t="str">
        <f t="shared" si="167"/>
        <v/>
      </c>
    </row>
    <row r="3123" spans="3:12" x14ac:dyDescent="0.2">
      <c r="C3123"/>
      <c r="L3123" s="9" t="str">
        <f t="shared" si="167"/>
        <v/>
      </c>
    </row>
    <row r="3124" spans="3:12" x14ac:dyDescent="0.2">
      <c r="C3124"/>
      <c r="L3124" s="9" t="str">
        <f t="shared" si="167"/>
        <v/>
      </c>
    </row>
    <row r="3125" spans="3:12" x14ac:dyDescent="0.2">
      <c r="C3125"/>
      <c r="L3125" s="9" t="str">
        <f t="shared" si="167"/>
        <v/>
      </c>
    </row>
    <row r="3126" spans="3:12" x14ac:dyDescent="0.2">
      <c r="C3126"/>
      <c r="L3126" s="9" t="str">
        <f t="shared" si="167"/>
        <v/>
      </c>
    </row>
    <row r="3127" spans="3:12" x14ac:dyDescent="0.2">
      <c r="C3127"/>
      <c r="L3127" s="9" t="str">
        <f t="shared" si="167"/>
        <v/>
      </c>
    </row>
    <row r="3128" spans="3:12" x14ac:dyDescent="0.2">
      <c r="C3128"/>
      <c r="L3128" s="9" t="str">
        <f t="shared" si="167"/>
        <v/>
      </c>
    </row>
    <row r="3129" spans="3:12" x14ac:dyDescent="0.2">
      <c r="C3129"/>
      <c r="L3129" s="9" t="str">
        <f t="shared" si="167"/>
        <v/>
      </c>
    </row>
    <row r="3130" spans="3:12" x14ac:dyDescent="0.2">
      <c r="C3130"/>
      <c r="L3130" s="9" t="str">
        <f t="shared" si="167"/>
        <v/>
      </c>
    </row>
    <row r="3131" spans="3:12" x14ac:dyDescent="0.2">
      <c r="C3131"/>
      <c r="L3131" s="9" t="str">
        <f t="shared" si="167"/>
        <v/>
      </c>
    </row>
    <row r="3132" spans="3:12" x14ac:dyDescent="0.2">
      <c r="C3132"/>
      <c r="L3132" s="9" t="str">
        <f t="shared" si="167"/>
        <v/>
      </c>
    </row>
    <row r="3133" spans="3:12" x14ac:dyDescent="0.2">
      <c r="C3133"/>
      <c r="L3133" s="9" t="str">
        <f t="shared" ref="L3133:L3196" si="168">IF(A3133="STOCK",E3133,IF(A3133="SOPTION",G3133,IF(A3133="LOPTION",F3133,"")))</f>
        <v/>
      </c>
    </row>
    <row r="3134" spans="3:12" x14ac:dyDescent="0.2">
      <c r="C3134"/>
      <c r="L3134" s="9" t="str">
        <f t="shared" si="168"/>
        <v/>
      </c>
    </row>
    <row r="3135" spans="3:12" x14ac:dyDescent="0.2">
      <c r="C3135"/>
      <c r="L3135" s="9" t="str">
        <f t="shared" si="168"/>
        <v/>
      </c>
    </row>
    <row r="3136" spans="3:12" x14ac:dyDescent="0.2">
      <c r="C3136"/>
      <c r="L3136" s="9" t="str">
        <f t="shared" si="168"/>
        <v/>
      </c>
    </row>
    <row r="3137" spans="3:12" x14ac:dyDescent="0.2">
      <c r="C3137"/>
      <c r="L3137" s="9" t="str">
        <f t="shared" si="168"/>
        <v/>
      </c>
    </row>
    <row r="3138" spans="3:12" x14ac:dyDescent="0.2">
      <c r="C3138"/>
      <c r="L3138" s="9" t="str">
        <f t="shared" si="168"/>
        <v/>
      </c>
    </row>
    <row r="3139" spans="3:12" x14ac:dyDescent="0.2">
      <c r="C3139"/>
      <c r="L3139" s="9" t="str">
        <f t="shared" si="168"/>
        <v/>
      </c>
    </row>
    <row r="3140" spans="3:12" x14ac:dyDescent="0.2">
      <c r="C3140"/>
      <c r="L3140" s="9" t="str">
        <f t="shared" si="168"/>
        <v/>
      </c>
    </row>
    <row r="3141" spans="3:12" x14ac:dyDescent="0.2">
      <c r="C3141"/>
      <c r="L3141" s="9" t="str">
        <f t="shared" si="168"/>
        <v/>
      </c>
    </row>
    <row r="3142" spans="3:12" x14ac:dyDescent="0.2">
      <c r="C3142"/>
      <c r="L3142" s="9" t="str">
        <f t="shared" si="168"/>
        <v/>
      </c>
    </row>
    <row r="3143" spans="3:12" x14ac:dyDescent="0.2">
      <c r="C3143"/>
      <c r="L3143" s="9" t="str">
        <f t="shared" si="168"/>
        <v/>
      </c>
    </row>
    <row r="3144" spans="3:12" x14ac:dyDescent="0.2">
      <c r="C3144"/>
      <c r="L3144" s="9" t="str">
        <f t="shared" si="168"/>
        <v/>
      </c>
    </row>
    <row r="3145" spans="3:12" x14ac:dyDescent="0.2">
      <c r="C3145"/>
      <c r="L3145" s="9" t="str">
        <f t="shared" si="168"/>
        <v/>
      </c>
    </row>
    <row r="3146" spans="3:12" x14ac:dyDescent="0.2">
      <c r="C3146"/>
      <c r="L3146" s="9" t="str">
        <f t="shared" si="168"/>
        <v/>
      </c>
    </row>
    <row r="3147" spans="3:12" x14ac:dyDescent="0.2">
      <c r="C3147"/>
      <c r="L3147" s="9" t="str">
        <f t="shared" si="168"/>
        <v/>
      </c>
    </row>
    <row r="3148" spans="3:12" x14ac:dyDescent="0.2">
      <c r="C3148"/>
      <c r="L3148" s="9" t="str">
        <f t="shared" si="168"/>
        <v/>
      </c>
    </row>
    <row r="3149" spans="3:12" x14ac:dyDescent="0.2">
      <c r="C3149"/>
      <c r="L3149" s="9" t="str">
        <f t="shared" si="168"/>
        <v/>
      </c>
    </row>
    <row r="3150" spans="3:12" x14ac:dyDescent="0.2">
      <c r="C3150"/>
      <c r="L3150" s="9" t="str">
        <f t="shared" si="168"/>
        <v/>
      </c>
    </row>
    <row r="3151" spans="3:12" x14ac:dyDescent="0.2">
      <c r="C3151"/>
      <c r="L3151" s="9" t="str">
        <f t="shared" si="168"/>
        <v/>
      </c>
    </row>
    <row r="3152" spans="3:12" x14ac:dyDescent="0.2">
      <c r="C3152"/>
      <c r="L3152" s="9" t="str">
        <f t="shared" si="168"/>
        <v/>
      </c>
    </row>
    <row r="3153" spans="3:12" x14ac:dyDescent="0.2">
      <c r="C3153"/>
      <c r="L3153" s="9" t="str">
        <f t="shared" si="168"/>
        <v/>
      </c>
    </row>
    <row r="3154" spans="3:12" x14ac:dyDescent="0.2">
      <c r="C3154"/>
      <c r="L3154" s="9" t="str">
        <f t="shared" si="168"/>
        <v/>
      </c>
    </row>
    <row r="3155" spans="3:12" x14ac:dyDescent="0.2">
      <c r="C3155"/>
      <c r="L3155" s="9" t="str">
        <f t="shared" si="168"/>
        <v/>
      </c>
    </row>
    <row r="3156" spans="3:12" x14ac:dyDescent="0.2">
      <c r="C3156"/>
      <c r="L3156" s="9" t="str">
        <f t="shared" si="168"/>
        <v/>
      </c>
    </row>
    <row r="3157" spans="3:12" x14ac:dyDescent="0.2">
      <c r="C3157"/>
      <c r="L3157" s="9" t="str">
        <f t="shared" si="168"/>
        <v/>
      </c>
    </row>
    <row r="3158" spans="3:12" x14ac:dyDescent="0.2">
      <c r="C3158"/>
      <c r="L3158" s="9" t="str">
        <f t="shared" si="168"/>
        <v/>
      </c>
    </row>
    <row r="3159" spans="3:12" x14ac:dyDescent="0.2">
      <c r="C3159"/>
      <c r="L3159" s="9" t="str">
        <f t="shared" si="168"/>
        <v/>
      </c>
    </row>
    <row r="3160" spans="3:12" x14ac:dyDescent="0.2">
      <c r="C3160"/>
      <c r="L3160" s="9" t="str">
        <f t="shared" si="168"/>
        <v/>
      </c>
    </row>
    <row r="3161" spans="3:12" x14ac:dyDescent="0.2">
      <c r="C3161"/>
      <c r="L3161" s="9" t="str">
        <f t="shared" si="168"/>
        <v/>
      </c>
    </row>
    <row r="3162" spans="3:12" x14ac:dyDescent="0.2">
      <c r="C3162"/>
      <c r="L3162" s="9" t="str">
        <f t="shared" si="168"/>
        <v/>
      </c>
    </row>
    <row r="3163" spans="3:12" x14ac:dyDescent="0.2">
      <c r="C3163"/>
      <c r="L3163" s="9" t="str">
        <f t="shared" si="168"/>
        <v/>
      </c>
    </row>
    <row r="3164" spans="3:12" x14ac:dyDescent="0.2">
      <c r="C3164"/>
      <c r="L3164" s="9" t="str">
        <f t="shared" si="168"/>
        <v/>
      </c>
    </row>
    <row r="3165" spans="3:12" x14ac:dyDescent="0.2">
      <c r="C3165"/>
      <c r="L3165" s="9" t="str">
        <f t="shared" si="168"/>
        <v/>
      </c>
    </row>
    <row r="3166" spans="3:12" x14ac:dyDescent="0.2">
      <c r="C3166"/>
      <c r="L3166" s="9" t="str">
        <f t="shared" si="168"/>
        <v/>
      </c>
    </row>
    <row r="3167" spans="3:12" x14ac:dyDescent="0.2">
      <c r="C3167"/>
      <c r="L3167" s="9" t="str">
        <f t="shared" si="168"/>
        <v/>
      </c>
    </row>
    <row r="3168" spans="3:12" x14ac:dyDescent="0.2">
      <c r="C3168"/>
      <c r="L3168" s="9" t="str">
        <f t="shared" si="168"/>
        <v/>
      </c>
    </row>
    <row r="3169" spans="3:12" x14ac:dyDescent="0.2">
      <c r="C3169"/>
      <c r="L3169" s="9" t="str">
        <f t="shared" si="168"/>
        <v/>
      </c>
    </row>
    <row r="3170" spans="3:12" x14ac:dyDescent="0.2">
      <c r="C3170"/>
      <c r="L3170" s="9" t="str">
        <f t="shared" si="168"/>
        <v/>
      </c>
    </row>
    <row r="3171" spans="3:12" x14ac:dyDescent="0.2">
      <c r="C3171"/>
      <c r="L3171" s="9" t="str">
        <f t="shared" si="168"/>
        <v/>
      </c>
    </row>
    <row r="3172" spans="3:12" x14ac:dyDescent="0.2">
      <c r="C3172"/>
      <c r="L3172" s="9" t="str">
        <f t="shared" si="168"/>
        <v/>
      </c>
    </row>
    <row r="3173" spans="3:12" x14ac:dyDescent="0.2">
      <c r="C3173"/>
      <c r="L3173" s="9" t="str">
        <f t="shared" si="168"/>
        <v/>
      </c>
    </row>
    <row r="3174" spans="3:12" x14ac:dyDescent="0.2">
      <c r="C3174"/>
      <c r="L3174" s="9" t="str">
        <f t="shared" si="168"/>
        <v/>
      </c>
    </row>
    <row r="3175" spans="3:12" x14ac:dyDescent="0.2">
      <c r="C3175"/>
      <c r="L3175" s="9" t="str">
        <f t="shared" si="168"/>
        <v/>
      </c>
    </row>
    <row r="3176" spans="3:12" x14ac:dyDescent="0.2">
      <c r="C3176"/>
      <c r="L3176" s="9" t="str">
        <f t="shared" si="168"/>
        <v/>
      </c>
    </row>
    <row r="3177" spans="3:12" x14ac:dyDescent="0.2">
      <c r="C3177"/>
      <c r="L3177" s="9" t="str">
        <f t="shared" si="168"/>
        <v/>
      </c>
    </row>
    <row r="3178" spans="3:12" x14ac:dyDescent="0.2">
      <c r="C3178"/>
      <c r="L3178" s="9" t="str">
        <f t="shared" si="168"/>
        <v/>
      </c>
    </row>
    <row r="3179" spans="3:12" x14ac:dyDescent="0.2">
      <c r="C3179"/>
      <c r="L3179" s="9" t="str">
        <f t="shared" si="168"/>
        <v/>
      </c>
    </row>
    <row r="3180" spans="3:12" x14ac:dyDescent="0.2">
      <c r="C3180"/>
      <c r="L3180" s="9" t="str">
        <f t="shared" si="168"/>
        <v/>
      </c>
    </row>
    <row r="3181" spans="3:12" x14ac:dyDescent="0.2">
      <c r="C3181"/>
      <c r="L3181" s="9" t="str">
        <f t="shared" si="168"/>
        <v/>
      </c>
    </row>
    <row r="3182" spans="3:12" x14ac:dyDescent="0.2">
      <c r="C3182"/>
      <c r="L3182" s="9" t="str">
        <f t="shared" si="168"/>
        <v/>
      </c>
    </row>
    <row r="3183" spans="3:12" x14ac:dyDescent="0.2">
      <c r="C3183"/>
      <c r="L3183" s="9" t="str">
        <f t="shared" si="168"/>
        <v/>
      </c>
    </row>
    <row r="3184" spans="3:12" x14ac:dyDescent="0.2">
      <c r="C3184"/>
      <c r="L3184" s="9" t="str">
        <f t="shared" si="168"/>
        <v/>
      </c>
    </row>
    <row r="3185" spans="3:12" x14ac:dyDescent="0.2">
      <c r="C3185"/>
      <c r="L3185" s="9" t="str">
        <f t="shared" si="168"/>
        <v/>
      </c>
    </row>
    <row r="3186" spans="3:12" x14ac:dyDescent="0.2">
      <c r="C3186"/>
      <c r="L3186" s="9" t="str">
        <f t="shared" si="168"/>
        <v/>
      </c>
    </row>
    <row r="3187" spans="3:12" x14ac:dyDescent="0.2">
      <c r="C3187"/>
      <c r="L3187" s="9" t="str">
        <f t="shared" si="168"/>
        <v/>
      </c>
    </row>
    <row r="3188" spans="3:12" x14ac:dyDescent="0.2">
      <c r="C3188"/>
      <c r="L3188" s="9" t="str">
        <f t="shared" si="168"/>
        <v/>
      </c>
    </row>
    <row r="3189" spans="3:12" x14ac:dyDescent="0.2">
      <c r="C3189"/>
      <c r="L3189" s="9" t="str">
        <f t="shared" si="168"/>
        <v/>
      </c>
    </row>
    <row r="3190" spans="3:12" x14ac:dyDescent="0.2">
      <c r="C3190"/>
      <c r="L3190" s="9" t="str">
        <f t="shared" si="168"/>
        <v/>
      </c>
    </row>
    <row r="3191" spans="3:12" x14ac:dyDescent="0.2">
      <c r="C3191"/>
      <c r="L3191" s="9" t="str">
        <f t="shared" si="168"/>
        <v/>
      </c>
    </row>
    <row r="3192" spans="3:12" x14ac:dyDescent="0.2">
      <c r="C3192"/>
      <c r="L3192" s="9" t="str">
        <f t="shared" si="168"/>
        <v/>
      </c>
    </row>
    <row r="3193" spans="3:12" x14ac:dyDescent="0.2">
      <c r="C3193"/>
      <c r="L3193" s="9" t="str">
        <f t="shared" si="168"/>
        <v/>
      </c>
    </row>
    <row r="3194" spans="3:12" x14ac:dyDescent="0.2">
      <c r="C3194"/>
      <c r="L3194" s="9" t="str">
        <f t="shared" si="168"/>
        <v/>
      </c>
    </row>
    <row r="3195" spans="3:12" x14ac:dyDescent="0.2">
      <c r="C3195"/>
      <c r="L3195" s="9" t="str">
        <f t="shared" si="168"/>
        <v/>
      </c>
    </row>
    <row r="3196" spans="3:12" x14ac:dyDescent="0.2">
      <c r="C3196"/>
      <c r="L3196" s="9" t="str">
        <f t="shared" si="168"/>
        <v/>
      </c>
    </row>
    <row r="3197" spans="3:12" x14ac:dyDescent="0.2">
      <c r="C3197"/>
      <c r="L3197" s="9" t="str">
        <f t="shared" ref="L3197:L3260" si="169">IF(A3197="STOCK",E3197,IF(A3197="SOPTION",G3197,IF(A3197="LOPTION",F3197,"")))</f>
        <v/>
      </c>
    </row>
    <row r="3198" spans="3:12" x14ac:dyDescent="0.2">
      <c r="C3198"/>
      <c r="L3198" s="9" t="str">
        <f t="shared" si="169"/>
        <v/>
      </c>
    </row>
    <row r="3199" spans="3:12" x14ac:dyDescent="0.2">
      <c r="C3199"/>
      <c r="L3199" s="9" t="str">
        <f t="shared" si="169"/>
        <v/>
      </c>
    </row>
    <row r="3200" spans="3:12" x14ac:dyDescent="0.2">
      <c r="C3200"/>
      <c r="L3200" s="9" t="str">
        <f t="shared" si="169"/>
        <v/>
      </c>
    </row>
    <row r="3201" spans="3:12" x14ac:dyDescent="0.2">
      <c r="C3201"/>
      <c r="L3201" s="9" t="str">
        <f t="shared" si="169"/>
        <v/>
      </c>
    </row>
    <row r="3202" spans="3:12" x14ac:dyDescent="0.2">
      <c r="C3202"/>
      <c r="L3202" s="9" t="str">
        <f t="shared" si="169"/>
        <v/>
      </c>
    </row>
    <row r="3203" spans="3:12" x14ac:dyDescent="0.2">
      <c r="C3203"/>
      <c r="L3203" s="9" t="str">
        <f t="shared" si="169"/>
        <v/>
      </c>
    </row>
    <row r="3204" spans="3:12" x14ac:dyDescent="0.2">
      <c r="C3204"/>
      <c r="L3204" s="9" t="str">
        <f t="shared" si="169"/>
        <v/>
      </c>
    </row>
    <row r="3205" spans="3:12" x14ac:dyDescent="0.2">
      <c r="C3205"/>
      <c r="L3205" s="9" t="str">
        <f t="shared" si="169"/>
        <v/>
      </c>
    </row>
    <row r="3206" spans="3:12" x14ac:dyDescent="0.2">
      <c r="C3206"/>
      <c r="L3206" s="9" t="str">
        <f t="shared" si="169"/>
        <v/>
      </c>
    </row>
    <row r="3207" spans="3:12" x14ac:dyDescent="0.2">
      <c r="C3207"/>
      <c r="L3207" s="9" t="str">
        <f t="shared" si="169"/>
        <v/>
      </c>
    </row>
    <row r="3208" spans="3:12" x14ac:dyDescent="0.2">
      <c r="C3208"/>
      <c r="L3208" s="9" t="str">
        <f t="shared" si="169"/>
        <v/>
      </c>
    </row>
    <row r="3209" spans="3:12" x14ac:dyDescent="0.2">
      <c r="C3209"/>
      <c r="L3209" s="9" t="str">
        <f t="shared" si="169"/>
        <v/>
      </c>
    </row>
    <row r="3210" spans="3:12" x14ac:dyDescent="0.2">
      <c r="C3210"/>
      <c r="L3210" s="9" t="str">
        <f t="shared" si="169"/>
        <v/>
      </c>
    </row>
    <row r="3211" spans="3:12" x14ac:dyDescent="0.2">
      <c r="C3211"/>
      <c r="L3211" s="9" t="str">
        <f t="shared" si="169"/>
        <v/>
      </c>
    </row>
    <row r="3212" spans="3:12" x14ac:dyDescent="0.2">
      <c r="C3212"/>
      <c r="L3212" s="9" t="str">
        <f t="shared" si="169"/>
        <v/>
      </c>
    </row>
    <row r="3213" spans="3:12" x14ac:dyDescent="0.2">
      <c r="C3213"/>
      <c r="L3213" s="9" t="str">
        <f t="shared" si="169"/>
        <v/>
      </c>
    </row>
    <row r="3214" spans="3:12" x14ac:dyDescent="0.2">
      <c r="C3214"/>
      <c r="L3214" s="9" t="str">
        <f t="shared" si="169"/>
        <v/>
      </c>
    </row>
    <row r="3215" spans="3:12" x14ac:dyDescent="0.2">
      <c r="C3215"/>
      <c r="L3215" s="9" t="str">
        <f t="shared" si="169"/>
        <v/>
      </c>
    </row>
    <row r="3216" spans="3:12" x14ac:dyDescent="0.2">
      <c r="C3216"/>
      <c r="L3216" s="9" t="str">
        <f t="shared" si="169"/>
        <v/>
      </c>
    </row>
    <row r="3217" spans="3:12" x14ac:dyDescent="0.2">
      <c r="C3217"/>
      <c r="L3217" s="9" t="str">
        <f t="shared" si="169"/>
        <v/>
      </c>
    </row>
    <row r="3218" spans="3:12" x14ac:dyDescent="0.2">
      <c r="C3218"/>
      <c r="L3218" s="9" t="str">
        <f t="shared" si="169"/>
        <v/>
      </c>
    </row>
    <row r="3219" spans="3:12" x14ac:dyDescent="0.2">
      <c r="C3219"/>
      <c r="L3219" s="9" t="str">
        <f t="shared" si="169"/>
        <v/>
      </c>
    </row>
    <row r="3220" spans="3:12" x14ac:dyDescent="0.2">
      <c r="C3220"/>
      <c r="L3220" s="9" t="str">
        <f t="shared" si="169"/>
        <v/>
      </c>
    </row>
    <row r="3221" spans="3:12" x14ac:dyDescent="0.2">
      <c r="C3221"/>
      <c r="L3221" s="9" t="str">
        <f t="shared" si="169"/>
        <v/>
      </c>
    </row>
    <row r="3222" spans="3:12" x14ac:dyDescent="0.2">
      <c r="C3222"/>
      <c r="L3222" s="9" t="str">
        <f t="shared" si="169"/>
        <v/>
      </c>
    </row>
    <row r="3223" spans="3:12" x14ac:dyDescent="0.2">
      <c r="C3223"/>
      <c r="L3223" s="9" t="str">
        <f t="shared" si="169"/>
        <v/>
      </c>
    </row>
    <row r="3224" spans="3:12" x14ac:dyDescent="0.2">
      <c r="C3224"/>
      <c r="L3224" s="9" t="str">
        <f t="shared" si="169"/>
        <v/>
      </c>
    </row>
    <row r="3225" spans="3:12" x14ac:dyDescent="0.2">
      <c r="C3225"/>
      <c r="L3225" s="9" t="str">
        <f t="shared" si="169"/>
        <v/>
      </c>
    </row>
    <row r="3226" spans="3:12" x14ac:dyDescent="0.2">
      <c r="C3226"/>
      <c r="L3226" s="9" t="str">
        <f t="shared" si="169"/>
        <v/>
      </c>
    </row>
    <row r="3227" spans="3:12" x14ac:dyDescent="0.2">
      <c r="C3227"/>
      <c r="L3227" s="9" t="str">
        <f t="shared" si="169"/>
        <v/>
      </c>
    </row>
    <row r="3228" spans="3:12" x14ac:dyDescent="0.2">
      <c r="C3228"/>
      <c r="L3228" s="9" t="str">
        <f t="shared" si="169"/>
        <v/>
      </c>
    </row>
    <row r="3229" spans="3:12" x14ac:dyDescent="0.2">
      <c r="C3229"/>
      <c r="L3229" s="9" t="str">
        <f t="shared" si="169"/>
        <v/>
      </c>
    </row>
    <row r="3230" spans="3:12" x14ac:dyDescent="0.2">
      <c r="C3230"/>
      <c r="L3230" s="9" t="str">
        <f t="shared" si="169"/>
        <v/>
      </c>
    </row>
    <row r="3231" spans="3:12" x14ac:dyDescent="0.2">
      <c r="C3231"/>
      <c r="L3231" s="9" t="str">
        <f t="shared" si="169"/>
        <v/>
      </c>
    </row>
    <row r="3232" spans="3:12" x14ac:dyDescent="0.2">
      <c r="C3232"/>
      <c r="L3232" s="9" t="str">
        <f t="shared" si="169"/>
        <v/>
      </c>
    </row>
    <row r="3233" spans="3:12" x14ac:dyDescent="0.2">
      <c r="C3233"/>
      <c r="L3233" s="9" t="str">
        <f t="shared" si="169"/>
        <v/>
      </c>
    </row>
    <row r="3234" spans="3:12" x14ac:dyDescent="0.2">
      <c r="C3234"/>
      <c r="L3234" s="9" t="str">
        <f t="shared" si="169"/>
        <v/>
      </c>
    </row>
    <row r="3235" spans="3:12" x14ac:dyDescent="0.2">
      <c r="C3235"/>
      <c r="L3235" s="9" t="str">
        <f t="shared" si="169"/>
        <v/>
      </c>
    </row>
    <row r="3236" spans="3:12" x14ac:dyDescent="0.2">
      <c r="C3236"/>
      <c r="L3236" s="9" t="str">
        <f t="shared" si="169"/>
        <v/>
      </c>
    </row>
    <row r="3237" spans="3:12" x14ac:dyDescent="0.2">
      <c r="C3237"/>
      <c r="L3237" s="9" t="str">
        <f t="shared" si="169"/>
        <v/>
      </c>
    </row>
    <row r="3238" spans="3:12" x14ac:dyDescent="0.2">
      <c r="C3238"/>
      <c r="L3238" s="9" t="str">
        <f t="shared" si="169"/>
        <v/>
      </c>
    </row>
    <row r="3239" spans="3:12" x14ac:dyDescent="0.2">
      <c r="C3239"/>
      <c r="L3239" s="9" t="str">
        <f t="shared" si="169"/>
        <v/>
      </c>
    </row>
    <row r="3240" spans="3:12" x14ac:dyDescent="0.2">
      <c r="C3240"/>
      <c r="L3240" s="9" t="str">
        <f t="shared" si="169"/>
        <v/>
      </c>
    </row>
    <row r="3241" spans="3:12" x14ac:dyDescent="0.2">
      <c r="C3241"/>
      <c r="L3241" s="9" t="str">
        <f t="shared" si="169"/>
        <v/>
      </c>
    </row>
    <row r="3242" spans="3:12" x14ac:dyDescent="0.2">
      <c r="C3242"/>
      <c r="L3242" s="9" t="str">
        <f t="shared" si="169"/>
        <v/>
      </c>
    </row>
    <row r="3243" spans="3:12" x14ac:dyDescent="0.2">
      <c r="C3243"/>
      <c r="L3243" s="9" t="str">
        <f t="shared" si="169"/>
        <v/>
      </c>
    </row>
    <row r="3244" spans="3:12" x14ac:dyDescent="0.2">
      <c r="C3244"/>
      <c r="L3244" s="9" t="str">
        <f t="shared" si="169"/>
        <v/>
      </c>
    </row>
    <row r="3245" spans="3:12" x14ac:dyDescent="0.2">
      <c r="C3245"/>
      <c r="L3245" s="9" t="str">
        <f t="shared" si="169"/>
        <v/>
      </c>
    </row>
    <row r="3246" spans="3:12" x14ac:dyDescent="0.2">
      <c r="C3246"/>
      <c r="L3246" s="9" t="str">
        <f t="shared" si="169"/>
        <v/>
      </c>
    </row>
    <row r="3247" spans="3:12" x14ac:dyDescent="0.2">
      <c r="C3247"/>
      <c r="L3247" s="9" t="str">
        <f t="shared" si="169"/>
        <v/>
      </c>
    </row>
    <row r="3248" spans="3:12" x14ac:dyDescent="0.2">
      <c r="C3248"/>
      <c r="L3248" s="9" t="str">
        <f t="shared" si="169"/>
        <v/>
      </c>
    </row>
    <row r="3249" spans="3:12" x14ac:dyDescent="0.2">
      <c r="C3249"/>
      <c r="L3249" s="9" t="str">
        <f t="shared" si="169"/>
        <v/>
      </c>
    </row>
    <row r="3250" spans="3:12" x14ac:dyDescent="0.2">
      <c r="C3250"/>
      <c r="L3250" s="9" t="str">
        <f t="shared" si="169"/>
        <v/>
      </c>
    </row>
    <row r="3251" spans="3:12" x14ac:dyDescent="0.2">
      <c r="C3251"/>
      <c r="L3251" s="9" t="str">
        <f t="shared" si="169"/>
        <v/>
      </c>
    </row>
    <row r="3252" spans="3:12" x14ac:dyDescent="0.2">
      <c r="C3252"/>
      <c r="L3252" s="9" t="str">
        <f t="shared" si="169"/>
        <v/>
      </c>
    </row>
    <row r="3253" spans="3:12" x14ac:dyDescent="0.2">
      <c r="C3253"/>
      <c r="L3253" s="9" t="str">
        <f t="shared" si="169"/>
        <v/>
      </c>
    </row>
    <row r="3254" spans="3:12" x14ac:dyDescent="0.2">
      <c r="C3254"/>
      <c r="L3254" s="9" t="str">
        <f t="shared" si="169"/>
        <v/>
      </c>
    </row>
    <row r="3255" spans="3:12" x14ac:dyDescent="0.2">
      <c r="C3255"/>
      <c r="L3255" s="9" t="str">
        <f t="shared" si="169"/>
        <v/>
      </c>
    </row>
    <row r="3256" spans="3:12" x14ac:dyDescent="0.2">
      <c r="C3256"/>
      <c r="L3256" s="9" t="str">
        <f t="shared" si="169"/>
        <v/>
      </c>
    </row>
    <row r="3257" spans="3:12" x14ac:dyDescent="0.2">
      <c r="C3257"/>
      <c r="L3257" s="9" t="str">
        <f t="shared" si="169"/>
        <v/>
      </c>
    </row>
    <row r="3258" spans="3:12" x14ac:dyDescent="0.2">
      <c r="C3258"/>
      <c r="L3258" s="9" t="str">
        <f t="shared" si="169"/>
        <v/>
      </c>
    </row>
    <row r="3259" spans="3:12" x14ac:dyDescent="0.2">
      <c r="C3259"/>
      <c r="L3259" s="9" t="str">
        <f t="shared" si="169"/>
        <v/>
      </c>
    </row>
    <row r="3260" spans="3:12" x14ac:dyDescent="0.2">
      <c r="C3260"/>
      <c r="L3260" s="9" t="str">
        <f t="shared" si="169"/>
        <v/>
      </c>
    </row>
    <row r="3261" spans="3:12" x14ac:dyDescent="0.2">
      <c r="C3261"/>
      <c r="L3261" s="9" t="str">
        <f t="shared" ref="L3261:L3324" si="170">IF(A3261="STOCK",E3261,IF(A3261="SOPTION",G3261,IF(A3261="LOPTION",F3261,"")))</f>
        <v/>
      </c>
    </row>
    <row r="3262" spans="3:12" x14ac:dyDescent="0.2">
      <c r="C3262"/>
      <c r="L3262" s="9" t="str">
        <f t="shared" si="170"/>
        <v/>
      </c>
    </row>
    <row r="3263" spans="3:12" x14ac:dyDescent="0.2">
      <c r="C3263"/>
      <c r="L3263" s="9" t="str">
        <f t="shared" si="170"/>
        <v/>
      </c>
    </row>
    <row r="3264" spans="3:12" x14ac:dyDescent="0.2">
      <c r="C3264"/>
      <c r="L3264" s="9" t="str">
        <f t="shared" si="170"/>
        <v/>
      </c>
    </row>
    <row r="3265" spans="3:12" x14ac:dyDescent="0.2">
      <c r="C3265"/>
      <c r="L3265" s="9" t="str">
        <f t="shared" si="170"/>
        <v/>
      </c>
    </row>
    <row r="3266" spans="3:12" x14ac:dyDescent="0.2">
      <c r="C3266"/>
      <c r="L3266" s="9" t="str">
        <f t="shared" si="170"/>
        <v/>
      </c>
    </row>
    <row r="3267" spans="3:12" x14ac:dyDescent="0.2">
      <c r="C3267"/>
      <c r="L3267" s="9" t="str">
        <f t="shared" si="170"/>
        <v/>
      </c>
    </row>
    <row r="3268" spans="3:12" x14ac:dyDescent="0.2">
      <c r="C3268"/>
      <c r="L3268" s="9" t="str">
        <f t="shared" si="170"/>
        <v/>
      </c>
    </row>
    <row r="3269" spans="3:12" x14ac:dyDescent="0.2">
      <c r="C3269"/>
      <c r="L3269" s="9" t="str">
        <f t="shared" si="170"/>
        <v/>
      </c>
    </row>
    <row r="3270" spans="3:12" x14ac:dyDescent="0.2">
      <c r="C3270"/>
      <c r="L3270" s="9" t="str">
        <f t="shared" si="170"/>
        <v/>
      </c>
    </row>
    <row r="3271" spans="3:12" x14ac:dyDescent="0.2">
      <c r="C3271"/>
      <c r="L3271" s="9" t="str">
        <f t="shared" si="170"/>
        <v/>
      </c>
    </row>
    <row r="3272" spans="3:12" x14ac:dyDescent="0.2">
      <c r="C3272"/>
      <c r="L3272" s="9" t="str">
        <f t="shared" si="170"/>
        <v/>
      </c>
    </row>
    <row r="3273" spans="3:12" x14ac:dyDescent="0.2">
      <c r="C3273"/>
      <c r="L3273" s="9" t="str">
        <f t="shared" si="170"/>
        <v/>
      </c>
    </row>
    <row r="3274" spans="3:12" x14ac:dyDescent="0.2">
      <c r="C3274"/>
      <c r="L3274" s="9" t="str">
        <f t="shared" si="170"/>
        <v/>
      </c>
    </row>
    <row r="3275" spans="3:12" x14ac:dyDescent="0.2">
      <c r="C3275"/>
      <c r="L3275" s="9" t="str">
        <f t="shared" si="170"/>
        <v/>
      </c>
    </row>
    <row r="3276" spans="3:12" x14ac:dyDescent="0.2">
      <c r="C3276"/>
      <c r="L3276" s="9" t="str">
        <f t="shared" si="170"/>
        <v/>
      </c>
    </row>
    <row r="3277" spans="3:12" x14ac:dyDescent="0.2">
      <c r="C3277"/>
      <c r="L3277" s="9" t="str">
        <f t="shared" si="170"/>
        <v/>
      </c>
    </row>
    <row r="3278" spans="3:12" x14ac:dyDescent="0.2">
      <c r="C3278"/>
      <c r="L3278" s="9" t="str">
        <f t="shared" si="170"/>
        <v/>
      </c>
    </row>
    <row r="3279" spans="3:12" x14ac:dyDescent="0.2">
      <c r="C3279"/>
      <c r="L3279" s="9" t="str">
        <f t="shared" si="170"/>
        <v/>
      </c>
    </row>
    <row r="3280" spans="3:12" x14ac:dyDescent="0.2">
      <c r="C3280"/>
      <c r="L3280" s="9" t="str">
        <f t="shared" si="170"/>
        <v/>
      </c>
    </row>
    <row r="3281" spans="3:12" x14ac:dyDescent="0.2">
      <c r="C3281"/>
      <c r="L3281" s="9" t="str">
        <f t="shared" si="170"/>
        <v/>
      </c>
    </row>
    <row r="3282" spans="3:12" x14ac:dyDescent="0.2">
      <c r="C3282"/>
      <c r="L3282" s="9" t="str">
        <f t="shared" si="170"/>
        <v/>
      </c>
    </row>
    <row r="3283" spans="3:12" x14ac:dyDescent="0.2">
      <c r="C3283"/>
      <c r="L3283" s="9" t="str">
        <f t="shared" si="170"/>
        <v/>
      </c>
    </row>
    <row r="3284" spans="3:12" x14ac:dyDescent="0.2">
      <c r="C3284"/>
      <c r="L3284" s="9" t="str">
        <f t="shared" si="170"/>
        <v/>
      </c>
    </row>
    <row r="3285" spans="3:12" x14ac:dyDescent="0.2">
      <c r="C3285"/>
      <c r="L3285" s="9" t="str">
        <f t="shared" si="170"/>
        <v/>
      </c>
    </row>
    <row r="3286" spans="3:12" x14ac:dyDescent="0.2">
      <c r="C3286"/>
      <c r="L3286" s="9" t="str">
        <f t="shared" si="170"/>
        <v/>
      </c>
    </row>
    <row r="3287" spans="3:12" x14ac:dyDescent="0.2">
      <c r="C3287"/>
      <c r="L3287" s="9" t="str">
        <f t="shared" si="170"/>
        <v/>
      </c>
    </row>
    <row r="3288" spans="3:12" x14ac:dyDescent="0.2">
      <c r="C3288"/>
      <c r="L3288" s="9" t="str">
        <f t="shared" si="170"/>
        <v/>
      </c>
    </row>
    <row r="3289" spans="3:12" x14ac:dyDescent="0.2">
      <c r="C3289"/>
      <c r="L3289" s="9" t="str">
        <f t="shared" si="170"/>
        <v/>
      </c>
    </row>
    <row r="3290" spans="3:12" x14ac:dyDescent="0.2">
      <c r="C3290"/>
      <c r="L3290" s="9" t="str">
        <f t="shared" si="170"/>
        <v/>
      </c>
    </row>
    <row r="3291" spans="3:12" x14ac:dyDescent="0.2">
      <c r="C3291"/>
      <c r="L3291" s="9" t="str">
        <f t="shared" si="170"/>
        <v/>
      </c>
    </row>
    <row r="3292" spans="3:12" x14ac:dyDescent="0.2">
      <c r="C3292"/>
      <c r="L3292" s="9" t="str">
        <f t="shared" si="170"/>
        <v/>
      </c>
    </row>
    <row r="3293" spans="3:12" x14ac:dyDescent="0.2">
      <c r="C3293"/>
      <c r="L3293" s="9" t="str">
        <f t="shared" si="170"/>
        <v/>
      </c>
    </row>
    <row r="3294" spans="3:12" x14ac:dyDescent="0.2">
      <c r="C3294"/>
      <c r="L3294" s="9" t="str">
        <f t="shared" si="170"/>
        <v/>
      </c>
    </row>
    <row r="3295" spans="3:12" x14ac:dyDescent="0.2">
      <c r="C3295"/>
      <c r="L3295" s="9" t="str">
        <f t="shared" si="170"/>
        <v/>
      </c>
    </row>
    <row r="3296" spans="3:12" x14ac:dyDescent="0.2">
      <c r="C3296"/>
      <c r="L3296" s="9" t="str">
        <f t="shared" si="170"/>
        <v/>
      </c>
    </row>
    <row r="3297" spans="3:12" x14ac:dyDescent="0.2">
      <c r="C3297"/>
      <c r="L3297" s="9" t="str">
        <f t="shared" si="170"/>
        <v/>
      </c>
    </row>
    <row r="3298" spans="3:12" x14ac:dyDescent="0.2">
      <c r="C3298"/>
      <c r="L3298" s="9" t="str">
        <f t="shared" si="170"/>
        <v/>
      </c>
    </row>
    <row r="3299" spans="3:12" x14ac:dyDescent="0.2">
      <c r="C3299"/>
      <c r="L3299" s="9" t="str">
        <f t="shared" si="170"/>
        <v/>
      </c>
    </row>
    <row r="3300" spans="3:12" x14ac:dyDescent="0.2">
      <c r="C3300"/>
      <c r="L3300" s="9" t="str">
        <f t="shared" si="170"/>
        <v/>
      </c>
    </row>
    <row r="3301" spans="3:12" x14ac:dyDescent="0.2">
      <c r="C3301"/>
      <c r="L3301" s="9" t="str">
        <f t="shared" si="170"/>
        <v/>
      </c>
    </row>
    <row r="3302" spans="3:12" x14ac:dyDescent="0.2">
      <c r="C3302"/>
      <c r="L3302" s="9" t="str">
        <f t="shared" si="170"/>
        <v/>
      </c>
    </row>
    <row r="3303" spans="3:12" x14ac:dyDescent="0.2">
      <c r="C3303"/>
      <c r="L3303" s="9" t="str">
        <f t="shared" si="170"/>
        <v/>
      </c>
    </row>
    <row r="3304" spans="3:12" x14ac:dyDescent="0.2">
      <c r="C3304"/>
      <c r="L3304" s="9" t="str">
        <f t="shared" si="170"/>
        <v/>
      </c>
    </row>
    <row r="3305" spans="3:12" x14ac:dyDescent="0.2">
      <c r="C3305"/>
      <c r="L3305" s="9" t="str">
        <f t="shared" si="170"/>
        <v/>
      </c>
    </row>
    <row r="3306" spans="3:12" x14ac:dyDescent="0.2">
      <c r="C3306"/>
      <c r="L3306" s="9" t="str">
        <f t="shared" si="170"/>
        <v/>
      </c>
    </row>
    <row r="3307" spans="3:12" x14ac:dyDescent="0.2">
      <c r="C3307"/>
      <c r="L3307" s="9" t="str">
        <f t="shared" si="170"/>
        <v/>
      </c>
    </row>
    <row r="3308" spans="3:12" x14ac:dyDescent="0.2">
      <c r="C3308"/>
      <c r="L3308" s="9" t="str">
        <f t="shared" si="170"/>
        <v/>
      </c>
    </row>
    <row r="3309" spans="3:12" x14ac:dyDescent="0.2">
      <c r="C3309"/>
      <c r="L3309" s="9" t="str">
        <f t="shared" si="170"/>
        <v/>
      </c>
    </row>
    <row r="3310" spans="3:12" x14ac:dyDescent="0.2">
      <c r="C3310"/>
      <c r="L3310" s="9" t="str">
        <f t="shared" si="170"/>
        <v/>
      </c>
    </row>
    <row r="3311" spans="3:12" x14ac:dyDescent="0.2">
      <c r="C3311"/>
      <c r="L3311" s="9" t="str">
        <f t="shared" si="170"/>
        <v/>
      </c>
    </row>
    <row r="3312" spans="3:12" x14ac:dyDescent="0.2">
      <c r="C3312"/>
      <c r="L3312" s="9" t="str">
        <f t="shared" si="170"/>
        <v/>
      </c>
    </row>
    <row r="3313" spans="3:12" x14ac:dyDescent="0.2">
      <c r="C3313"/>
      <c r="L3313" s="9" t="str">
        <f t="shared" si="170"/>
        <v/>
      </c>
    </row>
    <row r="3314" spans="3:12" x14ac:dyDescent="0.2">
      <c r="C3314"/>
      <c r="L3314" s="9" t="str">
        <f t="shared" si="170"/>
        <v/>
      </c>
    </row>
    <row r="3315" spans="3:12" x14ac:dyDescent="0.2">
      <c r="C3315"/>
      <c r="L3315" s="9" t="str">
        <f t="shared" si="170"/>
        <v/>
      </c>
    </row>
    <row r="3316" spans="3:12" x14ac:dyDescent="0.2">
      <c r="C3316"/>
      <c r="L3316" s="9" t="str">
        <f t="shared" si="170"/>
        <v/>
      </c>
    </row>
    <row r="3317" spans="3:12" x14ac:dyDescent="0.2">
      <c r="C3317"/>
      <c r="L3317" s="9" t="str">
        <f t="shared" si="170"/>
        <v/>
      </c>
    </row>
    <row r="3318" spans="3:12" x14ac:dyDescent="0.2">
      <c r="C3318"/>
      <c r="L3318" s="9" t="str">
        <f t="shared" si="170"/>
        <v/>
      </c>
    </row>
    <row r="3319" spans="3:12" x14ac:dyDescent="0.2">
      <c r="C3319"/>
      <c r="L3319" s="9" t="str">
        <f t="shared" si="170"/>
        <v/>
      </c>
    </row>
    <row r="3320" spans="3:12" x14ac:dyDescent="0.2">
      <c r="C3320"/>
      <c r="L3320" s="9" t="str">
        <f t="shared" si="170"/>
        <v/>
      </c>
    </row>
    <row r="3321" spans="3:12" x14ac:dyDescent="0.2">
      <c r="C3321"/>
      <c r="L3321" s="9" t="str">
        <f t="shared" si="170"/>
        <v/>
      </c>
    </row>
    <row r="3322" spans="3:12" x14ac:dyDescent="0.2">
      <c r="C3322"/>
      <c r="L3322" s="9" t="str">
        <f t="shared" si="170"/>
        <v/>
      </c>
    </row>
    <row r="3323" spans="3:12" x14ac:dyDescent="0.2">
      <c r="C3323"/>
      <c r="L3323" s="9" t="str">
        <f t="shared" si="170"/>
        <v/>
      </c>
    </row>
    <row r="3324" spans="3:12" x14ac:dyDescent="0.2">
      <c r="C3324"/>
      <c r="L3324" s="9" t="str">
        <f t="shared" si="170"/>
        <v/>
      </c>
    </row>
    <row r="3325" spans="3:12" x14ac:dyDescent="0.2">
      <c r="C3325"/>
      <c r="L3325" s="9" t="str">
        <f t="shared" ref="L3325:L3388" si="171">IF(A3325="STOCK",E3325,IF(A3325="SOPTION",G3325,IF(A3325="LOPTION",F3325,"")))</f>
        <v/>
      </c>
    </row>
    <row r="3326" spans="3:12" x14ac:dyDescent="0.2">
      <c r="C3326"/>
      <c r="L3326" s="9" t="str">
        <f t="shared" si="171"/>
        <v/>
      </c>
    </row>
    <row r="3327" spans="3:12" x14ac:dyDescent="0.2">
      <c r="C3327"/>
      <c r="L3327" s="9" t="str">
        <f t="shared" si="171"/>
        <v/>
      </c>
    </row>
    <row r="3328" spans="3:12" x14ac:dyDescent="0.2">
      <c r="C3328"/>
      <c r="L3328" s="9" t="str">
        <f t="shared" si="171"/>
        <v/>
      </c>
    </row>
    <row r="3329" spans="3:12" x14ac:dyDescent="0.2">
      <c r="C3329"/>
      <c r="L3329" s="9" t="str">
        <f t="shared" si="171"/>
        <v/>
      </c>
    </row>
    <row r="3330" spans="3:12" x14ac:dyDescent="0.2">
      <c r="C3330"/>
      <c r="L3330" s="9" t="str">
        <f t="shared" si="171"/>
        <v/>
      </c>
    </row>
    <row r="3331" spans="3:12" x14ac:dyDescent="0.2">
      <c r="C3331"/>
      <c r="L3331" s="9" t="str">
        <f t="shared" si="171"/>
        <v/>
      </c>
    </row>
    <row r="3332" spans="3:12" x14ac:dyDescent="0.2">
      <c r="C3332"/>
      <c r="L3332" s="9" t="str">
        <f t="shared" si="171"/>
        <v/>
      </c>
    </row>
    <row r="3333" spans="3:12" x14ac:dyDescent="0.2">
      <c r="C3333"/>
      <c r="L3333" s="9" t="str">
        <f t="shared" si="171"/>
        <v/>
      </c>
    </row>
    <row r="3334" spans="3:12" x14ac:dyDescent="0.2">
      <c r="C3334"/>
      <c r="L3334" s="9" t="str">
        <f t="shared" si="171"/>
        <v/>
      </c>
    </row>
    <row r="3335" spans="3:12" x14ac:dyDescent="0.2">
      <c r="C3335"/>
      <c r="L3335" s="9" t="str">
        <f t="shared" si="171"/>
        <v/>
      </c>
    </row>
    <row r="3336" spans="3:12" x14ac:dyDescent="0.2">
      <c r="C3336"/>
      <c r="L3336" s="9" t="str">
        <f t="shared" si="171"/>
        <v/>
      </c>
    </row>
    <row r="3337" spans="3:12" x14ac:dyDescent="0.2">
      <c r="C3337"/>
      <c r="L3337" s="9" t="str">
        <f t="shared" si="171"/>
        <v/>
      </c>
    </row>
    <row r="3338" spans="3:12" x14ac:dyDescent="0.2">
      <c r="C3338"/>
      <c r="L3338" s="9" t="str">
        <f t="shared" si="171"/>
        <v/>
      </c>
    </row>
    <row r="3339" spans="3:12" x14ac:dyDescent="0.2">
      <c r="C3339"/>
      <c r="L3339" s="9" t="str">
        <f t="shared" si="171"/>
        <v/>
      </c>
    </row>
    <row r="3340" spans="3:12" x14ac:dyDescent="0.2">
      <c r="C3340"/>
      <c r="L3340" s="9" t="str">
        <f t="shared" si="171"/>
        <v/>
      </c>
    </row>
    <row r="3341" spans="3:12" x14ac:dyDescent="0.2">
      <c r="C3341"/>
      <c r="L3341" s="9" t="str">
        <f t="shared" si="171"/>
        <v/>
      </c>
    </row>
    <row r="3342" spans="3:12" x14ac:dyDescent="0.2">
      <c r="C3342"/>
      <c r="L3342" s="9" t="str">
        <f t="shared" si="171"/>
        <v/>
      </c>
    </row>
    <row r="3343" spans="3:12" x14ac:dyDescent="0.2">
      <c r="C3343"/>
      <c r="L3343" s="9" t="str">
        <f t="shared" si="171"/>
        <v/>
      </c>
    </row>
    <row r="3344" spans="3:12" x14ac:dyDescent="0.2">
      <c r="C3344"/>
      <c r="L3344" s="9" t="str">
        <f t="shared" si="171"/>
        <v/>
      </c>
    </row>
    <row r="3345" spans="3:12" x14ac:dyDescent="0.2">
      <c r="C3345"/>
      <c r="L3345" s="9" t="str">
        <f t="shared" si="171"/>
        <v/>
      </c>
    </row>
    <row r="3346" spans="3:12" x14ac:dyDescent="0.2">
      <c r="C3346"/>
      <c r="L3346" s="9" t="str">
        <f t="shared" si="171"/>
        <v/>
      </c>
    </row>
    <row r="3347" spans="3:12" x14ac:dyDescent="0.2">
      <c r="C3347"/>
      <c r="L3347" s="9" t="str">
        <f t="shared" si="171"/>
        <v/>
      </c>
    </row>
    <row r="3348" spans="3:12" x14ac:dyDescent="0.2">
      <c r="C3348"/>
      <c r="L3348" s="9" t="str">
        <f t="shared" si="171"/>
        <v/>
      </c>
    </row>
    <row r="3349" spans="3:12" x14ac:dyDescent="0.2">
      <c r="C3349"/>
      <c r="L3349" s="9" t="str">
        <f t="shared" si="171"/>
        <v/>
      </c>
    </row>
    <row r="3350" spans="3:12" x14ac:dyDescent="0.2">
      <c r="C3350"/>
      <c r="L3350" s="9" t="str">
        <f t="shared" si="171"/>
        <v/>
      </c>
    </row>
    <row r="3351" spans="3:12" x14ac:dyDescent="0.2">
      <c r="C3351"/>
      <c r="L3351" s="9" t="str">
        <f t="shared" si="171"/>
        <v/>
      </c>
    </row>
    <row r="3352" spans="3:12" x14ac:dyDescent="0.2">
      <c r="C3352"/>
      <c r="L3352" s="9" t="str">
        <f t="shared" si="171"/>
        <v/>
      </c>
    </row>
    <row r="3353" spans="3:12" x14ac:dyDescent="0.2">
      <c r="C3353"/>
      <c r="L3353" s="9" t="str">
        <f t="shared" si="171"/>
        <v/>
      </c>
    </row>
    <row r="3354" spans="3:12" x14ac:dyDescent="0.2">
      <c r="C3354"/>
      <c r="L3354" s="9" t="str">
        <f t="shared" si="171"/>
        <v/>
      </c>
    </row>
    <row r="3355" spans="3:12" x14ac:dyDescent="0.2">
      <c r="C3355"/>
      <c r="L3355" s="9" t="str">
        <f t="shared" si="171"/>
        <v/>
      </c>
    </row>
    <row r="3356" spans="3:12" x14ac:dyDescent="0.2">
      <c r="C3356"/>
      <c r="L3356" s="9" t="str">
        <f t="shared" si="171"/>
        <v/>
      </c>
    </row>
    <row r="3357" spans="3:12" x14ac:dyDescent="0.2">
      <c r="C3357"/>
      <c r="L3357" s="9" t="str">
        <f t="shared" si="171"/>
        <v/>
      </c>
    </row>
    <row r="3358" spans="3:12" x14ac:dyDescent="0.2">
      <c r="C3358"/>
      <c r="L3358" s="9" t="str">
        <f t="shared" si="171"/>
        <v/>
      </c>
    </row>
    <row r="3359" spans="3:12" x14ac:dyDescent="0.2">
      <c r="C3359"/>
      <c r="L3359" s="9" t="str">
        <f t="shared" si="171"/>
        <v/>
      </c>
    </row>
    <row r="3360" spans="3:12" x14ac:dyDescent="0.2">
      <c r="C3360"/>
      <c r="L3360" s="9" t="str">
        <f t="shared" si="171"/>
        <v/>
      </c>
    </row>
    <row r="3361" spans="3:12" x14ac:dyDescent="0.2">
      <c r="C3361"/>
      <c r="L3361" s="9" t="str">
        <f t="shared" si="171"/>
        <v/>
      </c>
    </row>
    <row r="3362" spans="3:12" x14ac:dyDescent="0.2">
      <c r="C3362"/>
      <c r="L3362" s="9" t="str">
        <f t="shared" si="171"/>
        <v/>
      </c>
    </row>
    <row r="3363" spans="3:12" x14ac:dyDescent="0.2">
      <c r="C3363"/>
      <c r="L3363" s="9" t="str">
        <f t="shared" si="171"/>
        <v/>
      </c>
    </row>
    <row r="3364" spans="3:12" x14ac:dyDescent="0.2">
      <c r="C3364"/>
      <c r="L3364" s="9" t="str">
        <f t="shared" si="171"/>
        <v/>
      </c>
    </row>
    <row r="3365" spans="3:12" x14ac:dyDescent="0.2">
      <c r="C3365"/>
      <c r="L3365" s="9" t="str">
        <f t="shared" si="171"/>
        <v/>
      </c>
    </row>
    <row r="3366" spans="3:12" x14ac:dyDescent="0.2">
      <c r="C3366"/>
      <c r="L3366" s="9" t="str">
        <f t="shared" si="171"/>
        <v/>
      </c>
    </row>
    <row r="3367" spans="3:12" x14ac:dyDescent="0.2">
      <c r="C3367"/>
      <c r="L3367" s="9" t="str">
        <f t="shared" si="171"/>
        <v/>
      </c>
    </row>
    <row r="3368" spans="3:12" x14ac:dyDescent="0.2">
      <c r="C3368"/>
      <c r="L3368" s="9" t="str">
        <f t="shared" si="171"/>
        <v/>
      </c>
    </row>
    <row r="3369" spans="3:12" x14ac:dyDescent="0.2">
      <c r="C3369"/>
      <c r="L3369" s="9" t="str">
        <f t="shared" si="171"/>
        <v/>
      </c>
    </row>
    <row r="3370" spans="3:12" x14ac:dyDescent="0.2">
      <c r="C3370"/>
      <c r="L3370" s="9" t="str">
        <f t="shared" si="171"/>
        <v/>
      </c>
    </row>
    <row r="3371" spans="3:12" x14ac:dyDescent="0.2">
      <c r="C3371"/>
      <c r="L3371" s="9" t="str">
        <f t="shared" si="171"/>
        <v/>
      </c>
    </row>
    <row r="3372" spans="3:12" x14ac:dyDescent="0.2">
      <c r="C3372"/>
      <c r="L3372" s="9" t="str">
        <f t="shared" si="171"/>
        <v/>
      </c>
    </row>
    <row r="3373" spans="3:12" x14ac:dyDescent="0.2">
      <c r="C3373"/>
      <c r="L3373" s="9" t="str">
        <f t="shared" si="171"/>
        <v/>
      </c>
    </row>
    <row r="3374" spans="3:12" x14ac:dyDescent="0.2">
      <c r="C3374"/>
      <c r="L3374" s="9" t="str">
        <f t="shared" si="171"/>
        <v/>
      </c>
    </row>
    <row r="3375" spans="3:12" x14ac:dyDescent="0.2">
      <c r="C3375"/>
      <c r="L3375" s="9" t="str">
        <f t="shared" si="171"/>
        <v/>
      </c>
    </row>
    <row r="3376" spans="3:12" x14ac:dyDescent="0.2">
      <c r="C3376"/>
      <c r="L3376" s="9" t="str">
        <f t="shared" si="171"/>
        <v/>
      </c>
    </row>
    <row r="3377" spans="3:12" x14ac:dyDescent="0.2">
      <c r="C3377"/>
      <c r="L3377" s="9" t="str">
        <f t="shared" si="171"/>
        <v/>
      </c>
    </row>
    <row r="3378" spans="3:12" x14ac:dyDescent="0.2">
      <c r="C3378"/>
      <c r="L3378" s="9" t="str">
        <f t="shared" si="171"/>
        <v/>
      </c>
    </row>
    <row r="3379" spans="3:12" x14ac:dyDescent="0.2">
      <c r="C3379"/>
      <c r="L3379" s="9" t="str">
        <f t="shared" si="171"/>
        <v/>
      </c>
    </row>
    <row r="3380" spans="3:12" x14ac:dyDescent="0.2">
      <c r="C3380"/>
      <c r="L3380" s="9" t="str">
        <f t="shared" si="171"/>
        <v/>
      </c>
    </row>
    <row r="3381" spans="3:12" x14ac:dyDescent="0.2">
      <c r="C3381"/>
      <c r="L3381" s="9" t="str">
        <f t="shared" si="171"/>
        <v/>
      </c>
    </row>
    <row r="3382" spans="3:12" x14ac:dyDescent="0.2">
      <c r="C3382"/>
      <c r="L3382" s="9" t="str">
        <f t="shared" si="171"/>
        <v/>
      </c>
    </row>
    <row r="3383" spans="3:12" x14ac:dyDescent="0.2">
      <c r="C3383"/>
      <c r="L3383" s="9" t="str">
        <f t="shared" si="171"/>
        <v/>
      </c>
    </row>
    <row r="3384" spans="3:12" x14ac:dyDescent="0.2">
      <c r="C3384"/>
      <c r="L3384" s="9" t="str">
        <f t="shared" si="171"/>
        <v/>
      </c>
    </row>
    <row r="3385" spans="3:12" x14ac:dyDescent="0.2">
      <c r="C3385"/>
      <c r="L3385" s="9" t="str">
        <f t="shared" si="171"/>
        <v/>
      </c>
    </row>
    <row r="3386" spans="3:12" x14ac:dyDescent="0.2">
      <c r="C3386"/>
      <c r="L3386" s="9" t="str">
        <f t="shared" si="171"/>
        <v/>
      </c>
    </row>
    <row r="3387" spans="3:12" x14ac:dyDescent="0.2">
      <c r="C3387"/>
      <c r="L3387" s="9" t="str">
        <f t="shared" si="171"/>
        <v/>
      </c>
    </row>
    <row r="3388" spans="3:12" x14ac:dyDescent="0.2">
      <c r="C3388"/>
      <c r="L3388" s="9" t="str">
        <f t="shared" si="171"/>
        <v/>
      </c>
    </row>
    <row r="3389" spans="3:12" x14ac:dyDescent="0.2">
      <c r="C3389"/>
      <c r="L3389" s="9" t="str">
        <f t="shared" ref="L3389:L3452" si="172">IF(A3389="STOCK",E3389,IF(A3389="SOPTION",G3389,IF(A3389="LOPTION",F3389,"")))</f>
        <v/>
      </c>
    </row>
    <row r="3390" spans="3:12" x14ac:dyDescent="0.2">
      <c r="C3390"/>
      <c r="L3390" s="9" t="str">
        <f t="shared" si="172"/>
        <v/>
      </c>
    </row>
    <row r="3391" spans="3:12" x14ac:dyDescent="0.2">
      <c r="C3391"/>
      <c r="L3391" s="9" t="str">
        <f t="shared" si="172"/>
        <v/>
      </c>
    </row>
    <row r="3392" spans="3:12" x14ac:dyDescent="0.2">
      <c r="C3392"/>
      <c r="L3392" s="9" t="str">
        <f t="shared" si="172"/>
        <v/>
      </c>
    </row>
    <row r="3393" spans="3:12" x14ac:dyDescent="0.2">
      <c r="C3393"/>
      <c r="L3393" s="9" t="str">
        <f t="shared" si="172"/>
        <v/>
      </c>
    </row>
    <row r="3394" spans="3:12" x14ac:dyDescent="0.2">
      <c r="C3394"/>
      <c r="L3394" s="9" t="str">
        <f t="shared" si="172"/>
        <v/>
      </c>
    </row>
    <row r="3395" spans="3:12" x14ac:dyDescent="0.2">
      <c r="C3395"/>
      <c r="L3395" s="9" t="str">
        <f t="shared" si="172"/>
        <v/>
      </c>
    </row>
    <row r="3396" spans="3:12" x14ac:dyDescent="0.2">
      <c r="C3396"/>
      <c r="L3396" s="9" t="str">
        <f t="shared" si="172"/>
        <v/>
      </c>
    </row>
    <row r="3397" spans="3:12" x14ac:dyDescent="0.2">
      <c r="C3397"/>
      <c r="L3397" s="9" t="str">
        <f t="shared" si="172"/>
        <v/>
      </c>
    </row>
    <row r="3398" spans="3:12" x14ac:dyDescent="0.2">
      <c r="C3398"/>
      <c r="L3398" s="9" t="str">
        <f t="shared" si="172"/>
        <v/>
      </c>
    </row>
    <row r="3399" spans="3:12" x14ac:dyDescent="0.2">
      <c r="C3399"/>
      <c r="L3399" s="9" t="str">
        <f t="shared" si="172"/>
        <v/>
      </c>
    </row>
    <row r="3400" spans="3:12" x14ac:dyDescent="0.2">
      <c r="C3400"/>
      <c r="L3400" s="9" t="str">
        <f t="shared" si="172"/>
        <v/>
      </c>
    </row>
    <row r="3401" spans="3:12" x14ac:dyDescent="0.2">
      <c r="C3401"/>
      <c r="L3401" s="9" t="str">
        <f t="shared" si="172"/>
        <v/>
      </c>
    </row>
    <row r="3402" spans="3:12" x14ac:dyDescent="0.2">
      <c r="C3402"/>
      <c r="L3402" s="9" t="str">
        <f t="shared" si="172"/>
        <v/>
      </c>
    </row>
    <row r="3403" spans="3:12" x14ac:dyDescent="0.2">
      <c r="C3403"/>
      <c r="L3403" s="9" t="str">
        <f t="shared" si="172"/>
        <v/>
      </c>
    </row>
    <row r="3404" spans="3:12" x14ac:dyDescent="0.2">
      <c r="C3404"/>
      <c r="L3404" s="9" t="str">
        <f t="shared" si="172"/>
        <v/>
      </c>
    </row>
    <row r="3405" spans="3:12" x14ac:dyDescent="0.2">
      <c r="C3405"/>
      <c r="L3405" s="9" t="str">
        <f t="shared" si="172"/>
        <v/>
      </c>
    </row>
    <row r="3406" spans="3:12" x14ac:dyDescent="0.2">
      <c r="C3406"/>
      <c r="L3406" s="9" t="str">
        <f t="shared" si="172"/>
        <v/>
      </c>
    </row>
    <row r="3407" spans="3:12" x14ac:dyDescent="0.2">
      <c r="C3407"/>
      <c r="L3407" s="9" t="str">
        <f t="shared" si="172"/>
        <v/>
      </c>
    </row>
    <row r="3408" spans="3:12" x14ac:dyDescent="0.2">
      <c r="C3408"/>
      <c r="L3408" s="9" t="str">
        <f t="shared" si="172"/>
        <v/>
      </c>
    </row>
    <row r="3409" spans="3:12" x14ac:dyDescent="0.2">
      <c r="C3409"/>
      <c r="L3409" s="9" t="str">
        <f t="shared" si="172"/>
        <v/>
      </c>
    </row>
    <row r="3410" spans="3:12" x14ac:dyDescent="0.2">
      <c r="C3410"/>
      <c r="L3410" s="9" t="str">
        <f t="shared" si="172"/>
        <v/>
      </c>
    </row>
    <row r="3411" spans="3:12" x14ac:dyDescent="0.2">
      <c r="C3411"/>
      <c r="L3411" s="9" t="str">
        <f t="shared" si="172"/>
        <v/>
      </c>
    </row>
    <row r="3412" spans="3:12" x14ac:dyDescent="0.2">
      <c r="C3412"/>
      <c r="L3412" s="9" t="str">
        <f t="shared" si="172"/>
        <v/>
      </c>
    </row>
    <row r="3413" spans="3:12" x14ac:dyDescent="0.2">
      <c r="C3413"/>
      <c r="L3413" s="9" t="str">
        <f t="shared" si="172"/>
        <v/>
      </c>
    </row>
    <row r="3414" spans="3:12" x14ac:dyDescent="0.2">
      <c r="C3414"/>
      <c r="L3414" s="9" t="str">
        <f t="shared" si="172"/>
        <v/>
      </c>
    </row>
    <row r="3415" spans="3:12" x14ac:dyDescent="0.2">
      <c r="C3415"/>
      <c r="L3415" s="9" t="str">
        <f t="shared" si="172"/>
        <v/>
      </c>
    </row>
    <row r="3416" spans="3:12" x14ac:dyDescent="0.2">
      <c r="C3416"/>
      <c r="L3416" s="9" t="str">
        <f t="shared" si="172"/>
        <v/>
      </c>
    </row>
    <row r="3417" spans="3:12" x14ac:dyDescent="0.2">
      <c r="C3417"/>
      <c r="L3417" s="9" t="str">
        <f t="shared" si="172"/>
        <v/>
      </c>
    </row>
    <row r="3418" spans="3:12" x14ac:dyDescent="0.2">
      <c r="C3418"/>
      <c r="L3418" s="9" t="str">
        <f t="shared" si="172"/>
        <v/>
      </c>
    </row>
    <row r="3419" spans="3:12" x14ac:dyDescent="0.2">
      <c r="C3419"/>
      <c r="L3419" s="9" t="str">
        <f t="shared" si="172"/>
        <v/>
      </c>
    </row>
    <row r="3420" spans="3:12" x14ac:dyDescent="0.2">
      <c r="C3420"/>
      <c r="L3420" s="9" t="str">
        <f t="shared" si="172"/>
        <v/>
      </c>
    </row>
    <row r="3421" spans="3:12" x14ac:dyDescent="0.2">
      <c r="C3421"/>
      <c r="L3421" s="9" t="str">
        <f t="shared" si="172"/>
        <v/>
      </c>
    </row>
    <row r="3422" spans="3:12" x14ac:dyDescent="0.2">
      <c r="C3422"/>
      <c r="L3422" s="9" t="str">
        <f t="shared" si="172"/>
        <v/>
      </c>
    </row>
    <row r="3423" spans="3:12" x14ac:dyDescent="0.2">
      <c r="C3423"/>
      <c r="L3423" s="9" t="str">
        <f t="shared" si="172"/>
        <v/>
      </c>
    </row>
    <row r="3424" spans="3:12" x14ac:dyDescent="0.2">
      <c r="C3424"/>
      <c r="L3424" s="9" t="str">
        <f t="shared" si="172"/>
        <v/>
      </c>
    </row>
    <row r="3425" spans="3:12" x14ac:dyDescent="0.2">
      <c r="C3425"/>
      <c r="L3425" s="9" t="str">
        <f t="shared" si="172"/>
        <v/>
      </c>
    </row>
    <row r="3426" spans="3:12" x14ac:dyDescent="0.2">
      <c r="C3426"/>
      <c r="L3426" s="9" t="str">
        <f t="shared" si="172"/>
        <v/>
      </c>
    </row>
    <row r="3427" spans="3:12" x14ac:dyDescent="0.2">
      <c r="C3427"/>
      <c r="L3427" s="9" t="str">
        <f t="shared" si="172"/>
        <v/>
      </c>
    </row>
    <row r="3428" spans="3:12" x14ac:dyDescent="0.2">
      <c r="C3428"/>
      <c r="L3428" s="9" t="str">
        <f t="shared" si="172"/>
        <v/>
      </c>
    </row>
    <row r="3429" spans="3:12" x14ac:dyDescent="0.2">
      <c r="C3429"/>
      <c r="L3429" s="9" t="str">
        <f t="shared" si="172"/>
        <v/>
      </c>
    </row>
    <row r="3430" spans="3:12" x14ac:dyDescent="0.2">
      <c r="C3430"/>
      <c r="L3430" s="9" t="str">
        <f t="shared" si="172"/>
        <v/>
      </c>
    </row>
    <row r="3431" spans="3:12" x14ac:dyDescent="0.2">
      <c r="C3431"/>
      <c r="L3431" s="9" t="str">
        <f t="shared" si="172"/>
        <v/>
      </c>
    </row>
    <row r="3432" spans="3:12" x14ac:dyDescent="0.2">
      <c r="C3432"/>
      <c r="L3432" s="9" t="str">
        <f t="shared" si="172"/>
        <v/>
      </c>
    </row>
    <row r="3433" spans="3:12" x14ac:dyDescent="0.2">
      <c r="C3433"/>
      <c r="L3433" s="9" t="str">
        <f t="shared" si="172"/>
        <v/>
      </c>
    </row>
    <row r="3434" spans="3:12" x14ac:dyDescent="0.2">
      <c r="C3434"/>
      <c r="L3434" s="9" t="str">
        <f t="shared" si="172"/>
        <v/>
      </c>
    </row>
    <row r="3435" spans="3:12" x14ac:dyDescent="0.2">
      <c r="C3435"/>
      <c r="L3435" s="9" t="str">
        <f t="shared" si="172"/>
        <v/>
      </c>
    </row>
    <row r="3436" spans="3:12" x14ac:dyDescent="0.2">
      <c r="C3436"/>
      <c r="L3436" s="9" t="str">
        <f t="shared" si="172"/>
        <v/>
      </c>
    </row>
    <row r="3437" spans="3:12" x14ac:dyDescent="0.2">
      <c r="C3437"/>
      <c r="L3437" s="9" t="str">
        <f t="shared" si="172"/>
        <v/>
      </c>
    </row>
    <row r="3438" spans="3:12" x14ac:dyDescent="0.2">
      <c r="C3438"/>
      <c r="L3438" s="9" t="str">
        <f t="shared" si="172"/>
        <v/>
      </c>
    </row>
    <row r="3439" spans="3:12" x14ac:dyDescent="0.2">
      <c r="C3439"/>
      <c r="L3439" s="9" t="str">
        <f t="shared" si="172"/>
        <v/>
      </c>
    </row>
    <row r="3440" spans="3:12" x14ac:dyDescent="0.2">
      <c r="C3440"/>
      <c r="L3440" s="9" t="str">
        <f t="shared" si="172"/>
        <v/>
      </c>
    </row>
    <row r="3441" spans="3:12" x14ac:dyDescent="0.2">
      <c r="C3441"/>
      <c r="L3441" s="9" t="str">
        <f t="shared" si="172"/>
        <v/>
      </c>
    </row>
    <row r="3442" spans="3:12" x14ac:dyDescent="0.2">
      <c r="C3442"/>
      <c r="L3442" s="9" t="str">
        <f t="shared" si="172"/>
        <v/>
      </c>
    </row>
    <row r="3443" spans="3:12" x14ac:dyDescent="0.2">
      <c r="C3443"/>
      <c r="L3443" s="9" t="str">
        <f t="shared" si="172"/>
        <v/>
      </c>
    </row>
    <row r="3444" spans="3:12" x14ac:dyDescent="0.2">
      <c r="C3444"/>
      <c r="L3444" s="9" t="str">
        <f t="shared" si="172"/>
        <v/>
      </c>
    </row>
    <row r="3445" spans="3:12" x14ac:dyDescent="0.2">
      <c r="C3445"/>
      <c r="L3445" s="9" t="str">
        <f t="shared" si="172"/>
        <v/>
      </c>
    </row>
    <row r="3446" spans="3:12" x14ac:dyDescent="0.2">
      <c r="C3446"/>
      <c r="L3446" s="9" t="str">
        <f t="shared" si="172"/>
        <v/>
      </c>
    </row>
    <row r="3447" spans="3:12" x14ac:dyDescent="0.2">
      <c r="C3447"/>
      <c r="L3447" s="9" t="str">
        <f t="shared" si="172"/>
        <v/>
      </c>
    </row>
    <row r="3448" spans="3:12" x14ac:dyDescent="0.2">
      <c r="C3448"/>
      <c r="L3448" s="9" t="str">
        <f t="shared" si="172"/>
        <v/>
      </c>
    </row>
    <row r="3449" spans="3:12" x14ac:dyDescent="0.2">
      <c r="C3449"/>
      <c r="L3449" s="9" t="str">
        <f t="shared" si="172"/>
        <v/>
      </c>
    </row>
    <row r="3450" spans="3:12" x14ac:dyDescent="0.2">
      <c r="C3450"/>
      <c r="L3450" s="9" t="str">
        <f t="shared" si="172"/>
        <v/>
      </c>
    </row>
    <row r="3451" spans="3:12" x14ac:dyDescent="0.2">
      <c r="C3451"/>
      <c r="L3451" s="9" t="str">
        <f t="shared" si="172"/>
        <v/>
      </c>
    </row>
    <row r="3452" spans="3:12" x14ac:dyDescent="0.2">
      <c r="C3452"/>
      <c r="L3452" s="9" t="str">
        <f t="shared" si="172"/>
        <v/>
      </c>
    </row>
    <row r="3453" spans="3:12" x14ac:dyDescent="0.2">
      <c r="C3453"/>
      <c r="L3453" s="9" t="str">
        <f t="shared" ref="L3453:L3516" si="173">IF(A3453="STOCK",E3453,IF(A3453="SOPTION",G3453,IF(A3453="LOPTION",F3453,"")))</f>
        <v/>
      </c>
    </row>
    <row r="3454" spans="3:12" x14ac:dyDescent="0.2">
      <c r="C3454"/>
      <c r="L3454" s="9" t="str">
        <f t="shared" si="173"/>
        <v/>
      </c>
    </row>
    <row r="3455" spans="3:12" x14ac:dyDescent="0.2">
      <c r="C3455"/>
      <c r="L3455" s="9" t="str">
        <f t="shared" si="173"/>
        <v/>
      </c>
    </row>
    <row r="3456" spans="3:12" x14ac:dyDescent="0.2">
      <c r="C3456"/>
      <c r="L3456" s="9" t="str">
        <f t="shared" si="173"/>
        <v/>
      </c>
    </row>
    <row r="3457" spans="3:12" x14ac:dyDescent="0.2">
      <c r="C3457"/>
      <c r="L3457" s="9" t="str">
        <f t="shared" si="173"/>
        <v/>
      </c>
    </row>
    <row r="3458" spans="3:12" x14ac:dyDescent="0.2">
      <c r="C3458"/>
      <c r="L3458" s="9" t="str">
        <f t="shared" si="173"/>
        <v/>
      </c>
    </row>
    <row r="3459" spans="3:12" x14ac:dyDescent="0.2">
      <c r="C3459"/>
      <c r="L3459" s="9" t="str">
        <f t="shared" si="173"/>
        <v/>
      </c>
    </row>
    <row r="3460" spans="3:12" x14ac:dyDescent="0.2">
      <c r="C3460"/>
      <c r="L3460" s="9" t="str">
        <f t="shared" si="173"/>
        <v/>
      </c>
    </row>
    <row r="3461" spans="3:12" x14ac:dyDescent="0.2">
      <c r="C3461"/>
      <c r="L3461" s="9" t="str">
        <f t="shared" si="173"/>
        <v/>
      </c>
    </row>
    <row r="3462" spans="3:12" x14ac:dyDescent="0.2">
      <c r="C3462"/>
      <c r="L3462" s="9" t="str">
        <f t="shared" si="173"/>
        <v/>
      </c>
    </row>
    <row r="3463" spans="3:12" x14ac:dyDescent="0.2">
      <c r="C3463"/>
      <c r="L3463" s="9" t="str">
        <f t="shared" si="173"/>
        <v/>
      </c>
    </row>
    <row r="3464" spans="3:12" x14ac:dyDescent="0.2">
      <c r="C3464"/>
      <c r="L3464" s="9" t="str">
        <f t="shared" si="173"/>
        <v/>
      </c>
    </row>
    <row r="3465" spans="3:12" x14ac:dyDescent="0.2">
      <c r="C3465"/>
      <c r="L3465" s="9" t="str">
        <f t="shared" si="173"/>
        <v/>
      </c>
    </row>
    <row r="3466" spans="3:12" x14ac:dyDescent="0.2">
      <c r="C3466"/>
      <c r="L3466" s="9" t="str">
        <f t="shared" si="173"/>
        <v/>
      </c>
    </row>
    <row r="3467" spans="3:12" x14ac:dyDescent="0.2">
      <c r="C3467"/>
      <c r="L3467" s="9" t="str">
        <f t="shared" si="173"/>
        <v/>
      </c>
    </row>
    <row r="3468" spans="3:12" x14ac:dyDescent="0.2">
      <c r="C3468"/>
      <c r="L3468" s="9" t="str">
        <f t="shared" si="173"/>
        <v/>
      </c>
    </row>
    <row r="3469" spans="3:12" x14ac:dyDescent="0.2">
      <c r="C3469"/>
      <c r="L3469" s="9" t="str">
        <f t="shared" si="173"/>
        <v/>
      </c>
    </row>
    <row r="3470" spans="3:12" x14ac:dyDescent="0.2">
      <c r="C3470"/>
      <c r="L3470" s="9" t="str">
        <f t="shared" si="173"/>
        <v/>
      </c>
    </row>
    <row r="3471" spans="3:12" x14ac:dyDescent="0.2">
      <c r="C3471"/>
      <c r="L3471" s="9" t="str">
        <f t="shared" si="173"/>
        <v/>
      </c>
    </row>
    <row r="3472" spans="3:12" x14ac:dyDescent="0.2">
      <c r="C3472"/>
      <c r="L3472" s="9" t="str">
        <f t="shared" si="173"/>
        <v/>
      </c>
    </row>
    <row r="3473" spans="3:12" x14ac:dyDescent="0.2">
      <c r="C3473"/>
      <c r="L3473" s="9" t="str">
        <f t="shared" si="173"/>
        <v/>
      </c>
    </row>
    <row r="3474" spans="3:12" x14ac:dyDescent="0.2">
      <c r="C3474"/>
      <c r="L3474" s="9" t="str">
        <f t="shared" si="173"/>
        <v/>
      </c>
    </row>
    <row r="3475" spans="3:12" x14ac:dyDescent="0.2">
      <c r="C3475"/>
      <c r="L3475" s="9" t="str">
        <f t="shared" si="173"/>
        <v/>
      </c>
    </row>
    <row r="3476" spans="3:12" x14ac:dyDescent="0.2">
      <c r="C3476"/>
      <c r="L3476" s="9" t="str">
        <f t="shared" si="173"/>
        <v/>
      </c>
    </row>
    <row r="3477" spans="3:12" x14ac:dyDescent="0.2">
      <c r="C3477"/>
      <c r="L3477" s="9" t="str">
        <f t="shared" si="173"/>
        <v/>
      </c>
    </row>
    <row r="3478" spans="3:12" x14ac:dyDescent="0.2">
      <c r="C3478"/>
      <c r="L3478" s="9" t="str">
        <f t="shared" si="173"/>
        <v/>
      </c>
    </row>
    <row r="3479" spans="3:12" x14ac:dyDescent="0.2">
      <c r="C3479"/>
      <c r="L3479" s="9" t="str">
        <f t="shared" si="173"/>
        <v/>
      </c>
    </row>
    <row r="3480" spans="3:12" x14ac:dyDescent="0.2">
      <c r="C3480"/>
      <c r="L3480" s="9" t="str">
        <f t="shared" si="173"/>
        <v/>
      </c>
    </row>
    <row r="3481" spans="3:12" x14ac:dyDescent="0.2">
      <c r="C3481"/>
      <c r="L3481" s="9" t="str">
        <f t="shared" si="173"/>
        <v/>
      </c>
    </row>
    <row r="3482" spans="3:12" x14ac:dyDescent="0.2">
      <c r="C3482"/>
      <c r="L3482" s="9" t="str">
        <f t="shared" si="173"/>
        <v/>
      </c>
    </row>
    <row r="3483" spans="3:12" x14ac:dyDescent="0.2">
      <c r="C3483"/>
      <c r="L3483" s="9" t="str">
        <f t="shared" si="173"/>
        <v/>
      </c>
    </row>
    <row r="3484" spans="3:12" x14ac:dyDescent="0.2">
      <c r="C3484"/>
      <c r="L3484" s="9" t="str">
        <f t="shared" si="173"/>
        <v/>
      </c>
    </row>
    <row r="3485" spans="3:12" x14ac:dyDescent="0.2">
      <c r="C3485"/>
      <c r="L3485" s="9" t="str">
        <f t="shared" si="173"/>
        <v/>
      </c>
    </row>
    <row r="3486" spans="3:12" x14ac:dyDescent="0.2">
      <c r="C3486"/>
      <c r="L3486" s="9" t="str">
        <f t="shared" si="173"/>
        <v/>
      </c>
    </row>
    <row r="3487" spans="3:12" x14ac:dyDescent="0.2">
      <c r="C3487"/>
      <c r="L3487" s="9" t="str">
        <f t="shared" si="173"/>
        <v/>
      </c>
    </row>
    <row r="3488" spans="3:12" x14ac:dyDescent="0.2">
      <c r="C3488"/>
      <c r="L3488" s="9" t="str">
        <f t="shared" si="173"/>
        <v/>
      </c>
    </row>
    <row r="3489" spans="3:12" x14ac:dyDescent="0.2">
      <c r="C3489"/>
      <c r="L3489" s="9" t="str">
        <f t="shared" si="173"/>
        <v/>
      </c>
    </row>
    <row r="3490" spans="3:12" x14ac:dyDescent="0.2">
      <c r="C3490"/>
      <c r="L3490" s="9" t="str">
        <f t="shared" si="173"/>
        <v/>
      </c>
    </row>
    <row r="3491" spans="3:12" x14ac:dyDescent="0.2">
      <c r="C3491"/>
      <c r="L3491" s="9" t="str">
        <f t="shared" si="173"/>
        <v/>
      </c>
    </row>
    <row r="3492" spans="3:12" x14ac:dyDescent="0.2">
      <c r="C3492"/>
      <c r="L3492" s="9" t="str">
        <f t="shared" si="173"/>
        <v/>
      </c>
    </row>
    <row r="3493" spans="3:12" x14ac:dyDescent="0.2">
      <c r="C3493"/>
      <c r="L3493" s="9" t="str">
        <f t="shared" si="173"/>
        <v/>
      </c>
    </row>
    <row r="3494" spans="3:12" x14ac:dyDescent="0.2">
      <c r="C3494"/>
      <c r="L3494" s="9" t="str">
        <f t="shared" si="173"/>
        <v/>
      </c>
    </row>
    <row r="3495" spans="3:12" x14ac:dyDescent="0.2">
      <c r="C3495"/>
      <c r="L3495" s="9" t="str">
        <f t="shared" si="173"/>
        <v/>
      </c>
    </row>
    <row r="3496" spans="3:12" x14ac:dyDescent="0.2">
      <c r="C3496"/>
      <c r="L3496" s="9" t="str">
        <f t="shared" si="173"/>
        <v/>
      </c>
    </row>
    <row r="3497" spans="3:12" x14ac:dyDescent="0.2">
      <c r="C3497"/>
      <c r="L3497" s="9" t="str">
        <f t="shared" si="173"/>
        <v/>
      </c>
    </row>
    <row r="3498" spans="3:12" x14ac:dyDescent="0.2">
      <c r="C3498"/>
      <c r="L3498" s="9" t="str">
        <f t="shared" si="173"/>
        <v/>
      </c>
    </row>
    <row r="3499" spans="3:12" x14ac:dyDescent="0.2">
      <c r="C3499"/>
      <c r="L3499" s="9" t="str">
        <f t="shared" si="173"/>
        <v/>
      </c>
    </row>
    <row r="3500" spans="3:12" x14ac:dyDescent="0.2">
      <c r="C3500"/>
      <c r="L3500" s="9" t="str">
        <f t="shared" si="173"/>
        <v/>
      </c>
    </row>
    <row r="3501" spans="3:12" x14ac:dyDescent="0.2">
      <c r="C3501"/>
      <c r="L3501" s="9" t="str">
        <f t="shared" si="173"/>
        <v/>
      </c>
    </row>
    <row r="3502" spans="3:12" x14ac:dyDescent="0.2">
      <c r="C3502"/>
      <c r="L3502" s="9" t="str">
        <f t="shared" si="173"/>
        <v/>
      </c>
    </row>
    <row r="3503" spans="3:12" x14ac:dyDescent="0.2">
      <c r="C3503"/>
      <c r="L3503" s="9" t="str">
        <f t="shared" si="173"/>
        <v/>
      </c>
    </row>
    <row r="3504" spans="3:12" x14ac:dyDescent="0.2">
      <c r="C3504"/>
      <c r="L3504" s="9" t="str">
        <f t="shared" si="173"/>
        <v/>
      </c>
    </row>
    <row r="3505" spans="3:12" x14ac:dyDescent="0.2">
      <c r="C3505"/>
      <c r="L3505" s="9" t="str">
        <f t="shared" si="173"/>
        <v/>
      </c>
    </row>
    <row r="3506" spans="3:12" x14ac:dyDescent="0.2">
      <c r="C3506"/>
      <c r="L3506" s="9" t="str">
        <f t="shared" si="173"/>
        <v/>
      </c>
    </row>
    <row r="3507" spans="3:12" x14ac:dyDescent="0.2">
      <c r="C3507"/>
      <c r="L3507" s="9" t="str">
        <f t="shared" si="173"/>
        <v/>
      </c>
    </row>
    <row r="3508" spans="3:12" x14ac:dyDescent="0.2">
      <c r="C3508"/>
      <c r="L3508" s="9" t="str">
        <f t="shared" si="173"/>
        <v/>
      </c>
    </row>
    <row r="3509" spans="3:12" x14ac:dyDescent="0.2">
      <c r="C3509"/>
      <c r="L3509" s="9" t="str">
        <f t="shared" si="173"/>
        <v/>
      </c>
    </row>
    <row r="3510" spans="3:12" x14ac:dyDescent="0.2">
      <c r="C3510"/>
      <c r="L3510" s="9" t="str">
        <f t="shared" si="173"/>
        <v/>
      </c>
    </row>
    <row r="3511" spans="3:12" x14ac:dyDescent="0.2">
      <c r="C3511"/>
      <c r="L3511" s="9" t="str">
        <f t="shared" si="173"/>
        <v/>
      </c>
    </row>
    <row r="3512" spans="3:12" x14ac:dyDescent="0.2">
      <c r="C3512"/>
      <c r="L3512" s="9" t="str">
        <f t="shared" si="173"/>
        <v/>
      </c>
    </row>
    <row r="3513" spans="3:12" x14ac:dyDescent="0.2">
      <c r="C3513"/>
      <c r="L3513" s="9" t="str">
        <f t="shared" si="173"/>
        <v/>
      </c>
    </row>
    <row r="3514" spans="3:12" x14ac:dyDescent="0.2">
      <c r="C3514"/>
      <c r="L3514" s="9" t="str">
        <f t="shared" si="173"/>
        <v/>
      </c>
    </row>
    <row r="3515" spans="3:12" x14ac:dyDescent="0.2">
      <c r="C3515"/>
      <c r="L3515" s="9" t="str">
        <f t="shared" si="173"/>
        <v/>
      </c>
    </row>
    <row r="3516" spans="3:12" x14ac:dyDescent="0.2">
      <c r="C3516"/>
      <c r="L3516" s="9" t="str">
        <f t="shared" si="173"/>
        <v/>
      </c>
    </row>
    <row r="3517" spans="3:12" x14ac:dyDescent="0.2">
      <c r="C3517"/>
      <c r="L3517" s="9" t="str">
        <f t="shared" ref="L3517:L3580" si="174">IF(A3517="STOCK",E3517,IF(A3517="SOPTION",G3517,IF(A3517="LOPTION",F3517,"")))</f>
        <v/>
      </c>
    </row>
    <row r="3518" spans="3:12" x14ac:dyDescent="0.2">
      <c r="C3518"/>
      <c r="L3518" s="9" t="str">
        <f t="shared" si="174"/>
        <v/>
      </c>
    </row>
    <row r="3519" spans="3:12" x14ac:dyDescent="0.2">
      <c r="C3519"/>
      <c r="L3519" s="9" t="str">
        <f t="shared" si="174"/>
        <v/>
      </c>
    </row>
    <row r="3520" spans="3:12" x14ac:dyDescent="0.2">
      <c r="C3520"/>
      <c r="L3520" s="9" t="str">
        <f t="shared" si="174"/>
        <v/>
      </c>
    </row>
    <row r="3521" spans="3:12" x14ac:dyDescent="0.2">
      <c r="C3521"/>
      <c r="L3521" s="9" t="str">
        <f t="shared" si="174"/>
        <v/>
      </c>
    </row>
    <row r="3522" spans="3:12" x14ac:dyDescent="0.2">
      <c r="C3522"/>
      <c r="L3522" s="9" t="str">
        <f t="shared" si="174"/>
        <v/>
      </c>
    </row>
    <row r="3523" spans="3:12" x14ac:dyDescent="0.2">
      <c r="C3523"/>
      <c r="L3523" s="9" t="str">
        <f t="shared" si="174"/>
        <v/>
      </c>
    </row>
    <row r="3524" spans="3:12" x14ac:dyDescent="0.2">
      <c r="C3524"/>
      <c r="L3524" s="9" t="str">
        <f t="shared" si="174"/>
        <v/>
      </c>
    </row>
    <row r="3525" spans="3:12" x14ac:dyDescent="0.2">
      <c r="C3525"/>
      <c r="L3525" s="9" t="str">
        <f t="shared" si="174"/>
        <v/>
      </c>
    </row>
    <row r="3526" spans="3:12" x14ac:dyDescent="0.2">
      <c r="C3526"/>
      <c r="L3526" s="9" t="str">
        <f t="shared" si="174"/>
        <v/>
      </c>
    </row>
    <row r="3527" spans="3:12" x14ac:dyDescent="0.2">
      <c r="C3527"/>
      <c r="L3527" s="9" t="str">
        <f t="shared" si="174"/>
        <v/>
      </c>
    </row>
    <row r="3528" spans="3:12" x14ac:dyDescent="0.2">
      <c r="C3528"/>
      <c r="L3528" s="9" t="str">
        <f t="shared" si="174"/>
        <v/>
      </c>
    </row>
    <row r="3529" spans="3:12" x14ac:dyDescent="0.2">
      <c r="C3529"/>
      <c r="L3529" s="9" t="str">
        <f t="shared" si="174"/>
        <v/>
      </c>
    </row>
    <row r="3530" spans="3:12" x14ac:dyDescent="0.2">
      <c r="C3530"/>
      <c r="L3530" s="9" t="str">
        <f t="shared" si="174"/>
        <v/>
      </c>
    </row>
    <row r="3531" spans="3:12" x14ac:dyDescent="0.2">
      <c r="C3531"/>
      <c r="L3531" s="9" t="str">
        <f t="shared" si="174"/>
        <v/>
      </c>
    </row>
    <row r="3532" spans="3:12" x14ac:dyDescent="0.2">
      <c r="C3532"/>
      <c r="L3532" s="9" t="str">
        <f t="shared" si="174"/>
        <v/>
      </c>
    </row>
    <row r="3533" spans="3:12" x14ac:dyDescent="0.2">
      <c r="C3533"/>
      <c r="L3533" s="9" t="str">
        <f t="shared" si="174"/>
        <v/>
      </c>
    </row>
    <row r="3534" spans="3:12" x14ac:dyDescent="0.2">
      <c r="C3534"/>
      <c r="L3534" s="9" t="str">
        <f t="shared" si="174"/>
        <v/>
      </c>
    </row>
    <row r="3535" spans="3:12" x14ac:dyDescent="0.2">
      <c r="C3535"/>
      <c r="L3535" s="9" t="str">
        <f t="shared" si="174"/>
        <v/>
      </c>
    </row>
    <row r="3536" spans="3:12" x14ac:dyDescent="0.2">
      <c r="C3536"/>
      <c r="L3536" s="9" t="str">
        <f t="shared" si="174"/>
        <v/>
      </c>
    </row>
    <row r="3537" spans="3:12" x14ac:dyDescent="0.2">
      <c r="C3537"/>
      <c r="L3537" s="9" t="str">
        <f t="shared" si="174"/>
        <v/>
      </c>
    </row>
    <row r="3538" spans="3:12" x14ac:dyDescent="0.2">
      <c r="C3538"/>
      <c r="L3538" s="9" t="str">
        <f t="shared" si="174"/>
        <v/>
      </c>
    </row>
    <row r="3539" spans="3:12" x14ac:dyDescent="0.2">
      <c r="C3539"/>
      <c r="L3539" s="9" t="str">
        <f t="shared" si="174"/>
        <v/>
      </c>
    </row>
    <row r="3540" spans="3:12" x14ac:dyDescent="0.2">
      <c r="C3540"/>
      <c r="L3540" s="9" t="str">
        <f t="shared" si="174"/>
        <v/>
      </c>
    </row>
    <row r="3541" spans="3:12" x14ac:dyDescent="0.2">
      <c r="C3541"/>
      <c r="L3541" s="9" t="str">
        <f t="shared" si="174"/>
        <v/>
      </c>
    </row>
    <row r="3542" spans="3:12" x14ac:dyDescent="0.2">
      <c r="C3542"/>
      <c r="L3542" s="9" t="str">
        <f t="shared" si="174"/>
        <v/>
      </c>
    </row>
    <row r="3543" spans="3:12" x14ac:dyDescent="0.2">
      <c r="C3543"/>
      <c r="L3543" s="9" t="str">
        <f t="shared" si="174"/>
        <v/>
      </c>
    </row>
    <row r="3544" spans="3:12" x14ac:dyDescent="0.2">
      <c r="C3544"/>
      <c r="L3544" s="9" t="str">
        <f t="shared" si="174"/>
        <v/>
      </c>
    </row>
    <row r="3545" spans="3:12" x14ac:dyDescent="0.2">
      <c r="C3545"/>
      <c r="L3545" s="9" t="str">
        <f t="shared" si="174"/>
        <v/>
      </c>
    </row>
    <row r="3546" spans="3:12" x14ac:dyDescent="0.2">
      <c r="C3546"/>
      <c r="L3546" s="9" t="str">
        <f t="shared" si="174"/>
        <v/>
      </c>
    </row>
    <row r="3547" spans="3:12" x14ac:dyDescent="0.2">
      <c r="C3547"/>
      <c r="L3547" s="9" t="str">
        <f t="shared" si="174"/>
        <v/>
      </c>
    </row>
    <row r="3548" spans="3:12" x14ac:dyDescent="0.2">
      <c r="C3548"/>
      <c r="L3548" s="9" t="str">
        <f t="shared" si="174"/>
        <v/>
      </c>
    </row>
    <row r="3549" spans="3:12" x14ac:dyDescent="0.2">
      <c r="C3549"/>
      <c r="L3549" s="9" t="str">
        <f t="shared" si="174"/>
        <v/>
      </c>
    </row>
    <row r="3550" spans="3:12" x14ac:dyDescent="0.2">
      <c r="C3550"/>
      <c r="L3550" s="9" t="str">
        <f t="shared" si="174"/>
        <v/>
      </c>
    </row>
    <row r="3551" spans="3:12" x14ac:dyDescent="0.2">
      <c r="C3551"/>
      <c r="L3551" s="9" t="str">
        <f t="shared" si="174"/>
        <v/>
      </c>
    </row>
    <row r="3552" spans="3:12" x14ac:dyDescent="0.2">
      <c r="C3552"/>
      <c r="L3552" s="9" t="str">
        <f t="shared" si="174"/>
        <v/>
      </c>
    </row>
    <row r="3553" spans="3:12" x14ac:dyDescent="0.2">
      <c r="C3553"/>
      <c r="L3553" s="9" t="str">
        <f t="shared" si="174"/>
        <v/>
      </c>
    </row>
    <row r="3554" spans="3:12" x14ac:dyDescent="0.2">
      <c r="C3554"/>
      <c r="L3554" s="9" t="str">
        <f t="shared" si="174"/>
        <v/>
      </c>
    </row>
    <row r="3555" spans="3:12" x14ac:dyDescent="0.2">
      <c r="C3555"/>
      <c r="L3555" s="9" t="str">
        <f t="shared" si="174"/>
        <v/>
      </c>
    </row>
    <row r="3556" spans="3:12" x14ac:dyDescent="0.2">
      <c r="C3556"/>
      <c r="L3556" s="9" t="str">
        <f t="shared" si="174"/>
        <v/>
      </c>
    </row>
    <row r="3557" spans="3:12" x14ac:dyDescent="0.2">
      <c r="C3557"/>
      <c r="L3557" s="9" t="str">
        <f t="shared" si="174"/>
        <v/>
      </c>
    </row>
    <row r="3558" spans="3:12" x14ac:dyDescent="0.2">
      <c r="C3558"/>
      <c r="L3558" s="9" t="str">
        <f t="shared" si="174"/>
        <v/>
      </c>
    </row>
    <row r="3559" spans="3:12" x14ac:dyDescent="0.2">
      <c r="C3559"/>
      <c r="L3559" s="9" t="str">
        <f t="shared" si="174"/>
        <v/>
      </c>
    </row>
    <row r="3560" spans="3:12" x14ac:dyDescent="0.2">
      <c r="C3560"/>
      <c r="L3560" s="9" t="str">
        <f t="shared" si="174"/>
        <v/>
      </c>
    </row>
    <row r="3561" spans="3:12" x14ac:dyDescent="0.2">
      <c r="C3561"/>
      <c r="L3561" s="9" t="str">
        <f t="shared" si="174"/>
        <v/>
      </c>
    </row>
    <row r="3562" spans="3:12" x14ac:dyDescent="0.2">
      <c r="C3562"/>
      <c r="L3562" s="9" t="str">
        <f t="shared" si="174"/>
        <v/>
      </c>
    </row>
    <row r="3563" spans="3:12" x14ac:dyDescent="0.2">
      <c r="C3563"/>
      <c r="L3563" s="9" t="str">
        <f t="shared" si="174"/>
        <v/>
      </c>
    </row>
    <row r="3564" spans="3:12" x14ac:dyDescent="0.2">
      <c r="C3564"/>
      <c r="L3564" s="9" t="str">
        <f t="shared" si="174"/>
        <v/>
      </c>
    </row>
    <row r="3565" spans="3:12" x14ac:dyDescent="0.2">
      <c r="C3565"/>
      <c r="L3565" s="9" t="str">
        <f t="shared" si="174"/>
        <v/>
      </c>
    </row>
    <row r="3566" spans="3:12" x14ac:dyDescent="0.2">
      <c r="C3566"/>
      <c r="L3566" s="9" t="str">
        <f t="shared" si="174"/>
        <v/>
      </c>
    </row>
    <row r="3567" spans="3:12" x14ac:dyDescent="0.2">
      <c r="C3567"/>
      <c r="L3567" s="9" t="str">
        <f t="shared" si="174"/>
        <v/>
      </c>
    </row>
    <row r="3568" spans="3:12" x14ac:dyDescent="0.2">
      <c r="C3568"/>
      <c r="L3568" s="9" t="str">
        <f t="shared" si="174"/>
        <v/>
      </c>
    </row>
    <row r="3569" spans="3:12" x14ac:dyDescent="0.2">
      <c r="C3569"/>
      <c r="L3569" s="9" t="str">
        <f t="shared" si="174"/>
        <v/>
      </c>
    </row>
    <row r="3570" spans="3:12" x14ac:dyDescent="0.2">
      <c r="C3570"/>
      <c r="L3570" s="9" t="str">
        <f t="shared" si="174"/>
        <v/>
      </c>
    </row>
    <row r="3571" spans="3:12" x14ac:dyDescent="0.2">
      <c r="C3571"/>
      <c r="L3571" s="9" t="str">
        <f t="shared" si="174"/>
        <v/>
      </c>
    </row>
    <row r="3572" spans="3:12" x14ac:dyDescent="0.2">
      <c r="C3572"/>
      <c r="L3572" s="9" t="str">
        <f t="shared" si="174"/>
        <v/>
      </c>
    </row>
    <row r="3573" spans="3:12" x14ac:dyDescent="0.2">
      <c r="C3573"/>
      <c r="L3573" s="9" t="str">
        <f t="shared" si="174"/>
        <v/>
      </c>
    </row>
    <row r="3574" spans="3:12" x14ac:dyDescent="0.2">
      <c r="C3574"/>
      <c r="L3574" s="9" t="str">
        <f t="shared" si="174"/>
        <v/>
      </c>
    </row>
    <row r="3575" spans="3:12" x14ac:dyDescent="0.2">
      <c r="C3575"/>
      <c r="L3575" s="9" t="str">
        <f t="shared" si="174"/>
        <v/>
      </c>
    </row>
    <row r="3576" spans="3:12" x14ac:dyDescent="0.2">
      <c r="C3576"/>
      <c r="L3576" s="9" t="str">
        <f t="shared" si="174"/>
        <v/>
      </c>
    </row>
    <row r="3577" spans="3:12" x14ac:dyDescent="0.2">
      <c r="C3577"/>
      <c r="L3577" s="9" t="str">
        <f t="shared" si="174"/>
        <v/>
      </c>
    </row>
    <row r="3578" spans="3:12" x14ac:dyDescent="0.2">
      <c r="C3578"/>
      <c r="L3578" s="9" t="str">
        <f t="shared" si="174"/>
        <v/>
      </c>
    </row>
    <row r="3579" spans="3:12" x14ac:dyDescent="0.2">
      <c r="C3579"/>
      <c r="L3579" s="9" t="str">
        <f t="shared" si="174"/>
        <v/>
      </c>
    </row>
    <row r="3580" spans="3:12" x14ac:dyDescent="0.2">
      <c r="C3580"/>
      <c r="L3580" s="9" t="str">
        <f t="shared" si="174"/>
        <v/>
      </c>
    </row>
    <row r="3581" spans="3:12" x14ac:dyDescent="0.2">
      <c r="C3581"/>
      <c r="L3581" s="9" t="str">
        <f t="shared" ref="L3581:L3644" si="175">IF(A3581="STOCK",E3581,IF(A3581="SOPTION",G3581,IF(A3581="LOPTION",F3581,"")))</f>
        <v/>
      </c>
    </row>
    <row r="3582" spans="3:12" x14ac:dyDescent="0.2">
      <c r="C3582"/>
      <c r="L3582" s="9" t="str">
        <f t="shared" si="175"/>
        <v/>
      </c>
    </row>
    <row r="3583" spans="3:12" x14ac:dyDescent="0.2">
      <c r="C3583"/>
      <c r="L3583" s="9" t="str">
        <f t="shared" si="175"/>
        <v/>
      </c>
    </row>
    <row r="3584" spans="3:12" x14ac:dyDescent="0.2">
      <c r="C3584"/>
      <c r="L3584" s="9" t="str">
        <f t="shared" si="175"/>
        <v/>
      </c>
    </row>
    <row r="3585" spans="3:12" x14ac:dyDescent="0.2">
      <c r="C3585"/>
      <c r="L3585" s="9" t="str">
        <f t="shared" si="175"/>
        <v/>
      </c>
    </row>
    <row r="3586" spans="3:12" x14ac:dyDescent="0.2">
      <c r="C3586"/>
      <c r="L3586" s="9" t="str">
        <f t="shared" si="175"/>
        <v/>
      </c>
    </row>
    <row r="3587" spans="3:12" x14ac:dyDescent="0.2">
      <c r="C3587"/>
      <c r="L3587" s="9" t="str">
        <f t="shared" si="175"/>
        <v/>
      </c>
    </row>
    <row r="3588" spans="3:12" x14ac:dyDescent="0.2">
      <c r="C3588"/>
      <c r="L3588" s="9" t="str">
        <f t="shared" si="175"/>
        <v/>
      </c>
    </row>
    <row r="3589" spans="3:12" x14ac:dyDescent="0.2">
      <c r="C3589"/>
      <c r="L3589" s="9" t="str">
        <f t="shared" si="175"/>
        <v/>
      </c>
    </row>
    <row r="3590" spans="3:12" x14ac:dyDescent="0.2">
      <c r="C3590"/>
      <c r="L3590" s="9" t="str">
        <f t="shared" si="175"/>
        <v/>
      </c>
    </row>
    <row r="3591" spans="3:12" x14ac:dyDescent="0.2">
      <c r="C3591"/>
      <c r="L3591" s="9" t="str">
        <f t="shared" si="175"/>
        <v/>
      </c>
    </row>
    <row r="3592" spans="3:12" x14ac:dyDescent="0.2">
      <c r="C3592"/>
      <c r="L3592" s="9" t="str">
        <f t="shared" si="175"/>
        <v/>
      </c>
    </row>
    <row r="3593" spans="3:12" x14ac:dyDescent="0.2">
      <c r="C3593"/>
      <c r="L3593" s="9" t="str">
        <f t="shared" si="175"/>
        <v/>
      </c>
    </row>
    <row r="3594" spans="3:12" x14ac:dyDescent="0.2">
      <c r="C3594"/>
      <c r="L3594" s="9" t="str">
        <f t="shared" si="175"/>
        <v/>
      </c>
    </row>
    <row r="3595" spans="3:12" x14ac:dyDescent="0.2">
      <c r="C3595"/>
      <c r="L3595" s="9" t="str">
        <f t="shared" si="175"/>
        <v/>
      </c>
    </row>
    <row r="3596" spans="3:12" x14ac:dyDescent="0.2">
      <c r="C3596"/>
      <c r="L3596" s="9" t="str">
        <f t="shared" si="175"/>
        <v/>
      </c>
    </row>
    <row r="3597" spans="3:12" x14ac:dyDescent="0.2">
      <c r="C3597"/>
      <c r="L3597" s="9" t="str">
        <f t="shared" si="175"/>
        <v/>
      </c>
    </row>
    <row r="3598" spans="3:12" x14ac:dyDescent="0.2">
      <c r="C3598"/>
      <c r="L3598" s="9" t="str">
        <f t="shared" si="175"/>
        <v/>
      </c>
    </row>
    <row r="3599" spans="3:12" x14ac:dyDescent="0.2">
      <c r="C3599"/>
      <c r="L3599" s="9" t="str">
        <f t="shared" si="175"/>
        <v/>
      </c>
    </row>
    <row r="3600" spans="3:12" x14ac:dyDescent="0.2">
      <c r="C3600"/>
      <c r="L3600" s="9" t="str">
        <f t="shared" si="175"/>
        <v/>
      </c>
    </row>
    <row r="3601" spans="3:12" x14ac:dyDescent="0.2">
      <c r="C3601"/>
      <c r="L3601" s="9" t="str">
        <f t="shared" si="175"/>
        <v/>
      </c>
    </row>
    <row r="3602" spans="3:12" x14ac:dyDescent="0.2">
      <c r="C3602"/>
      <c r="L3602" s="9" t="str">
        <f t="shared" si="175"/>
        <v/>
      </c>
    </row>
    <row r="3603" spans="3:12" x14ac:dyDescent="0.2">
      <c r="C3603"/>
      <c r="L3603" s="9" t="str">
        <f t="shared" si="175"/>
        <v/>
      </c>
    </row>
    <row r="3604" spans="3:12" x14ac:dyDescent="0.2">
      <c r="C3604"/>
      <c r="L3604" s="9" t="str">
        <f t="shared" si="175"/>
        <v/>
      </c>
    </row>
    <row r="3605" spans="3:12" x14ac:dyDescent="0.2">
      <c r="C3605"/>
      <c r="L3605" s="9" t="str">
        <f t="shared" si="175"/>
        <v/>
      </c>
    </row>
    <row r="3606" spans="3:12" x14ac:dyDescent="0.2">
      <c r="C3606"/>
      <c r="L3606" s="9" t="str">
        <f t="shared" si="175"/>
        <v/>
      </c>
    </row>
    <row r="3607" spans="3:12" x14ac:dyDescent="0.2">
      <c r="C3607"/>
      <c r="L3607" s="9" t="str">
        <f t="shared" si="175"/>
        <v/>
      </c>
    </row>
    <row r="3608" spans="3:12" x14ac:dyDescent="0.2">
      <c r="C3608"/>
      <c r="L3608" s="9" t="str">
        <f t="shared" si="175"/>
        <v/>
      </c>
    </row>
    <row r="3609" spans="3:12" x14ac:dyDescent="0.2">
      <c r="C3609"/>
      <c r="L3609" s="9" t="str">
        <f t="shared" si="175"/>
        <v/>
      </c>
    </row>
    <row r="3610" spans="3:12" x14ac:dyDescent="0.2">
      <c r="C3610"/>
      <c r="L3610" s="9" t="str">
        <f t="shared" si="175"/>
        <v/>
      </c>
    </row>
    <row r="3611" spans="3:12" x14ac:dyDescent="0.2">
      <c r="C3611"/>
      <c r="L3611" s="9" t="str">
        <f t="shared" si="175"/>
        <v/>
      </c>
    </row>
    <row r="3612" spans="3:12" x14ac:dyDescent="0.2">
      <c r="C3612"/>
      <c r="L3612" s="9" t="str">
        <f t="shared" si="175"/>
        <v/>
      </c>
    </row>
    <row r="3613" spans="3:12" x14ac:dyDescent="0.2">
      <c r="C3613"/>
      <c r="L3613" s="9" t="str">
        <f t="shared" si="175"/>
        <v/>
      </c>
    </row>
    <row r="3614" spans="3:12" x14ac:dyDescent="0.2">
      <c r="C3614"/>
      <c r="L3614" s="9" t="str">
        <f t="shared" si="175"/>
        <v/>
      </c>
    </row>
    <row r="3615" spans="3:12" x14ac:dyDescent="0.2">
      <c r="C3615"/>
      <c r="L3615" s="9" t="str">
        <f t="shared" si="175"/>
        <v/>
      </c>
    </row>
    <row r="3616" spans="3:12" x14ac:dyDescent="0.2">
      <c r="C3616"/>
      <c r="L3616" s="9" t="str">
        <f t="shared" si="175"/>
        <v/>
      </c>
    </row>
    <row r="3617" spans="3:12" x14ac:dyDescent="0.2">
      <c r="C3617"/>
      <c r="L3617" s="9" t="str">
        <f t="shared" si="175"/>
        <v/>
      </c>
    </row>
    <row r="3618" spans="3:12" x14ac:dyDescent="0.2">
      <c r="C3618"/>
      <c r="L3618" s="9" t="str">
        <f t="shared" si="175"/>
        <v/>
      </c>
    </row>
    <row r="3619" spans="3:12" x14ac:dyDescent="0.2">
      <c r="C3619"/>
      <c r="L3619" s="9" t="str">
        <f t="shared" si="175"/>
        <v/>
      </c>
    </row>
    <row r="3620" spans="3:12" x14ac:dyDescent="0.2">
      <c r="C3620"/>
      <c r="L3620" s="9" t="str">
        <f t="shared" si="175"/>
        <v/>
      </c>
    </row>
    <row r="3621" spans="3:12" x14ac:dyDescent="0.2">
      <c r="C3621"/>
      <c r="L3621" s="9" t="str">
        <f t="shared" si="175"/>
        <v/>
      </c>
    </row>
    <row r="3622" spans="3:12" x14ac:dyDescent="0.2">
      <c r="C3622"/>
      <c r="L3622" s="9" t="str">
        <f t="shared" si="175"/>
        <v/>
      </c>
    </row>
    <row r="3623" spans="3:12" x14ac:dyDescent="0.2">
      <c r="C3623"/>
      <c r="L3623" s="9" t="str">
        <f t="shared" si="175"/>
        <v/>
      </c>
    </row>
    <row r="3624" spans="3:12" x14ac:dyDescent="0.2">
      <c r="C3624"/>
      <c r="L3624" s="9" t="str">
        <f t="shared" si="175"/>
        <v/>
      </c>
    </row>
    <row r="3625" spans="3:12" x14ac:dyDescent="0.2">
      <c r="C3625"/>
      <c r="L3625" s="9" t="str">
        <f t="shared" si="175"/>
        <v/>
      </c>
    </row>
    <row r="3626" spans="3:12" x14ac:dyDescent="0.2">
      <c r="C3626"/>
      <c r="L3626" s="9" t="str">
        <f t="shared" si="175"/>
        <v/>
      </c>
    </row>
    <row r="3627" spans="3:12" x14ac:dyDescent="0.2">
      <c r="C3627"/>
      <c r="L3627" s="9" t="str">
        <f t="shared" si="175"/>
        <v/>
      </c>
    </row>
    <row r="3628" spans="3:12" x14ac:dyDescent="0.2">
      <c r="C3628"/>
      <c r="L3628" s="9" t="str">
        <f t="shared" si="175"/>
        <v/>
      </c>
    </row>
    <row r="3629" spans="3:12" x14ac:dyDescent="0.2">
      <c r="C3629"/>
      <c r="L3629" s="9" t="str">
        <f t="shared" si="175"/>
        <v/>
      </c>
    </row>
    <row r="3630" spans="3:12" x14ac:dyDescent="0.2">
      <c r="C3630"/>
      <c r="L3630" s="9" t="str">
        <f t="shared" si="175"/>
        <v/>
      </c>
    </row>
    <row r="3631" spans="3:12" x14ac:dyDescent="0.2">
      <c r="C3631"/>
      <c r="L3631" s="9" t="str">
        <f t="shared" si="175"/>
        <v/>
      </c>
    </row>
    <row r="3632" spans="3:12" x14ac:dyDescent="0.2">
      <c r="C3632"/>
      <c r="L3632" s="9" t="str">
        <f t="shared" si="175"/>
        <v/>
      </c>
    </row>
    <row r="3633" spans="3:12" x14ac:dyDescent="0.2">
      <c r="C3633"/>
      <c r="L3633" s="9" t="str">
        <f t="shared" si="175"/>
        <v/>
      </c>
    </row>
    <row r="3634" spans="3:12" x14ac:dyDescent="0.2">
      <c r="C3634"/>
      <c r="L3634" s="9" t="str">
        <f t="shared" si="175"/>
        <v/>
      </c>
    </row>
    <row r="3635" spans="3:12" x14ac:dyDescent="0.2">
      <c r="C3635"/>
      <c r="L3635" s="9" t="str">
        <f t="shared" si="175"/>
        <v/>
      </c>
    </row>
    <row r="3636" spans="3:12" x14ac:dyDescent="0.2">
      <c r="C3636"/>
      <c r="L3636" s="9" t="str">
        <f t="shared" si="175"/>
        <v/>
      </c>
    </row>
    <row r="3637" spans="3:12" x14ac:dyDescent="0.2">
      <c r="C3637"/>
      <c r="L3637" s="9" t="str">
        <f t="shared" si="175"/>
        <v/>
      </c>
    </row>
    <row r="3638" spans="3:12" x14ac:dyDescent="0.2">
      <c r="C3638"/>
      <c r="L3638" s="9" t="str">
        <f t="shared" si="175"/>
        <v/>
      </c>
    </row>
    <row r="3639" spans="3:12" x14ac:dyDescent="0.2">
      <c r="C3639"/>
      <c r="L3639" s="9" t="str">
        <f t="shared" si="175"/>
        <v/>
      </c>
    </row>
    <row r="3640" spans="3:12" x14ac:dyDescent="0.2">
      <c r="C3640"/>
      <c r="L3640" s="9" t="str">
        <f t="shared" si="175"/>
        <v/>
      </c>
    </row>
    <row r="3641" spans="3:12" x14ac:dyDescent="0.2">
      <c r="C3641"/>
      <c r="L3641" s="9" t="str">
        <f t="shared" si="175"/>
        <v/>
      </c>
    </row>
    <row r="3642" spans="3:12" x14ac:dyDescent="0.2">
      <c r="C3642"/>
      <c r="L3642" s="9" t="str">
        <f t="shared" si="175"/>
        <v/>
      </c>
    </row>
    <row r="3643" spans="3:12" x14ac:dyDescent="0.2">
      <c r="C3643"/>
      <c r="L3643" s="9" t="str">
        <f t="shared" si="175"/>
        <v/>
      </c>
    </row>
    <row r="3644" spans="3:12" x14ac:dyDescent="0.2">
      <c r="C3644"/>
      <c r="L3644" s="9" t="str">
        <f t="shared" si="175"/>
        <v/>
      </c>
    </row>
    <row r="3645" spans="3:12" x14ac:dyDescent="0.2">
      <c r="C3645"/>
      <c r="L3645" s="9" t="str">
        <f t="shared" ref="L3645:L3708" si="176">IF(A3645="STOCK",E3645,IF(A3645="SOPTION",G3645,IF(A3645="LOPTION",F3645,"")))</f>
        <v/>
      </c>
    </row>
    <row r="3646" spans="3:12" x14ac:dyDescent="0.2">
      <c r="C3646"/>
      <c r="L3646" s="9" t="str">
        <f t="shared" si="176"/>
        <v/>
      </c>
    </row>
    <row r="3647" spans="3:12" x14ac:dyDescent="0.2">
      <c r="C3647"/>
      <c r="L3647" s="9" t="str">
        <f t="shared" si="176"/>
        <v/>
      </c>
    </row>
    <row r="3648" spans="3:12" x14ac:dyDescent="0.2">
      <c r="C3648"/>
      <c r="L3648" s="9" t="str">
        <f t="shared" si="176"/>
        <v/>
      </c>
    </row>
    <row r="3649" spans="3:12" x14ac:dyDescent="0.2">
      <c r="C3649"/>
      <c r="L3649" s="9" t="str">
        <f t="shared" si="176"/>
        <v/>
      </c>
    </row>
    <row r="3650" spans="3:12" x14ac:dyDescent="0.2">
      <c r="C3650"/>
      <c r="L3650" s="9" t="str">
        <f t="shared" si="176"/>
        <v/>
      </c>
    </row>
    <row r="3651" spans="3:12" x14ac:dyDescent="0.2">
      <c r="C3651"/>
      <c r="L3651" s="9" t="str">
        <f t="shared" si="176"/>
        <v/>
      </c>
    </row>
    <row r="3652" spans="3:12" x14ac:dyDescent="0.2">
      <c r="C3652"/>
      <c r="L3652" s="9" t="str">
        <f t="shared" si="176"/>
        <v/>
      </c>
    </row>
    <row r="3653" spans="3:12" x14ac:dyDescent="0.2">
      <c r="C3653"/>
      <c r="L3653" s="9" t="str">
        <f t="shared" si="176"/>
        <v/>
      </c>
    </row>
    <row r="3654" spans="3:12" x14ac:dyDescent="0.2">
      <c r="C3654"/>
      <c r="L3654" s="9" t="str">
        <f t="shared" si="176"/>
        <v/>
      </c>
    </row>
    <row r="3655" spans="3:12" x14ac:dyDescent="0.2">
      <c r="C3655"/>
      <c r="L3655" s="9" t="str">
        <f t="shared" si="176"/>
        <v/>
      </c>
    </row>
    <row r="3656" spans="3:12" x14ac:dyDescent="0.2">
      <c r="C3656"/>
      <c r="L3656" s="9" t="str">
        <f t="shared" si="176"/>
        <v/>
      </c>
    </row>
    <row r="3657" spans="3:12" x14ac:dyDescent="0.2">
      <c r="C3657"/>
      <c r="L3657" s="9" t="str">
        <f t="shared" si="176"/>
        <v/>
      </c>
    </row>
    <row r="3658" spans="3:12" x14ac:dyDescent="0.2">
      <c r="C3658"/>
      <c r="L3658" s="9" t="str">
        <f t="shared" si="176"/>
        <v/>
      </c>
    </row>
    <row r="3659" spans="3:12" x14ac:dyDescent="0.2">
      <c r="C3659"/>
      <c r="L3659" s="9" t="str">
        <f t="shared" si="176"/>
        <v/>
      </c>
    </row>
    <row r="3660" spans="3:12" x14ac:dyDescent="0.2">
      <c r="C3660"/>
      <c r="L3660" s="9" t="str">
        <f t="shared" si="176"/>
        <v/>
      </c>
    </row>
    <row r="3661" spans="3:12" x14ac:dyDescent="0.2">
      <c r="C3661"/>
      <c r="L3661" s="9" t="str">
        <f t="shared" si="176"/>
        <v/>
      </c>
    </row>
    <row r="3662" spans="3:12" x14ac:dyDescent="0.2">
      <c r="C3662"/>
      <c r="L3662" s="9" t="str">
        <f t="shared" si="176"/>
        <v/>
      </c>
    </row>
    <row r="3663" spans="3:12" x14ac:dyDescent="0.2">
      <c r="C3663"/>
      <c r="L3663" s="9" t="str">
        <f t="shared" si="176"/>
        <v/>
      </c>
    </row>
    <row r="3664" spans="3:12" x14ac:dyDescent="0.2">
      <c r="C3664"/>
      <c r="L3664" s="9" t="str">
        <f t="shared" si="176"/>
        <v/>
      </c>
    </row>
    <row r="3665" spans="3:12" x14ac:dyDescent="0.2">
      <c r="C3665"/>
      <c r="L3665" s="9" t="str">
        <f t="shared" si="176"/>
        <v/>
      </c>
    </row>
    <row r="3666" spans="3:12" x14ac:dyDescent="0.2">
      <c r="C3666"/>
      <c r="L3666" s="9" t="str">
        <f t="shared" si="176"/>
        <v/>
      </c>
    </row>
    <row r="3667" spans="3:12" x14ac:dyDescent="0.2">
      <c r="C3667"/>
      <c r="L3667" s="9" t="str">
        <f t="shared" si="176"/>
        <v/>
      </c>
    </row>
    <row r="3668" spans="3:12" x14ac:dyDescent="0.2">
      <c r="C3668"/>
      <c r="L3668" s="9" t="str">
        <f t="shared" si="176"/>
        <v/>
      </c>
    </row>
    <row r="3669" spans="3:12" x14ac:dyDescent="0.2">
      <c r="C3669"/>
      <c r="L3669" s="9" t="str">
        <f t="shared" si="176"/>
        <v/>
      </c>
    </row>
    <row r="3670" spans="3:12" x14ac:dyDescent="0.2">
      <c r="C3670"/>
      <c r="L3670" s="9" t="str">
        <f t="shared" si="176"/>
        <v/>
      </c>
    </row>
    <row r="3671" spans="3:12" x14ac:dyDescent="0.2">
      <c r="C3671"/>
      <c r="L3671" s="9" t="str">
        <f t="shared" si="176"/>
        <v/>
      </c>
    </row>
    <row r="3672" spans="3:12" x14ac:dyDescent="0.2">
      <c r="C3672"/>
      <c r="L3672" s="9" t="str">
        <f t="shared" si="176"/>
        <v/>
      </c>
    </row>
    <row r="3673" spans="3:12" x14ac:dyDescent="0.2">
      <c r="C3673"/>
      <c r="L3673" s="9" t="str">
        <f t="shared" si="176"/>
        <v/>
      </c>
    </row>
    <row r="3674" spans="3:12" x14ac:dyDescent="0.2">
      <c r="C3674"/>
      <c r="L3674" s="9" t="str">
        <f t="shared" si="176"/>
        <v/>
      </c>
    </row>
    <row r="3675" spans="3:12" x14ac:dyDescent="0.2">
      <c r="C3675"/>
      <c r="L3675" s="9" t="str">
        <f t="shared" si="176"/>
        <v/>
      </c>
    </row>
    <row r="3676" spans="3:12" x14ac:dyDescent="0.2">
      <c r="C3676"/>
      <c r="L3676" s="9" t="str">
        <f t="shared" si="176"/>
        <v/>
      </c>
    </row>
    <row r="3677" spans="3:12" x14ac:dyDescent="0.2">
      <c r="C3677"/>
      <c r="L3677" s="9" t="str">
        <f t="shared" si="176"/>
        <v/>
      </c>
    </row>
    <row r="3678" spans="3:12" x14ac:dyDescent="0.2">
      <c r="C3678"/>
      <c r="L3678" s="9" t="str">
        <f t="shared" si="176"/>
        <v/>
      </c>
    </row>
    <row r="3679" spans="3:12" x14ac:dyDescent="0.2">
      <c r="C3679"/>
      <c r="L3679" s="9" t="str">
        <f t="shared" si="176"/>
        <v/>
      </c>
    </row>
    <row r="3680" spans="3:12" x14ac:dyDescent="0.2">
      <c r="C3680"/>
      <c r="L3680" s="9" t="str">
        <f t="shared" si="176"/>
        <v/>
      </c>
    </row>
    <row r="3681" spans="3:12" x14ac:dyDescent="0.2">
      <c r="C3681"/>
      <c r="L3681" s="9" t="str">
        <f t="shared" si="176"/>
        <v/>
      </c>
    </row>
    <row r="3682" spans="3:12" x14ac:dyDescent="0.2">
      <c r="C3682"/>
      <c r="L3682" s="9" t="str">
        <f t="shared" si="176"/>
        <v/>
      </c>
    </row>
    <row r="3683" spans="3:12" x14ac:dyDescent="0.2">
      <c r="C3683"/>
      <c r="L3683" s="9" t="str">
        <f t="shared" si="176"/>
        <v/>
      </c>
    </row>
    <row r="3684" spans="3:12" x14ac:dyDescent="0.2">
      <c r="C3684"/>
      <c r="L3684" s="9" t="str">
        <f t="shared" si="176"/>
        <v/>
      </c>
    </row>
    <row r="3685" spans="3:12" x14ac:dyDescent="0.2">
      <c r="C3685"/>
      <c r="L3685" s="9" t="str">
        <f t="shared" si="176"/>
        <v/>
      </c>
    </row>
    <row r="3686" spans="3:12" x14ac:dyDescent="0.2">
      <c r="C3686"/>
      <c r="L3686" s="9" t="str">
        <f t="shared" si="176"/>
        <v/>
      </c>
    </row>
    <row r="3687" spans="3:12" x14ac:dyDescent="0.2">
      <c r="C3687"/>
      <c r="L3687" s="9" t="str">
        <f t="shared" si="176"/>
        <v/>
      </c>
    </row>
    <row r="3688" spans="3:12" x14ac:dyDescent="0.2">
      <c r="C3688"/>
      <c r="L3688" s="9" t="str">
        <f t="shared" si="176"/>
        <v/>
      </c>
    </row>
    <row r="3689" spans="3:12" x14ac:dyDescent="0.2">
      <c r="C3689"/>
      <c r="L3689" s="9" t="str">
        <f t="shared" si="176"/>
        <v/>
      </c>
    </row>
    <row r="3690" spans="3:12" x14ac:dyDescent="0.2">
      <c r="C3690"/>
      <c r="L3690" s="9" t="str">
        <f t="shared" si="176"/>
        <v/>
      </c>
    </row>
    <row r="3691" spans="3:12" x14ac:dyDescent="0.2">
      <c r="C3691"/>
      <c r="L3691" s="9" t="str">
        <f t="shared" si="176"/>
        <v/>
      </c>
    </row>
    <row r="3692" spans="3:12" x14ac:dyDescent="0.2">
      <c r="C3692"/>
      <c r="L3692" s="9" t="str">
        <f t="shared" si="176"/>
        <v/>
      </c>
    </row>
    <row r="3693" spans="3:12" x14ac:dyDescent="0.2">
      <c r="C3693"/>
      <c r="L3693" s="9" t="str">
        <f t="shared" si="176"/>
        <v/>
      </c>
    </row>
    <row r="3694" spans="3:12" x14ac:dyDescent="0.2">
      <c r="C3694"/>
      <c r="L3694" s="9" t="str">
        <f t="shared" si="176"/>
        <v/>
      </c>
    </row>
    <row r="3695" spans="3:12" x14ac:dyDescent="0.2">
      <c r="C3695"/>
      <c r="L3695" s="9" t="str">
        <f t="shared" si="176"/>
        <v/>
      </c>
    </row>
    <row r="3696" spans="3:12" x14ac:dyDescent="0.2">
      <c r="C3696"/>
      <c r="L3696" s="9" t="str">
        <f t="shared" si="176"/>
        <v/>
      </c>
    </row>
    <row r="3697" spans="3:12" x14ac:dyDescent="0.2">
      <c r="C3697"/>
      <c r="L3697" s="9" t="str">
        <f t="shared" si="176"/>
        <v/>
      </c>
    </row>
    <row r="3698" spans="3:12" x14ac:dyDescent="0.2">
      <c r="C3698"/>
      <c r="L3698" s="9" t="str">
        <f t="shared" si="176"/>
        <v/>
      </c>
    </row>
    <row r="3699" spans="3:12" x14ac:dyDescent="0.2">
      <c r="C3699"/>
      <c r="L3699" s="9" t="str">
        <f t="shared" si="176"/>
        <v/>
      </c>
    </row>
    <row r="3700" spans="3:12" x14ac:dyDescent="0.2">
      <c r="C3700"/>
      <c r="L3700" s="9" t="str">
        <f t="shared" si="176"/>
        <v/>
      </c>
    </row>
    <row r="3701" spans="3:12" x14ac:dyDescent="0.2">
      <c r="C3701"/>
      <c r="L3701" s="9" t="str">
        <f t="shared" si="176"/>
        <v/>
      </c>
    </row>
    <row r="3702" spans="3:12" x14ac:dyDescent="0.2">
      <c r="C3702"/>
      <c r="L3702" s="9" t="str">
        <f t="shared" si="176"/>
        <v/>
      </c>
    </row>
    <row r="3703" spans="3:12" x14ac:dyDescent="0.2">
      <c r="C3703"/>
      <c r="L3703" s="9" t="str">
        <f t="shared" si="176"/>
        <v/>
      </c>
    </row>
    <row r="3704" spans="3:12" x14ac:dyDescent="0.2">
      <c r="C3704"/>
      <c r="L3704" s="9" t="str">
        <f t="shared" si="176"/>
        <v/>
      </c>
    </row>
    <row r="3705" spans="3:12" x14ac:dyDescent="0.2">
      <c r="C3705"/>
      <c r="L3705" s="9" t="str">
        <f t="shared" si="176"/>
        <v/>
      </c>
    </row>
    <row r="3706" spans="3:12" x14ac:dyDescent="0.2">
      <c r="C3706"/>
      <c r="L3706" s="9" t="str">
        <f t="shared" si="176"/>
        <v/>
      </c>
    </row>
    <row r="3707" spans="3:12" x14ac:dyDescent="0.2">
      <c r="C3707"/>
      <c r="L3707" s="9" t="str">
        <f t="shared" si="176"/>
        <v/>
      </c>
    </row>
    <row r="3708" spans="3:12" x14ac:dyDescent="0.2">
      <c r="C3708"/>
      <c r="L3708" s="9" t="str">
        <f t="shared" si="176"/>
        <v/>
      </c>
    </row>
    <row r="3709" spans="3:12" x14ac:dyDescent="0.2">
      <c r="C3709"/>
      <c r="L3709" s="9" t="str">
        <f t="shared" ref="L3709:L3772" si="177">IF(A3709="STOCK",E3709,IF(A3709="SOPTION",G3709,IF(A3709="LOPTION",F3709,"")))</f>
        <v/>
      </c>
    </row>
    <row r="3710" spans="3:12" x14ac:dyDescent="0.2">
      <c r="C3710"/>
      <c r="L3710" s="9" t="str">
        <f t="shared" si="177"/>
        <v/>
      </c>
    </row>
    <row r="3711" spans="3:12" x14ac:dyDescent="0.2">
      <c r="C3711"/>
      <c r="L3711" s="9" t="str">
        <f t="shared" si="177"/>
        <v/>
      </c>
    </row>
    <row r="3712" spans="3:12" x14ac:dyDescent="0.2">
      <c r="C3712"/>
      <c r="L3712" s="9" t="str">
        <f t="shared" si="177"/>
        <v/>
      </c>
    </row>
    <row r="3713" spans="3:12" x14ac:dyDescent="0.2">
      <c r="C3713"/>
      <c r="L3713" s="9" t="str">
        <f t="shared" si="177"/>
        <v/>
      </c>
    </row>
    <row r="3714" spans="3:12" x14ac:dyDescent="0.2">
      <c r="C3714"/>
      <c r="L3714" s="9" t="str">
        <f t="shared" si="177"/>
        <v/>
      </c>
    </row>
    <row r="3715" spans="3:12" x14ac:dyDescent="0.2">
      <c r="C3715"/>
      <c r="L3715" s="9" t="str">
        <f t="shared" si="177"/>
        <v/>
      </c>
    </row>
    <row r="3716" spans="3:12" x14ac:dyDescent="0.2">
      <c r="C3716"/>
      <c r="L3716" s="9" t="str">
        <f t="shared" si="177"/>
        <v/>
      </c>
    </row>
    <row r="3717" spans="3:12" x14ac:dyDescent="0.2">
      <c r="C3717"/>
      <c r="L3717" s="9" t="str">
        <f t="shared" si="177"/>
        <v/>
      </c>
    </row>
    <row r="3718" spans="3:12" x14ac:dyDescent="0.2">
      <c r="C3718"/>
      <c r="L3718" s="9" t="str">
        <f t="shared" si="177"/>
        <v/>
      </c>
    </row>
    <row r="3719" spans="3:12" x14ac:dyDescent="0.2">
      <c r="C3719"/>
      <c r="L3719" s="9" t="str">
        <f t="shared" si="177"/>
        <v/>
      </c>
    </row>
    <row r="3720" spans="3:12" x14ac:dyDescent="0.2">
      <c r="C3720"/>
      <c r="L3720" s="9" t="str">
        <f t="shared" si="177"/>
        <v/>
      </c>
    </row>
    <row r="3721" spans="3:12" x14ac:dyDescent="0.2">
      <c r="C3721"/>
      <c r="L3721" s="9" t="str">
        <f t="shared" si="177"/>
        <v/>
      </c>
    </row>
    <row r="3722" spans="3:12" x14ac:dyDescent="0.2">
      <c r="C3722"/>
      <c r="L3722" s="9" t="str">
        <f t="shared" si="177"/>
        <v/>
      </c>
    </row>
    <row r="3723" spans="3:12" x14ac:dyDescent="0.2">
      <c r="C3723"/>
      <c r="L3723" s="9" t="str">
        <f t="shared" si="177"/>
        <v/>
      </c>
    </row>
    <row r="3724" spans="3:12" x14ac:dyDescent="0.2">
      <c r="C3724"/>
      <c r="L3724" s="9" t="str">
        <f t="shared" si="177"/>
        <v/>
      </c>
    </row>
    <row r="3725" spans="3:12" x14ac:dyDescent="0.2">
      <c r="C3725"/>
      <c r="L3725" s="9" t="str">
        <f t="shared" si="177"/>
        <v/>
      </c>
    </row>
    <row r="3726" spans="3:12" x14ac:dyDescent="0.2">
      <c r="C3726"/>
      <c r="L3726" s="9" t="str">
        <f t="shared" si="177"/>
        <v/>
      </c>
    </row>
    <row r="3727" spans="3:12" x14ac:dyDescent="0.2">
      <c r="C3727"/>
      <c r="L3727" s="9" t="str">
        <f t="shared" si="177"/>
        <v/>
      </c>
    </row>
    <row r="3728" spans="3:12" x14ac:dyDescent="0.2">
      <c r="C3728"/>
      <c r="L3728" s="9" t="str">
        <f t="shared" si="177"/>
        <v/>
      </c>
    </row>
    <row r="3729" spans="3:12" x14ac:dyDescent="0.2">
      <c r="C3729"/>
      <c r="L3729" s="9" t="str">
        <f t="shared" si="177"/>
        <v/>
      </c>
    </row>
    <row r="3730" spans="3:12" x14ac:dyDescent="0.2">
      <c r="C3730"/>
      <c r="L3730" s="9" t="str">
        <f t="shared" si="177"/>
        <v/>
      </c>
    </row>
    <row r="3731" spans="3:12" x14ac:dyDescent="0.2">
      <c r="C3731"/>
      <c r="L3731" s="9" t="str">
        <f t="shared" si="177"/>
        <v/>
      </c>
    </row>
    <row r="3732" spans="3:12" x14ac:dyDescent="0.2">
      <c r="C3732"/>
      <c r="L3732" s="9" t="str">
        <f t="shared" si="177"/>
        <v/>
      </c>
    </row>
    <row r="3733" spans="3:12" x14ac:dyDescent="0.2">
      <c r="C3733"/>
      <c r="L3733" s="9" t="str">
        <f t="shared" si="177"/>
        <v/>
      </c>
    </row>
    <row r="3734" spans="3:12" x14ac:dyDescent="0.2">
      <c r="C3734"/>
      <c r="L3734" s="9" t="str">
        <f t="shared" si="177"/>
        <v/>
      </c>
    </row>
    <row r="3735" spans="3:12" x14ac:dyDescent="0.2">
      <c r="C3735"/>
      <c r="L3735" s="9" t="str">
        <f t="shared" si="177"/>
        <v/>
      </c>
    </row>
    <row r="3736" spans="3:12" x14ac:dyDescent="0.2">
      <c r="C3736"/>
      <c r="L3736" s="9" t="str">
        <f t="shared" si="177"/>
        <v/>
      </c>
    </row>
    <row r="3737" spans="3:12" x14ac:dyDescent="0.2">
      <c r="C3737"/>
      <c r="L3737" s="9" t="str">
        <f t="shared" si="177"/>
        <v/>
      </c>
    </row>
    <row r="3738" spans="3:12" x14ac:dyDescent="0.2">
      <c r="C3738"/>
      <c r="L3738" s="9" t="str">
        <f t="shared" si="177"/>
        <v/>
      </c>
    </row>
    <row r="3739" spans="3:12" x14ac:dyDescent="0.2">
      <c r="C3739"/>
      <c r="L3739" s="9" t="str">
        <f t="shared" si="177"/>
        <v/>
      </c>
    </row>
    <row r="3740" spans="3:12" x14ac:dyDescent="0.2">
      <c r="C3740"/>
      <c r="L3740" s="9" t="str">
        <f t="shared" si="177"/>
        <v/>
      </c>
    </row>
    <row r="3741" spans="3:12" x14ac:dyDescent="0.2">
      <c r="C3741"/>
      <c r="L3741" s="9" t="str">
        <f t="shared" si="177"/>
        <v/>
      </c>
    </row>
    <row r="3742" spans="3:12" x14ac:dyDescent="0.2">
      <c r="C3742"/>
      <c r="L3742" s="9" t="str">
        <f t="shared" si="177"/>
        <v/>
      </c>
    </row>
    <row r="3743" spans="3:12" x14ac:dyDescent="0.2">
      <c r="C3743"/>
      <c r="L3743" s="9" t="str">
        <f t="shared" si="177"/>
        <v/>
      </c>
    </row>
    <row r="3744" spans="3:12" x14ac:dyDescent="0.2">
      <c r="C3744"/>
      <c r="L3744" s="9" t="str">
        <f t="shared" si="177"/>
        <v/>
      </c>
    </row>
    <row r="3745" spans="3:12" x14ac:dyDescent="0.2">
      <c r="C3745"/>
      <c r="L3745" s="9" t="str">
        <f t="shared" si="177"/>
        <v/>
      </c>
    </row>
    <row r="3746" spans="3:12" x14ac:dyDescent="0.2">
      <c r="C3746"/>
      <c r="L3746" s="9" t="str">
        <f t="shared" si="177"/>
        <v/>
      </c>
    </row>
    <row r="3747" spans="3:12" x14ac:dyDescent="0.2">
      <c r="C3747"/>
      <c r="L3747" s="9" t="str">
        <f t="shared" si="177"/>
        <v/>
      </c>
    </row>
    <row r="3748" spans="3:12" x14ac:dyDescent="0.2">
      <c r="C3748"/>
      <c r="L3748" s="9" t="str">
        <f t="shared" si="177"/>
        <v/>
      </c>
    </row>
    <row r="3749" spans="3:12" x14ac:dyDescent="0.2">
      <c r="C3749"/>
      <c r="L3749" s="9" t="str">
        <f t="shared" si="177"/>
        <v/>
      </c>
    </row>
    <row r="3750" spans="3:12" x14ac:dyDescent="0.2">
      <c r="C3750"/>
      <c r="L3750" s="9" t="str">
        <f t="shared" si="177"/>
        <v/>
      </c>
    </row>
    <row r="3751" spans="3:12" x14ac:dyDescent="0.2">
      <c r="C3751"/>
      <c r="L3751" s="9" t="str">
        <f t="shared" si="177"/>
        <v/>
      </c>
    </row>
    <row r="3752" spans="3:12" x14ac:dyDescent="0.2">
      <c r="C3752"/>
      <c r="L3752" s="9" t="str">
        <f t="shared" si="177"/>
        <v/>
      </c>
    </row>
    <row r="3753" spans="3:12" x14ac:dyDescent="0.2">
      <c r="C3753"/>
      <c r="L3753" s="9" t="str">
        <f t="shared" si="177"/>
        <v/>
      </c>
    </row>
    <row r="3754" spans="3:12" x14ac:dyDescent="0.2">
      <c r="C3754"/>
      <c r="L3754" s="9" t="str">
        <f t="shared" si="177"/>
        <v/>
      </c>
    </row>
    <row r="3755" spans="3:12" x14ac:dyDescent="0.2">
      <c r="C3755"/>
      <c r="L3755" s="9" t="str">
        <f t="shared" si="177"/>
        <v/>
      </c>
    </row>
    <row r="3756" spans="3:12" x14ac:dyDescent="0.2">
      <c r="C3756"/>
      <c r="L3756" s="9" t="str">
        <f t="shared" si="177"/>
        <v/>
      </c>
    </row>
    <row r="3757" spans="3:12" x14ac:dyDescent="0.2">
      <c r="C3757"/>
      <c r="L3757" s="9" t="str">
        <f t="shared" si="177"/>
        <v/>
      </c>
    </row>
    <row r="3758" spans="3:12" x14ac:dyDescent="0.2">
      <c r="C3758"/>
      <c r="L3758" s="9" t="str">
        <f t="shared" si="177"/>
        <v/>
      </c>
    </row>
    <row r="3759" spans="3:12" x14ac:dyDescent="0.2">
      <c r="C3759"/>
      <c r="L3759" s="9" t="str">
        <f t="shared" si="177"/>
        <v/>
      </c>
    </row>
    <row r="3760" spans="3:12" x14ac:dyDescent="0.2">
      <c r="C3760"/>
      <c r="L3760" s="9" t="str">
        <f t="shared" si="177"/>
        <v/>
      </c>
    </row>
    <row r="3761" spans="3:12" x14ac:dyDescent="0.2">
      <c r="C3761"/>
      <c r="L3761" s="9" t="str">
        <f t="shared" si="177"/>
        <v/>
      </c>
    </row>
    <row r="3762" spans="3:12" x14ac:dyDescent="0.2">
      <c r="C3762"/>
      <c r="L3762" s="9" t="str">
        <f t="shared" si="177"/>
        <v/>
      </c>
    </row>
    <row r="3763" spans="3:12" x14ac:dyDescent="0.2">
      <c r="C3763"/>
      <c r="L3763" s="9" t="str">
        <f t="shared" si="177"/>
        <v/>
      </c>
    </row>
    <row r="3764" spans="3:12" x14ac:dyDescent="0.2">
      <c r="C3764"/>
      <c r="L3764" s="9" t="str">
        <f t="shared" si="177"/>
        <v/>
      </c>
    </row>
    <row r="3765" spans="3:12" x14ac:dyDescent="0.2">
      <c r="C3765"/>
      <c r="L3765" s="9" t="str">
        <f t="shared" si="177"/>
        <v/>
      </c>
    </row>
    <row r="3766" spans="3:12" x14ac:dyDescent="0.2">
      <c r="C3766"/>
      <c r="L3766" s="9" t="str">
        <f t="shared" si="177"/>
        <v/>
      </c>
    </row>
    <row r="3767" spans="3:12" x14ac:dyDescent="0.2">
      <c r="C3767"/>
      <c r="L3767" s="9" t="str">
        <f t="shared" si="177"/>
        <v/>
      </c>
    </row>
    <row r="3768" spans="3:12" x14ac:dyDescent="0.2">
      <c r="C3768"/>
      <c r="L3768" s="9" t="str">
        <f t="shared" si="177"/>
        <v/>
      </c>
    </row>
    <row r="3769" spans="3:12" x14ac:dyDescent="0.2">
      <c r="C3769"/>
      <c r="L3769" s="9" t="str">
        <f t="shared" si="177"/>
        <v/>
      </c>
    </row>
    <row r="3770" spans="3:12" x14ac:dyDescent="0.2">
      <c r="C3770"/>
      <c r="L3770" s="9" t="str">
        <f t="shared" si="177"/>
        <v/>
      </c>
    </row>
    <row r="3771" spans="3:12" x14ac:dyDescent="0.2">
      <c r="C3771"/>
      <c r="L3771" s="9" t="str">
        <f t="shared" si="177"/>
        <v/>
      </c>
    </row>
    <row r="3772" spans="3:12" x14ac:dyDescent="0.2">
      <c r="C3772"/>
      <c r="L3772" s="9" t="str">
        <f t="shared" si="177"/>
        <v/>
      </c>
    </row>
    <row r="3773" spans="3:12" x14ac:dyDescent="0.2">
      <c r="C3773"/>
      <c r="L3773" s="9" t="str">
        <f t="shared" ref="L3773:L3836" si="178">IF(A3773="STOCK",E3773,IF(A3773="SOPTION",G3773,IF(A3773="LOPTION",F3773,"")))</f>
        <v/>
      </c>
    </row>
    <row r="3774" spans="3:12" x14ac:dyDescent="0.2">
      <c r="C3774"/>
      <c r="L3774" s="9" t="str">
        <f t="shared" si="178"/>
        <v/>
      </c>
    </row>
    <row r="3775" spans="3:12" x14ac:dyDescent="0.2">
      <c r="C3775"/>
      <c r="L3775" s="9" t="str">
        <f t="shared" si="178"/>
        <v/>
      </c>
    </row>
    <row r="3776" spans="3:12" x14ac:dyDescent="0.2">
      <c r="C3776"/>
      <c r="L3776" s="9" t="str">
        <f t="shared" si="178"/>
        <v/>
      </c>
    </row>
    <row r="3777" spans="3:12" x14ac:dyDescent="0.2">
      <c r="C3777"/>
      <c r="L3777" s="9" t="str">
        <f t="shared" si="178"/>
        <v/>
      </c>
    </row>
    <row r="3778" spans="3:12" x14ac:dyDescent="0.2">
      <c r="C3778"/>
      <c r="L3778" s="9" t="str">
        <f t="shared" si="178"/>
        <v/>
      </c>
    </row>
    <row r="3779" spans="3:12" x14ac:dyDescent="0.2">
      <c r="C3779"/>
      <c r="L3779" s="9" t="str">
        <f t="shared" si="178"/>
        <v/>
      </c>
    </row>
    <row r="3780" spans="3:12" x14ac:dyDescent="0.2">
      <c r="C3780"/>
      <c r="L3780" s="9" t="str">
        <f t="shared" si="178"/>
        <v/>
      </c>
    </row>
    <row r="3781" spans="3:12" x14ac:dyDescent="0.2">
      <c r="C3781"/>
      <c r="L3781" s="9" t="str">
        <f t="shared" si="178"/>
        <v/>
      </c>
    </row>
    <row r="3782" spans="3:12" x14ac:dyDescent="0.2">
      <c r="C3782"/>
      <c r="L3782" s="9" t="str">
        <f t="shared" si="178"/>
        <v/>
      </c>
    </row>
    <row r="3783" spans="3:12" x14ac:dyDescent="0.2">
      <c r="C3783"/>
      <c r="L3783" s="9" t="str">
        <f t="shared" si="178"/>
        <v/>
      </c>
    </row>
    <row r="3784" spans="3:12" x14ac:dyDescent="0.2">
      <c r="C3784"/>
      <c r="L3784" s="9" t="str">
        <f t="shared" si="178"/>
        <v/>
      </c>
    </row>
    <row r="3785" spans="3:12" x14ac:dyDescent="0.2">
      <c r="C3785"/>
      <c r="L3785" s="9" t="str">
        <f t="shared" si="178"/>
        <v/>
      </c>
    </row>
    <row r="3786" spans="3:12" x14ac:dyDescent="0.2">
      <c r="C3786"/>
      <c r="L3786" s="9" t="str">
        <f t="shared" si="178"/>
        <v/>
      </c>
    </row>
    <row r="3787" spans="3:12" x14ac:dyDescent="0.2">
      <c r="C3787"/>
      <c r="L3787" s="9" t="str">
        <f t="shared" si="178"/>
        <v/>
      </c>
    </row>
    <row r="3788" spans="3:12" x14ac:dyDescent="0.2">
      <c r="C3788"/>
      <c r="L3788" s="9" t="str">
        <f t="shared" si="178"/>
        <v/>
      </c>
    </row>
    <row r="3789" spans="3:12" x14ac:dyDescent="0.2">
      <c r="C3789"/>
      <c r="L3789" s="9" t="str">
        <f t="shared" si="178"/>
        <v/>
      </c>
    </row>
    <row r="3790" spans="3:12" x14ac:dyDescent="0.2">
      <c r="C3790"/>
      <c r="L3790" s="9" t="str">
        <f t="shared" si="178"/>
        <v/>
      </c>
    </row>
    <row r="3791" spans="3:12" x14ac:dyDescent="0.2">
      <c r="C3791"/>
      <c r="L3791" s="9" t="str">
        <f t="shared" si="178"/>
        <v/>
      </c>
    </row>
    <row r="3792" spans="3:12" x14ac:dyDescent="0.2">
      <c r="C3792"/>
      <c r="L3792" s="9" t="str">
        <f t="shared" si="178"/>
        <v/>
      </c>
    </row>
    <row r="3793" spans="3:12" x14ac:dyDescent="0.2">
      <c r="C3793"/>
      <c r="L3793" s="9" t="str">
        <f t="shared" si="178"/>
        <v/>
      </c>
    </row>
    <row r="3794" spans="3:12" x14ac:dyDescent="0.2">
      <c r="C3794"/>
      <c r="L3794" s="9" t="str">
        <f t="shared" si="178"/>
        <v/>
      </c>
    </row>
    <row r="3795" spans="3:12" x14ac:dyDescent="0.2">
      <c r="C3795"/>
      <c r="L3795" s="9" t="str">
        <f t="shared" si="178"/>
        <v/>
      </c>
    </row>
    <row r="3796" spans="3:12" x14ac:dyDescent="0.2">
      <c r="C3796"/>
      <c r="L3796" s="9" t="str">
        <f t="shared" si="178"/>
        <v/>
      </c>
    </row>
    <row r="3797" spans="3:12" x14ac:dyDescent="0.2">
      <c r="C3797"/>
      <c r="L3797" s="9" t="str">
        <f t="shared" si="178"/>
        <v/>
      </c>
    </row>
    <row r="3798" spans="3:12" x14ac:dyDescent="0.2">
      <c r="C3798"/>
      <c r="L3798" s="9" t="str">
        <f t="shared" si="178"/>
        <v/>
      </c>
    </row>
    <row r="3799" spans="3:12" x14ac:dyDescent="0.2">
      <c r="C3799"/>
      <c r="L3799" s="9" t="str">
        <f t="shared" si="178"/>
        <v/>
      </c>
    </row>
    <row r="3800" spans="3:12" x14ac:dyDescent="0.2">
      <c r="C3800"/>
      <c r="L3800" s="9" t="str">
        <f t="shared" si="178"/>
        <v/>
      </c>
    </row>
    <row r="3801" spans="3:12" x14ac:dyDescent="0.2">
      <c r="C3801"/>
      <c r="L3801" s="9" t="str">
        <f t="shared" si="178"/>
        <v/>
      </c>
    </row>
    <row r="3802" spans="3:12" x14ac:dyDescent="0.2">
      <c r="C3802"/>
      <c r="L3802" s="9" t="str">
        <f t="shared" si="178"/>
        <v/>
      </c>
    </row>
    <row r="3803" spans="3:12" x14ac:dyDescent="0.2">
      <c r="C3803"/>
      <c r="L3803" s="9" t="str">
        <f t="shared" si="178"/>
        <v/>
      </c>
    </row>
    <row r="3804" spans="3:12" x14ac:dyDescent="0.2">
      <c r="C3804"/>
      <c r="L3804" s="9" t="str">
        <f t="shared" si="178"/>
        <v/>
      </c>
    </row>
    <row r="3805" spans="3:12" x14ac:dyDescent="0.2">
      <c r="C3805"/>
      <c r="L3805" s="9" t="str">
        <f t="shared" si="178"/>
        <v/>
      </c>
    </row>
    <row r="3806" spans="3:12" x14ac:dyDescent="0.2">
      <c r="C3806"/>
      <c r="L3806" s="9" t="str">
        <f t="shared" si="178"/>
        <v/>
      </c>
    </row>
    <row r="3807" spans="3:12" x14ac:dyDescent="0.2">
      <c r="C3807"/>
      <c r="L3807" s="9" t="str">
        <f t="shared" si="178"/>
        <v/>
      </c>
    </row>
    <row r="3808" spans="3:12" x14ac:dyDescent="0.2">
      <c r="C3808"/>
      <c r="L3808" s="9" t="str">
        <f t="shared" si="178"/>
        <v/>
      </c>
    </row>
    <row r="3809" spans="3:12" x14ac:dyDescent="0.2">
      <c r="C3809"/>
      <c r="L3809" s="9" t="str">
        <f t="shared" si="178"/>
        <v/>
      </c>
    </row>
    <row r="3810" spans="3:12" x14ac:dyDescent="0.2">
      <c r="C3810"/>
      <c r="L3810" s="9" t="str">
        <f t="shared" si="178"/>
        <v/>
      </c>
    </row>
    <row r="3811" spans="3:12" x14ac:dyDescent="0.2">
      <c r="C3811"/>
      <c r="L3811" s="9" t="str">
        <f t="shared" si="178"/>
        <v/>
      </c>
    </row>
    <row r="3812" spans="3:12" x14ac:dyDescent="0.2">
      <c r="C3812"/>
      <c r="L3812" s="9" t="str">
        <f t="shared" si="178"/>
        <v/>
      </c>
    </row>
    <row r="3813" spans="3:12" x14ac:dyDescent="0.2">
      <c r="C3813"/>
      <c r="L3813" s="9" t="str">
        <f t="shared" si="178"/>
        <v/>
      </c>
    </row>
    <row r="3814" spans="3:12" x14ac:dyDescent="0.2">
      <c r="C3814"/>
      <c r="L3814" s="9" t="str">
        <f t="shared" si="178"/>
        <v/>
      </c>
    </row>
    <row r="3815" spans="3:12" x14ac:dyDescent="0.2">
      <c r="C3815"/>
      <c r="L3815" s="9" t="str">
        <f t="shared" si="178"/>
        <v/>
      </c>
    </row>
    <row r="3816" spans="3:12" x14ac:dyDescent="0.2">
      <c r="C3816"/>
      <c r="L3816" s="9" t="str">
        <f t="shared" si="178"/>
        <v/>
      </c>
    </row>
    <row r="3817" spans="3:12" x14ac:dyDescent="0.2">
      <c r="C3817"/>
      <c r="L3817" s="9" t="str">
        <f t="shared" si="178"/>
        <v/>
      </c>
    </row>
    <row r="3818" spans="3:12" x14ac:dyDescent="0.2">
      <c r="C3818"/>
      <c r="L3818" s="9" t="str">
        <f t="shared" si="178"/>
        <v/>
      </c>
    </row>
    <row r="3819" spans="3:12" x14ac:dyDescent="0.2">
      <c r="C3819"/>
      <c r="L3819" s="9" t="str">
        <f t="shared" si="178"/>
        <v/>
      </c>
    </row>
    <row r="3820" spans="3:12" x14ac:dyDescent="0.2">
      <c r="C3820"/>
      <c r="L3820" s="9" t="str">
        <f t="shared" si="178"/>
        <v/>
      </c>
    </row>
    <row r="3821" spans="3:12" x14ac:dyDescent="0.2">
      <c r="C3821"/>
      <c r="L3821" s="9" t="str">
        <f t="shared" si="178"/>
        <v/>
      </c>
    </row>
    <row r="3822" spans="3:12" x14ac:dyDescent="0.2">
      <c r="C3822"/>
      <c r="L3822" s="9" t="str">
        <f t="shared" si="178"/>
        <v/>
      </c>
    </row>
    <row r="3823" spans="3:12" x14ac:dyDescent="0.2">
      <c r="C3823"/>
      <c r="L3823" s="9" t="str">
        <f t="shared" si="178"/>
        <v/>
      </c>
    </row>
    <row r="3824" spans="3:12" x14ac:dyDescent="0.2">
      <c r="C3824"/>
      <c r="L3824" s="9" t="str">
        <f t="shared" si="178"/>
        <v/>
      </c>
    </row>
    <row r="3825" spans="3:12" x14ac:dyDescent="0.2">
      <c r="C3825"/>
      <c r="L3825" s="9" t="str">
        <f t="shared" si="178"/>
        <v/>
      </c>
    </row>
    <row r="3826" spans="3:12" x14ac:dyDescent="0.2">
      <c r="C3826"/>
      <c r="L3826" s="9" t="str">
        <f t="shared" si="178"/>
        <v/>
      </c>
    </row>
    <row r="3827" spans="3:12" x14ac:dyDescent="0.2">
      <c r="C3827"/>
      <c r="L3827" s="9" t="str">
        <f t="shared" si="178"/>
        <v/>
      </c>
    </row>
    <row r="3828" spans="3:12" x14ac:dyDescent="0.2">
      <c r="C3828"/>
      <c r="L3828" s="9" t="str">
        <f t="shared" si="178"/>
        <v/>
      </c>
    </row>
    <row r="3829" spans="3:12" x14ac:dyDescent="0.2">
      <c r="C3829"/>
      <c r="L3829" s="9" t="str">
        <f t="shared" si="178"/>
        <v/>
      </c>
    </row>
    <row r="3830" spans="3:12" x14ac:dyDescent="0.2">
      <c r="C3830"/>
      <c r="L3830" s="9" t="str">
        <f t="shared" si="178"/>
        <v/>
      </c>
    </row>
    <row r="3831" spans="3:12" x14ac:dyDescent="0.2">
      <c r="C3831"/>
      <c r="L3831" s="9" t="str">
        <f t="shared" si="178"/>
        <v/>
      </c>
    </row>
    <row r="3832" spans="3:12" x14ac:dyDescent="0.2">
      <c r="C3832"/>
      <c r="L3832" s="9" t="str">
        <f t="shared" si="178"/>
        <v/>
      </c>
    </row>
    <row r="3833" spans="3:12" x14ac:dyDescent="0.2">
      <c r="C3833"/>
      <c r="L3833" s="9" t="str">
        <f t="shared" si="178"/>
        <v/>
      </c>
    </row>
    <row r="3834" spans="3:12" x14ac:dyDescent="0.2">
      <c r="C3834"/>
      <c r="L3834" s="9" t="str">
        <f t="shared" si="178"/>
        <v/>
      </c>
    </row>
    <row r="3835" spans="3:12" x14ac:dyDescent="0.2">
      <c r="C3835"/>
      <c r="L3835" s="9" t="str">
        <f t="shared" si="178"/>
        <v/>
      </c>
    </row>
    <row r="3836" spans="3:12" x14ac:dyDescent="0.2">
      <c r="C3836"/>
      <c r="L3836" s="9" t="str">
        <f t="shared" si="178"/>
        <v/>
      </c>
    </row>
    <row r="3837" spans="3:12" x14ac:dyDescent="0.2">
      <c r="C3837"/>
      <c r="L3837" s="9" t="str">
        <f t="shared" ref="L3837:L3900" si="179">IF(A3837="STOCK",E3837,IF(A3837="SOPTION",G3837,IF(A3837="LOPTION",F3837,"")))</f>
        <v/>
      </c>
    </row>
    <row r="3838" spans="3:12" x14ac:dyDescent="0.2">
      <c r="C3838"/>
      <c r="L3838" s="9" t="str">
        <f t="shared" si="179"/>
        <v/>
      </c>
    </row>
    <row r="3839" spans="3:12" x14ac:dyDescent="0.2">
      <c r="C3839"/>
      <c r="L3839" s="9" t="str">
        <f t="shared" si="179"/>
        <v/>
      </c>
    </row>
    <row r="3840" spans="3:12" x14ac:dyDescent="0.2">
      <c r="C3840"/>
      <c r="L3840" s="9" t="str">
        <f t="shared" si="179"/>
        <v/>
      </c>
    </row>
    <row r="3841" spans="3:12" x14ac:dyDescent="0.2">
      <c r="C3841"/>
      <c r="L3841" s="9" t="str">
        <f t="shared" si="179"/>
        <v/>
      </c>
    </row>
    <row r="3842" spans="3:12" x14ac:dyDescent="0.2">
      <c r="C3842"/>
      <c r="L3842" s="9" t="str">
        <f t="shared" si="179"/>
        <v/>
      </c>
    </row>
    <row r="3843" spans="3:12" x14ac:dyDescent="0.2">
      <c r="C3843"/>
      <c r="L3843" s="9" t="str">
        <f t="shared" si="179"/>
        <v/>
      </c>
    </row>
    <row r="3844" spans="3:12" x14ac:dyDescent="0.2">
      <c r="C3844"/>
      <c r="L3844" s="9" t="str">
        <f t="shared" si="179"/>
        <v/>
      </c>
    </row>
    <row r="3845" spans="3:12" x14ac:dyDescent="0.2">
      <c r="C3845"/>
      <c r="L3845" s="9" t="str">
        <f t="shared" si="179"/>
        <v/>
      </c>
    </row>
    <row r="3846" spans="3:12" x14ac:dyDescent="0.2">
      <c r="C3846"/>
      <c r="L3846" s="9" t="str">
        <f t="shared" si="179"/>
        <v/>
      </c>
    </row>
    <row r="3847" spans="3:12" x14ac:dyDescent="0.2">
      <c r="C3847"/>
      <c r="L3847" s="9" t="str">
        <f t="shared" si="179"/>
        <v/>
      </c>
    </row>
    <row r="3848" spans="3:12" x14ac:dyDescent="0.2">
      <c r="C3848"/>
      <c r="L3848" s="9" t="str">
        <f t="shared" si="179"/>
        <v/>
      </c>
    </row>
    <row r="3849" spans="3:12" x14ac:dyDescent="0.2">
      <c r="C3849"/>
      <c r="L3849" s="9" t="str">
        <f t="shared" si="179"/>
        <v/>
      </c>
    </row>
    <row r="3850" spans="3:12" x14ac:dyDescent="0.2">
      <c r="C3850"/>
      <c r="L3850" s="9" t="str">
        <f t="shared" si="179"/>
        <v/>
      </c>
    </row>
    <row r="3851" spans="3:12" x14ac:dyDescent="0.2">
      <c r="C3851"/>
      <c r="L3851" s="9" t="str">
        <f t="shared" si="179"/>
        <v/>
      </c>
    </row>
    <row r="3852" spans="3:12" x14ac:dyDescent="0.2">
      <c r="C3852"/>
      <c r="L3852" s="9" t="str">
        <f t="shared" si="179"/>
        <v/>
      </c>
    </row>
    <row r="3853" spans="3:12" x14ac:dyDescent="0.2">
      <c r="C3853"/>
      <c r="L3853" s="9" t="str">
        <f t="shared" si="179"/>
        <v/>
      </c>
    </row>
    <row r="3854" spans="3:12" x14ac:dyDescent="0.2">
      <c r="C3854"/>
      <c r="L3854" s="9" t="str">
        <f t="shared" si="179"/>
        <v/>
      </c>
    </row>
    <row r="3855" spans="3:12" x14ac:dyDescent="0.2">
      <c r="C3855"/>
      <c r="L3855" s="9" t="str">
        <f t="shared" si="179"/>
        <v/>
      </c>
    </row>
    <row r="3856" spans="3:12" x14ac:dyDescent="0.2">
      <c r="C3856"/>
      <c r="L3856" s="9" t="str">
        <f t="shared" si="179"/>
        <v/>
      </c>
    </row>
    <row r="3857" spans="3:12" x14ac:dyDescent="0.2">
      <c r="C3857"/>
      <c r="L3857" s="9" t="str">
        <f t="shared" si="179"/>
        <v/>
      </c>
    </row>
    <row r="3858" spans="3:12" x14ac:dyDescent="0.2">
      <c r="C3858"/>
      <c r="L3858" s="9" t="str">
        <f t="shared" si="179"/>
        <v/>
      </c>
    </row>
    <row r="3859" spans="3:12" x14ac:dyDescent="0.2">
      <c r="C3859"/>
      <c r="L3859" s="9" t="str">
        <f t="shared" si="179"/>
        <v/>
      </c>
    </row>
    <row r="3860" spans="3:12" x14ac:dyDescent="0.2">
      <c r="C3860"/>
      <c r="L3860" s="9" t="str">
        <f t="shared" si="179"/>
        <v/>
      </c>
    </row>
    <row r="3861" spans="3:12" x14ac:dyDescent="0.2">
      <c r="C3861"/>
      <c r="L3861" s="9" t="str">
        <f t="shared" si="179"/>
        <v/>
      </c>
    </row>
    <row r="3862" spans="3:12" x14ac:dyDescent="0.2">
      <c r="C3862"/>
      <c r="L3862" s="9" t="str">
        <f t="shared" si="179"/>
        <v/>
      </c>
    </row>
    <row r="3863" spans="3:12" x14ac:dyDescent="0.2">
      <c r="C3863"/>
      <c r="L3863" s="9" t="str">
        <f t="shared" si="179"/>
        <v/>
      </c>
    </row>
    <row r="3864" spans="3:12" x14ac:dyDescent="0.2">
      <c r="C3864"/>
      <c r="L3864" s="9" t="str">
        <f t="shared" si="179"/>
        <v/>
      </c>
    </row>
    <row r="3865" spans="3:12" x14ac:dyDescent="0.2">
      <c r="C3865"/>
      <c r="L3865" s="9" t="str">
        <f t="shared" si="179"/>
        <v/>
      </c>
    </row>
    <row r="3866" spans="3:12" x14ac:dyDescent="0.2">
      <c r="C3866"/>
      <c r="L3866" s="9" t="str">
        <f t="shared" si="179"/>
        <v/>
      </c>
    </row>
    <row r="3867" spans="3:12" x14ac:dyDescent="0.2">
      <c r="C3867"/>
      <c r="L3867" s="9" t="str">
        <f t="shared" si="179"/>
        <v/>
      </c>
    </row>
    <row r="3868" spans="3:12" x14ac:dyDescent="0.2">
      <c r="C3868"/>
      <c r="L3868" s="9" t="str">
        <f t="shared" si="179"/>
        <v/>
      </c>
    </row>
    <row r="3869" spans="3:12" x14ac:dyDescent="0.2">
      <c r="C3869"/>
      <c r="L3869" s="9" t="str">
        <f t="shared" si="179"/>
        <v/>
      </c>
    </row>
    <row r="3870" spans="3:12" x14ac:dyDescent="0.2">
      <c r="C3870"/>
      <c r="L3870" s="9" t="str">
        <f t="shared" si="179"/>
        <v/>
      </c>
    </row>
    <row r="3871" spans="3:12" x14ac:dyDescent="0.2">
      <c r="C3871"/>
      <c r="L3871" s="9" t="str">
        <f t="shared" si="179"/>
        <v/>
      </c>
    </row>
    <row r="3872" spans="3:12" x14ac:dyDescent="0.2">
      <c r="C3872"/>
      <c r="L3872" s="9" t="str">
        <f t="shared" si="179"/>
        <v/>
      </c>
    </row>
    <row r="3873" spans="3:12" x14ac:dyDescent="0.2">
      <c r="C3873"/>
      <c r="L3873" s="9" t="str">
        <f t="shared" si="179"/>
        <v/>
      </c>
    </row>
    <row r="3874" spans="3:12" x14ac:dyDescent="0.2">
      <c r="C3874"/>
      <c r="L3874" s="9" t="str">
        <f t="shared" si="179"/>
        <v/>
      </c>
    </row>
    <row r="3875" spans="3:12" x14ac:dyDescent="0.2">
      <c r="C3875"/>
      <c r="L3875" s="9" t="str">
        <f t="shared" si="179"/>
        <v/>
      </c>
    </row>
    <row r="3876" spans="3:12" x14ac:dyDescent="0.2">
      <c r="C3876"/>
      <c r="L3876" s="9" t="str">
        <f t="shared" si="179"/>
        <v/>
      </c>
    </row>
    <row r="3877" spans="3:12" x14ac:dyDescent="0.2">
      <c r="C3877"/>
      <c r="L3877" s="9" t="str">
        <f t="shared" si="179"/>
        <v/>
      </c>
    </row>
    <row r="3878" spans="3:12" x14ac:dyDescent="0.2">
      <c r="C3878"/>
      <c r="L3878" s="9" t="str">
        <f t="shared" si="179"/>
        <v/>
      </c>
    </row>
    <row r="3879" spans="3:12" x14ac:dyDescent="0.2">
      <c r="C3879"/>
      <c r="L3879" s="9" t="str">
        <f t="shared" si="179"/>
        <v/>
      </c>
    </row>
    <row r="3880" spans="3:12" x14ac:dyDescent="0.2">
      <c r="C3880"/>
      <c r="L3880" s="9" t="str">
        <f t="shared" si="179"/>
        <v/>
      </c>
    </row>
    <row r="3881" spans="3:12" x14ac:dyDescent="0.2">
      <c r="C3881"/>
      <c r="L3881" s="9" t="str">
        <f t="shared" si="179"/>
        <v/>
      </c>
    </row>
    <row r="3882" spans="3:12" x14ac:dyDescent="0.2">
      <c r="C3882"/>
      <c r="L3882" s="9" t="str">
        <f t="shared" si="179"/>
        <v/>
      </c>
    </row>
    <row r="3883" spans="3:12" x14ac:dyDescent="0.2">
      <c r="C3883"/>
      <c r="L3883" s="9" t="str">
        <f t="shared" si="179"/>
        <v/>
      </c>
    </row>
    <row r="3884" spans="3:12" x14ac:dyDescent="0.2">
      <c r="C3884"/>
      <c r="L3884" s="9" t="str">
        <f t="shared" si="179"/>
        <v/>
      </c>
    </row>
    <row r="3885" spans="3:12" x14ac:dyDescent="0.2">
      <c r="C3885"/>
      <c r="L3885" s="9" t="str">
        <f t="shared" si="179"/>
        <v/>
      </c>
    </row>
    <row r="3886" spans="3:12" x14ac:dyDescent="0.2">
      <c r="C3886"/>
      <c r="L3886" s="9" t="str">
        <f t="shared" si="179"/>
        <v/>
      </c>
    </row>
    <row r="3887" spans="3:12" x14ac:dyDescent="0.2">
      <c r="C3887"/>
      <c r="L3887" s="9" t="str">
        <f t="shared" si="179"/>
        <v/>
      </c>
    </row>
    <row r="3888" spans="3:12" x14ac:dyDescent="0.2">
      <c r="C3888"/>
      <c r="L3888" s="9" t="str">
        <f t="shared" si="179"/>
        <v/>
      </c>
    </row>
    <row r="3889" spans="3:12" x14ac:dyDescent="0.2">
      <c r="C3889"/>
      <c r="L3889" s="9" t="str">
        <f t="shared" si="179"/>
        <v/>
      </c>
    </row>
    <row r="3890" spans="3:12" x14ac:dyDescent="0.2">
      <c r="C3890"/>
      <c r="L3890" s="9" t="str">
        <f t="shared" si="179"/>
        <v/>
      </c>
    </row>
    <row r="3891" spans="3:12" x14ac:dyDescent="0.2">
      <c r="C3891"/>
      <c r="L3891" s="9" t="str">
        <f t="shared" si="179"/>
        <v/>
      </c>
    </row>
    <row r="3892" spans="3:12" x14ac:dyDescent="0.2">
      <c r="C3892"/>
      <c r="L3892" s="9" t="str">
        <f t="shared" si="179"/>
        <v/>
      </c>
    </row>
    <row r="3893" spans="3:12" x14ac:dyDescent="0.2">
      <c r="C3893"/>
      <c r="L3893" s="9" t="str">
        <f t="shared" si="179"/>
        <v/>
      </c>
    </row>
    <row r="3894" spans="3:12" x14ac:dyDescent="0.2">
      <c r="C3894"/>
      <c r="L3894" s="9" t="str">
        <f t="shared" si="179"/>
        <v/>
      </c>
    </row>
    <row r="3895" spans="3:12" x14ac:dyDescent="0.2">
      <c r="C3895"/>
      <c r="L3895" s="9" t="str">
        <f t="shared" si="179"/>
        <v/>
      </c>
    </row>
    <row r="3896" spans="3:12" x14ac:dyDescent="0.2">
      <c r="C3896"/>
      <c r="L3896" s="9" t="str">
        <f t="shared" si="179"/>
        <v/>
      </c>
    </row>
    <row r="3897" spans="3:12" x14ac:dyDescent="0.2">
      <c r="C3897"/>
      <c r="L3897" s="9" t="str">
        <f t="shared" si="179"/>
        <v/>
      </c>
    </row>
    <row r="3898" spans="3:12" x14ac:dyDescent="0.2">
      <c r="C3898"/>
      <c r="L3898" s="9" t="str">
        <f t="shared" si="179"/>
        <v/>
      </c>
    </row>
    <row r="3899" spans="3:12" x14ac:dyDescent="0.2">
      <c r="C3899"/>
      <c r="L3899" s="9" t="str">
        <f t="shared" si="179"/>
        <v/>
      </c>
    </row>
    <row r="3900" spans="3:12" x14ac:dyDescent="0.2">
      <c r="C3900"/>
      <c r="L3900" s="9" t="str">
        <f t="shared" si="179"/>
        <v/>
      </c>
    </row>
    <row r="3901" spans="3:12" x14ac:dyDescent="0.2">
      <c r="C3901"/>
      <c r="L3901" s="9" t="str">
        <f t="shared" ref="L3901:L3964" si="180">IF(A3901="STOCK",E3901,IF(A3901="SOPTION",G3901,IF(A3901="LOPTION",F3901,"")))</f>
        <v/>
      </c>
    </row>
    <row r="3902" spans="3:12" x14ac:dyDescent="0.2">
      <c r="C3902"/>
      <c r="L3902" s="9" t="str">
        <f t="shared" si="180"/>
        <v/>
      </c>
    </row>
    <row r="3903" spans="3:12" x14ac:dyDescent="0.2">
      <c r="C3903"/>
      <c r="L3903" s="9" t="str">
        <f t="shared" si="180"/>
        <v/>
      </c>
    </row>
    <row r="3904" spans="3:12" x14ac:dyDescent="0.2">
      <c r="C3904"/>
      <c r="L3904" s="9" t="str">
        <f t="shared" si="180"/>
        <v/>
      </c>
    </row>
    <row r="3905" spans="3:12" x14ac:dyDescent="0.2">
      <c r="C3905"/>
      <c r="L3905" s="9" t="str">
        <f t="shared" si="180"/>
        <v/>
      </c>
    </row>
    <row r="3906" spans="3:12" x14ac:dyDescent="0.2">
      <c r="C3906"/>
      <c r="L3906" s="9" t="str">
        <f t="shared" si="180"/>
        <v/>
      </c>
    </row>
    <row r="3907" spans="3:12" x14ac:dyDescent="0.2">
      <c r="C3907"/>
      <c r="L3907" s="9" t="str">
        <f t="shared" si="180"/>
        <v/>
      </c>
    </row>
    <row r="3908" spans="3:12" x14ac:dyDescent="0.2">
      <c r="C3908"/>
      <c r="L3908" s="9" t="str">
        <f t="shared" si="180"/>
        <v/>
      </c>
    </row>
    <row r="3909" spans="3:12" x14ac:dyDescent="0.2">
      <c r="C3909"/>
      <c r="L3909" s="9" t="str">
        <f t="shared" si="180"/>
        <v/>
      </c>
    </row>
    <row r="3910" spans="3:12" x14ac:dyDescent="0.2">
      <c r="C3910"/>
      <c r="L3910" s="9" t="str">
        <f t="shared" si="180"/>
        <v/>
      </c>
    </row>
    <row r="3911" spans="3:12" x14ac:dyDescent="0.2">
      <c r="C3911"/>
      <c r="L3911" s="9" t="str">
        <f t="shared" si="180"/>
        <v/>
      </c>
    </row>
    <row r="3912" spans="3:12" x14ac:dyDescent="0.2">
      <c r="C3912"/>
      <c r="L3912" s="9" t="str">
        <f t="shared" si="180"/>
        <v/>
      </c>
    </row>
    <row r="3913" spans="3:12" x14ac:dyDescent="0.2">
      <c r="C3913"/>
      <c r="L3913" s="9" t="str">
        <f t="shared" si="180"/>
        <v/>
      </c>
    </row>
    <row r="3914" spans="3:12" x14ac:dyDescent="0.2">
      <c r="C3914"/>
      <c r="L3914" s="9" t="str">
        <f t="shared" si="180"/>
        <v/>
      </c>
    </row>
    <row r="3915" spans="3:12" x14ac:dyDescent="0.2">
      <c r="C3915"/>
      <c r="L3915" s="9" t="str">
        <f t="shared" si="180"/>
        <v/>
      </c>
    </row>
    <row r="3916" spans="3:12" x14ac:dyDescent="0.2">
      <c r="C3916"/>
      <c r="L3916" s="9" t="str">
        <f t="shared" si="180"/>
        <v/>
      </c>
    </row>
    <row r="3917" spans="3:12" x14ac:dyDescent="0.2">
      <c r="C3917"/>
      <c r="L3917" s="9" t="str">
        <f t="shared" si="180"/>
        <v/>
      </c>
    </row>
    <row r="3918" spans="3:12" x14ac:dyDescent="0.2">
      <c r="C3918"/>
      <c r="L3918" s="9" t="str">
        <f t="shared" si="180"/>
        <v/>
      </c>
    </row>
    <row r="3919" spans="3:12" x14ac:dyDescent="0.2">
      <c r="C3919"/>
      <c r="L3919" s="9" t="str">
        <f t="shared" si="180"/>
        <v/>
      </c>
    </row>
    <row r="3920" spans="3:12" x14ac:dyDescent="0.2">
      <c r="C3920"/>
      <c r="L3920" s="9" t="str">
        <f t="shared" si="180"/>
        <v/>
      </c>
    </row>
    <row r="3921" spans="3:12" x14ac:dyDescent="0.2">
      <c r="C3921"/>
      <c r="L3921" s="9" t="str">
        <f t="shared" si="180"/>
        <v/>
      </c>
    </row>
    <row r="3922" spans="3:12" x14ac:dyDescent="0.2">
      <c r="C3922"/>
      <c r="L3922" s="9" t="str">
        <f t="shared" si="180"/>
        <v/>
      </c>
    </row>
    <row r="3923" spans="3:12" x14ac:dyDescent="0.2">
      <c r="C3923"/>
      <c r="L3923" s="9" t="str">
        <f t="shared" si="180"/>
        <v/>
      </c>
    </row>
    <row r="3924" spans="3:12" x14ac:dyDescent="0.2">
      <c r="C3924"/>
      <c r="L3924" s="9" t="str">
        <f t="shared" si="180"/>
        <v/>
      </c>
    </row>
    <row r="3925" spans="3:12" x14ac:dyDescent="0.2">
      <c r="C3925"/>
      <c r="L3925" s="9" t="str">
        <f t="shared" si="180"/>
        <v/>
      </c>
    </row>
    <row r="3926" spans="3:12" x14ac:dyDescent="0.2">
      <c r="C3926"/>
      <c r="L3926" s="9" t="str">
        <f t="shared" si="180"/>
        <v/>
      </c>
    </row>
    <row r="3927" spans="3:12" x14ac:dyDescent="0.2">
      <c r="C3927"/>
      <c r="L3927" s="9" t="str">
        <f t="shared" si="180"/>
        <v/>
      </c>
    </row>
    <row r="3928" spans="3:12" x14ac:dyDescent="0.2">
      <c r="C3928"/>
      <c r="L3928" s="9" t="str">
        <f t="shared" si="180"/>
        <v/>
      </c>
    </row>
    <row r="3929" spans="3:12" x14ac:dyDescent="0.2">
      <c r="C3929"/>
      <c r="L3929" s="9" t="str">
        <f t="shared" si="180"/>
        <v/>
      </c>
    </row>
    <row r="3930" spans="3:12" x14ac:dyDescent="0.2">
      <c r="C3930"/>
      <c r="L3930" s="9" t="str">
        <f t="shared" si="180"/>
        <v/>
      </c>
    </row>
    <row r="3931" spans="3:12" x14ac:dyDescent="0.2">
      <c r="C3931"/>
      <c r="L3931" s="9" t="str">
        <f t="shared" si="180"/>
        <v/>
      </c>
    </row>
    <row r="3932" spans="3:12" x14ac:dyDescent="0.2">
      <c r="C3932"/>
      <c r="L3932" s="9" t="str">
        <f t="shared" si="180"/>
        <v/>
      </c>
    </row>
    <row r="3933" spans="3:12" x14ac:dyDescent="0.2">
      <c r="C3933"/>
      <c r="L3933" s="9" t="str">
        <f t="shared" si="180"/>
        <v/>
      </c>
    </row>
    <row r="3934" spans="3:12" x14ac:dyDescent="0.2">
      <c r="C3934"/>
      <c r="L3934" s="9" t="str">
        <f t="shared" si="180"/>
        <v/>
      </c>
    </row>
    <row r="3935" spans="3:12" x14ac:dyDescent="0.2">
      <c r="C3935"/>
      <c r="L3935" s="9" t="str">
        <f t="shared" si="180"/>
        <v/>
      </c>
    </row>
    <row r="3936" spans="3:12" x14ac:dyDescent="0.2">
      <c r="C3936"/>
      <c r="L3936" s="9" t="str">
        <f t="shared" si="180"/>
        <v/>
      </c>
    </row>
    <row r="3937" spans="3:12" x14ac:dyDescent="0.2">
      <c r="C3937"/>
      <c r="L3937" s="9" t="str">
        <f t="shared" si="180"/>
        <v/>
      </c>
    </row>
    <row r="3938" spans="3:12" x14ac:dyDescent="0.2">
      <c r="C3938"/>
      <c r="L3938" s="9" t="str">
        <f t="shared" si="180"/>
        <v/>
      </c>
    </row>
    <row r="3939" spans="3:12" x14ac:dyDescent="0.2">
      <c r="C3939"/>
      <c r="L3939" s="9" t="str">
        <f t="shared" si="180"/>
        <v/>
      </c>
    </row>
    <row r="3940" spans="3:12" x14ac:dyDescent="0.2">
      <c r="C3940"/>
      <c r="L3940" s="9" t="str">
        <f t="shared" si="180"/>
        <v/>
      </c>
    </row>
    <row r="3941" spans="3:12" x14ac:dyDescent="0.2">
      <c r="C3941"/>
      <c r="L3941" s="9" t="str">
        <f t="shared" si="180"/>
        <v/>
      </c>
    </row>
    <row r="3942" spans="3:12" x14ac:dyDescent="0.2">
      <c r="C3942"/>
      <c r="L3942" s="9" t="str">
        <f t="shared" si="180"/>
        <v/>
      </c>
    </row>
    <row r="3943" spans="3:12" x14ac:dyDescent="0.2">
      <c r="C3943"/>
      <c r="L3943" s="9" t="str">
        <f t="shared" si="180"/>
        <v/>
      </c>
    </row>
    <row r="3944" spans="3:12" x14ac:dyDescent="0.2">
      <c r="C3944"/>
      <c r="L3944" s="9" t="str">
        <f t="shared" si="180"/>
        <v/>
      </c>
    </row>
    <row r="3945" spans="3:12" x14ac:dyDescent="0.2">
      <c r="C3945"/>
      <c r="L3945" s="9" t="str">
        <f t="shared" si="180"/>
        <v/>
      </c>
    </row>
    <row r="3946" spans="3:12" x14ac:dyDescent="0.2">
      <c r="C3946"/>
      <c r="L3946" s="9" t="str">
        <f t="shared" si="180"/>
        <v/>
      </c>
    </row>
    <row r="3947" spans="3:12" x14ac:dyDescent="0.2">
      <c r="C3947"/>
      <c r="L3947" s="9" t="str">
        <f t="shared" si="180"/>
        <v/>
      </c>
    </row>
    <row r="3948" spans="3:12" x14ac:dyDescent="0.2">
      <c r="C3948"/>
      <c r="L3948" s="9" t="str">
        <f t="shared" si="180"/>
        <v/>
      </c>
    </row>
    <row r="3949" spans="3:12" x14ac:dyDescent="0.2">
      <c r="C3949"/>
      <c r="L3949" s="9" t="str">
        <f t="shared" si="180"/>
        <v/>
      </c>
    </row>
    <row r="3950" spans="3:12" x14ac:dyDescent="0.2">
      <c r="C3950"/>
      <c r="L3950" s="9" t="str">
        <f t="shared" si="180"/>
        <v/>
      </c>
    </row>
    <row r="3951" spans="3:12" x14ac:dyDescent="0.2">
      <c r="C3951"/>
      <c r="L3951" s="9" t="str">
        <f t="shared" si="180"/>
        <v/>
      </c>
    </row>
    <row r="3952" spans="3:12" x14ac:dyDescent="0.2">
      <c r="C3952"/>
      <c r="L3952" s="9" t="str">
        <f t="shared" si="180"/>
        <v/>
      </c>
    </row>
    <row r="3953" spans="3:12" x14ac:dyDescent="0.2">
      <c r="C3953"/>
      <c r="L3953" s="9" t="str">
        <f t="shared" si="180"/>
        <v/>
      </c>
    </row>
    <row r="3954" spans="3:12" x14ac:dyDescent="0.2">
      <c r="C3954"/>
      <c r="L3954" s="9" t="str">
        <f t="shared" si="180"/>
        <v/>
      </c>
    </row>
    <row r="3955" spans="3:12" x14ac:dyDescent="0.2">
      <c r="C3955"/>
      <c r="L3955" s="9" t="str">
        <f t="shared" si="180"/>
        <v/>
      </c>
    </row>
    <row r="3956" spans="3:12" x14ac:dyDescent="0.2">
      <c r="C3956"/>
      <c r="L3956" s="9" t="str">
        <f t="shared" si="180"/>
        <v/>
      </c>
    </row>
    <row r="3957" spans="3:12" x14ac:dyDescent="0.2">
      <c r="C3957"/>
      <c r="L3957" s="9" t="str">
        <f t="shared" si="180"/>
        <v/>
      </c>
    </row>
    <row r="3958" spans="3:12" x14ac:dyDescent="0.2">
      <c r="C3958"/>
      <c r="L3958" s="9" t="str">
        <f t="shared" si="180"/>
        <v/>
      </c>
    </row>
    <row r="3959" spans="3:12" x14ac:dyDescent="0.2">
      <c r="C3959"/>
      <c r="L3959" s="9" t="str">
        <f t="shared" si="180"/>
        <v/>
      </c>
    </row>
    <row r="3960" spans="3:12" x14ac:dyDescent="0.2">
      <c r="C3960"/>
      <c r="L3960" s="9" t="str">
        <f t="shared" si="180"/>
        <v/>
      </c>
    </row>
    <row r="3961" spans="3:12" x14ac:dyDescent="0.2">
      <c r="C3961"/>
      <c r="L3961" s="9" t="str">
        <f t="shared" si="180"/>
        <v/>
      </c>
    </row>
    <row r="3962" spans="3:12" x14ac:dyDescent="0.2">
      <c r="C3962"/>
      <c r="L3962" s="9" t="str">
        <f t="shared" si="180"/>
        <v/>
      </c>
    </row>
    <row r="3963" spans="3:12" x14ac:dyDescent="0.2">
      <c r="C3963"/>
      <c r="L3963" s="9" t="str">
        <f t="shared" si="180"/>
        <v/>
      </c>
    </row>
    <row r="3964" spans="3:12" x14ac:dyDescent="0.2">
      <c r="C3964"/>
      <c r="L3964" s="9" t="str">
        <f t="shared" si="180"/>
        <v/>
      </c>
    </row>
    <row r="3965" spans="3:12" x14ac:dyDescent="0.2">
      <c r="C3965"/>
      <c r="L3965" s="9" t="str">
        <f t="shared" ref="L3965:L4028" si="181">IF(A3965="STOCK",E3965,IF(A3965="SOPTION",G3965,IF(A3965="LOPTION",F3965,"")))</f>
        <v/>
      </c>
    </row>
    <row r="3966" spans="3:12" x14ac:dyDescent="0.2">
      <c r="C3966"/>
      <c r="L3966" s="9" t="str">
        <f t="shared" si="181"/>
        <v/>
      </c>
    </row>
    <row r="3967" spans="3:12" x14ac:dyDescent="0.2">
      <c r="C3967"/>
      <c r="L3967" s="9" t="str">
        <f t="shared" si="181"/>
        <v/>
      </c>
    </row>
    <row r="3968" spans="3:12" x14ac:dyDescent="0.2">
      <c r="C3968"/>
      <c r="L3968" s="9" t="str">
        <f t="shared" si="181"/>
        <v/>
      </c>
    </row>
    <row r="3969" spans="3:12" x14ac:dyDescent="0.2">
      <c r="C3969"/>
      <c r="L3969" s="9" t="str">
        <f t="shared" si="181"/>
        <v/>
      </c>
    </row>
    <row r="3970" spans="3:12" x14ac:dyDescent="0.2">
      <c r="C3970"/>
      <c r="L3970" s="9" t="str">
        <f t="shared" si="181"/>
        <v/>
      </c>
    </row>
    <row r="3971" spans="3:12" x14ac:dyDescent="0.2">
      <c r="C3971"/>
      <c r="L3971" s="9" t="str">
        <f t="shared" si="181"/>
        <v/>
      </c>
    </row>
    <row r="3972" spans="3:12" x14ac:dyDescent="0.2">
      <c r="C3972"/>
      <c r="L3972" s="9" t="str">
        <f t="shared" si="181"/>
        <v/>
      </c>
    </row>
    <row r="3973" spans="3:12" x14ac:dyDescent="0.2">
      <c r="C3973"/>
      <c r="L3973" s="9" t="str">
        <f t="shared" si="181"/>
        <v/>
      </c>
    </row>
    <row r="3974" spans="3:12" x14ac:dyDescent="0.2">
      <c r="C3974"/>
      <c r="L3974" s="9" t="str">
        <f t="shared" si="181"/>
        <v/>
      </c>
    </row>
    <row r="3975" spans="3:12" x14ac:dyDescent="0.2">
      <c r="C3975"/>
      <c r="L3975" s="9" t="str">
        <f t="shared" si="181"/>
        <v/>
      </c>
    </row>
    <row r="3976" spans="3:12" x14ac:dyDescent="0.2">
      <c r="C3976"/>
      <c r="L3976" s="9" t="str">
        <f t="shared" si="181"/>
        <v/>
      </c>
    </row>
    <row r="3977" spans="3:12" x14ac:dyDescent="0.2">
      <c r="C3977"/>
      <c r="L3977" s="9" t="str">
        <f t="shared" si="181"/>
        <v/>
      </c>
    </row>
    <row r="3978" spans="3:12" x14ac:dyDescent="0.2">
      <c r="C3978"/>
      <c r="L3978" s="9" t="str">
        <f t="shared" si="181"/>
        <v/>
      </c>
    </row>
    <row r="3979" spans="3:12" x14ac:dyDescent="0.2">
      <c r="C3979"/>
      <c r="L3979" s="9" t="str">
        <f t="shared" si="181"/>
        <v/>
      </c>
    </row>
    <row r="3980" spans="3:12" x14ac:dyDescent="0.2">
      <c r="C3980"/>
      <c r="L3980" s="9" t="str">
        <f t="shared" si="181"/>
        <v/>
      </c>
    </row>
    <row r="3981" spans="3:12" x14ac:dyDescent="0.2">
      <c r="C3981"/>
      <c r="L3981" s="9" t="str">
        <f t="shared" si="181"/>
        <v/>
      </c>
    </row>
    <row r="3982" spans="3:12" x14ac:dyDescent="0.2">
      <c r="C3982"/>
      <c r="L3982" s="9" t="str">
        <f t="shared" si="181"/>
        <v/>
      </c>
    </row>
    <row r="3983" spans="3:12" x14ac:dyDescent="0.2">
      <c r="C3983"/>
      <c r="L3983" s="9" t="str">
        <f t="shared" si="181"/>
        <v/>
      </c>
    </row>
    <row r="3984" spans="3:12" x14ac:dyDescent="0.2">
      <c r="C3984"/>
      <c r="L3984" s="9" t="str">
        <f t="shared" si="181"/>
        <v/>
      </c>
    </row>
    <row r="3985" spans="3:12" x14ac:dyDescent="0.2">
      <c r="C3985"/>
      <c r="L3985" s="9" t="str">
        <f t="shared" si="181"/>
        <v/>
      </c>
    </row>
    <row r="3986" spans="3:12" x14ac:dyDescent="0.2">
      <c r="C3986"/>
      <c r="L3986" s="9" t="str">
        <f t="shared" si="181"/>
        <v/>
      </c>
    </row>
    <row r="3987" spans="3:12" x14ac:dyDescent="0.2">
      <c r="C3987"/>
      <c r="L3987" s="9" t="str">
        <f t="shared" si="181"/>
        <v/>
      </c>
    </row>
    <row r="3988" spans="3:12" x14ac:dyDescent="0.2">
      <c r="C3988"/>
      <c r="L3988" s="9" t="str">
        <f t="shared" si="181"/>
        <v/>
      </c>
    </row>
    <row r="3989" spans="3:12" x14ac:dyDescent="0.2">
      <c r="C3989"/>
      <c r="L3989" s="9" t="str">
        <f t="shared" si="181"/>
        <v/>
      </c>
    </row>
    <row r="3990" spans="3:12" x14ac:dyDescent="0.2">
      <c r="C3990"/>
      <c r="L3990" s="9" t="str">
        <f t="shared" si="181"/>
        <v/>
      </c>
    </row>
    <row r="3991" spans="3:12" x14ac:dyDescent="0.2">
      <c r="C3991"/>
      <c r="L3991" s="9" t="str">
        <f t="shared" si="181"/>
        <v/>
      </c>
    </row>
    <row r="3992" spans="3:12" x14ac:dyDescent="0.2">
      <c r="C3992"/>
      <c r="L3992" s="9" t="str">
        <f t="shared" si="181"/>
        <v/>
      </c>
    </row>
    <row r="3993" spans="3:12" x14ac:dyDescent="0.2">
      <c r="C3993"/>
      <c r="L3993" s="9" t="str">
        <f t="shared" si="181"/>
        <v/>
      </c>
    </row>
    <row r="3994" spans="3:12" x14ac:dyDescent="0.2">
      <c r="C3994"/>
      <c r="L3994" s="9" t="str">
        <f t="shared" si="181"/>
        <v/>
      </c>
    </row>
    <row r="3995" spans="3:12" x14ac:dyDescent="0.2">
      <c r="C3995"/>
      <c r="L3995" s="9" t="str">
        <f t="shared" si="181"/>
        <v/>
      </c>
    </row>
    <row r="3996" spans="3:12" x14ac:dyDescent="0.2">
      <c r="C3996"/>
      <c r="L3996" s="9" t="str">
        <f t="shared" si="181"/>
        <v/>
      </c>
    </row>
    <row r="3997" spans="3:12" x14ac:dyDescent="0.2">
      <c r="C3997"/>
      <c r="L3997" s="9" t="str">
        <f t="shared" si="181"/>
        <v/>
      </c>
    </row>
    <row r="3998" spans="3:12" x14ac:dyDescent="0.2">
      <c r="C3998"/>
      <c r="L3998" s="9" t="str">
        <f t="shared" si="181"/>
        <v/>
      </c>
    </row>
    <row r="3999" spans="3:12" x14ac:dyDescent="0.2">
      <c r="C3999"/>
      <c r="L3999" s="9" t="str">
        <f t="shared" si="181"/>
        <v/>
      </c>
    </row>
    <row r="4000" spans="3:12" x14ac:dyDescent="0.2">
      <c r="C4000"/>
      <c r="L4000" s="9" t="str">
        <f t="shared" si="181"/>
        <v/>
      </c>
    </row>
    <row r="4001" spans="3:12" x14ac:dyDescent="0.2">
      <c r="C4001"/>
      <c r="L4001" s="9" t="str">
        <f t="shared" si="181"/>
        <v/>
      </c>
    </row>
    <row r="4002" spans="3:12" x14ac:dyDescent="0.2">
      <c r="C4002"/>
      <c r="L4002" s="9" t="str">
        <f t="shared" si="181"/>
        <v/>
      </c>
    </row>
    <row r="4003" spans="3:12" x14ac:dyDescent="0.2">
      <c r="C4003"/>
      <c r="L4003" s="9" t="str">
        <f t="shared" si="181"/>
        <v/>
      </c>
    </row>
    <row r="4004" spans="3:12" x14ac:dyDescent="0.2">
      <c r="C4004"/>
      <c r="L4004" s="9" t="str">
        <f t="shared" si="181"/>
        <v/>
      </c>
    </row>
    <row r="4005" spans="3:12" x14ac:dyDescent="0.2">
      <c r="C4005"/>
      <c r="L4005" s="9" t="str">
        <f t="shared" si="181"/>
        <v/>
      </c>
    </row>
    <row r="4006" spans="3:12" x14ac:dyDescent="0.2">
      <c r="C4006"/>
      <c r="L4006" s="9" t="str">
        <f t="shared" si="181"/>
        <v/>
      </c>
    </row>
    <row r="4007" spans="3:12" x14ac:dyDescent="0.2">
      <c r="C4007"/>
      <c r="L4007" s="9" t="str">
        <f t="shared" si="181"/>
        <v/>
      </c>
    </row>
    <row r="4008" spans="3:12" x14ac:dyDescent="0.2">
      <c r="C4008"/>
      <c r="L4008" s="9" t="str">
        <f t="shared" si="181"/>
        <v/>
      </c>
    </row>
    <row r="4009" spans="3:12" x14ac:dyDescent="0.2">
      <c r="C4009"/>
      <c r="L4009" s="9" t="str">
        <f t="shared" si="181"/>
        <v/>
      </c>
    </row>
    <row r="4010" spans="3:12" x14ac:dyDescent="0.2">
      <c r="C4010"/>
      <c r="L4010" s="9" t="str">
        <f t="shared" si="181"/>
        <v/>
      </c>
    </row>
    <row r="4011" spans="3:12" x14ac:dyDescent="0.2">
      <c r="C4011"/>
      <c r="L4011" s="9" t="str">
        <f t="shared" si="181"/>
        <v/>
      </c>
    </row>
    <row r="4012" spans="3:12" x14ac:dyDescent="0.2">
      <c r="C4012"/>
      <c r="L4012" s="9" t="str">
        <f t="shared" si="181"/>
        <v/>
      </c>
    </row>
    <row r="4013" spans="3:12" x14ac:dyDescent="0.2">
      <c r="C4013"/>
      <c r="L4013" s="9" t="str">
        <f t="shared" si="181"/>
        <v/>
      </c>
    </row>
    <row r="4014" spans="3:12" x14ac:dyDescent="0.2">
      <c r="C4014"/>
      <c r="L4014" s="9" t="str">
        <f t="shared" si="181"/>
        <v/>
      </c>
    </row>
    <row r="4015" spans="3:12" x14ac:dyDescent="0.2">
      <c r="C4015"/>
      <c r="L4015" s="9" t="str">
        <f t="shared" si="181"/>
        <v/>
      </c>
    </row>
    <row r="4016" spans="3:12" x14ac:dyDescent="0.2">
      <c r="C4016"/>
      <c r="L4016" s="9" t="str">
        <f t="shared" si="181"/>
        <v/>
      </c>
    </row>
    <row r="4017" spans="3:12" x14ac:dyDescent="0.2">
      <c r="C4017"/>
      <c r="L4017" s="9" t="str">
        <f t="shared" si="181"/>
        <v/>
      </c>
    </row>
    <row r="4018" spans="3:12" x14ac:dyDescent="0.2">
      <c r="C4018"/>
      <c r="L4018" s="9" t="str">
        <f t="shared" si="181"/>
        <v/>
      </c>
    </row>
    <row r="4019" spans="3:12" x14ac:dyDescent="0.2">
      <c r="C4019"/>
      <c r="L4019" s="9" t="str">
        <f t="shared" si="181"/>
        <v/>
      </c>
    </row>
    <row r="4020" spans="3:12" x14ac:dyDescent="0.2">
      <c r="C4020"/>
      <c r="L4020" s="9" t="str">
        <f t="shared" si="181"/>
        <v/>
      </c>
    </row>
    <row r="4021" spans="3:12" x14ac:dyDescent="0.2">
      <c r="C4021"/>
      <c r="L4021" s="9" t="str">
        <f t="shared" si="181"/>
        <v/>
      </c>
    </row>
    <row r="4022" spans="3:12" x14ac:dyDescent="0.2">
      <c r="C4022"/>
      <c r="L4022" s="9" t="str">
        <f t="shared" si="181"/>
        <v/>
      </c>
    </row>
    <row r="4023" spans="3:12" x14ac:dyDescent="0.2">
      <c r="C4023"/>
      <c r="L4023" s="9" t="str">
        <f t="shared" si="181"/>
        <v/>
      </c>
    </row>
    <row r="4024" spans="3:12" x14ac:dyDescent="0.2">
      <c r="C4024"/>
      <c r="L4024" s="9" t="str">
        <f t="shared" si="181"/>
        <v/>
      </c>
    </row>
    <row r="4025" spans="3:12" x14ac:dyDescent="0.2">
      <c r="C4025"/>
      <c r="L4025" s="9" t="str">
        <f t="shared" si="181"/>
        <v/>
      </c>
    </row>
    <row r="4026" spans="3:12" x14ac:dyDescent="0.2">
      <c r="C4026"/>
      <c r="L4026" s="9" t="str">
        <f t="shared" si="181"/>
        <v/>
      </c>
    </row>
    <row r="4027" spans="3:12" x14ac:dyDescent="0.2">
      <c r="C4027"/>
      <c r="L4027" s="9" t="str">
        <f t="shared" si="181"/>
        <v/>
      </c>
    </row>
    <row r="4028" spans="3:12" x14ac:dyDescent="0.2">
      <c r="C4028"/>
      <c r="L4028" s="9" t="str">
        <f t="shared" si="181"/>
        <v/>
      </c>
    </row>
    <row r="4029" spans="3:12" x14ac:dyDescent="0.2">
      <c r="C4029"/>
      <c r="L4029" s="9" t="str">
        <f t="shared" ref="L4029:L4092" si="182">IF(A4029="STOCK",E4029,IF(A4029="SOPTION",G4029,IF(A4029="LOPTION",F4029,"")))</f>
        <v/>
      </c>
    </row>
    <row r="4030" spans="3:12" x14ac:dyDescent="0.2">
      <c r="C4030"/>
      <c r="L4030" s="9" t="str">
        <f t="shared" si="182"/>
        <v/>
      </c>
    </row>
    <row r="4031" spans="3:12" x14ac:dyDescent="0.2">
      <c r="C4031"/>
      <c r="L4031" s="9" t="str">
        <f t="shared" si="182"/>
        <v/>
      </c>
    </row>
    <row r="4032" spans="3:12" x14ac:dyDescent="0.2">
      <c r="C4032"/>
      <c r="L4032" s="9" t="str">
        <f t="shared" si="182"/>
        <v/>
      </c>
    </row>
    <row r="4033" spans="3:12" x14ac:dyDescent="0.2">
      <c r="C4033"/>
      <c r="L4033" s="9" t="str">
        <f t="shared" si="182"/>
        <v/>
      </c>
    </row>
    <row r="4034" spans="3:12" x14ac:dyDescent="0.2">
      <c r="C4034"/>
      <c r="L4034" s="9" t="str">
        <f t="shared" si="182"/>
        <v/>
      </c>
    </row>
    <row r="4035" spans="3:12" x14ac:dyDescent="0.2">
      <c r="C4035"/>
      <c r="L4035" s="9" t="str">
        <f t="shared" si="182"/>
        <v/>
      </c>
    </row>
    <row r="4036" spans="3:12" x14ac:dyDescent="0.2">
      <c r="C4036"/>
      <c r="L4036" s="9" t="str">
        <f t="shared" si="182"/>
        <v/>
      </c>
    </row>
    <row r="4037" spans="3:12" x14ac:dyDescent="0.2">
      <c r="C4037"/>
      <c r="L4037" s="9" t="str">
        <f t="shared" si="182"/>
        <v/>
      </c>
    </row>
    <row r="4038" spans="3:12" x14ac:dyDescent="0.2">
      <c r="C4038"/>
      <c r="L4038" s="9" t="str">
        <f t="shared" si="182"/>
        <v/>
      </c>
    </row>
    <row r="4039" spans="3:12" x14ac:dyDescent="0.2">
      <c r="C4039"/>
      <c r="L4039" s="9" t="str">
        <f t="shared" si="182"/>
        <v/>
      </c>
    </row>
    <row r="4040" spans="3:12" x14ac:dyDescent="0.2">
      <c r="C4040"/>
      <c r="L4040" s="9" t="str">
        <f t="shared" si="182"/>
        <v/>
      </c>
    </row>
    <row r="4041" spans="3:12" x14ac:dyDescent="0.2">
      <c r="C4041"/>
      <c r="L4041" s="9" t="str">
        <f t="shared" si="182"/>
        <v/>
      </c>
    </row>
    <row r="4042" spans="3:12" x14ac:dyDescent="0.2">
      <c r="C4042"/>
      <c r="L4042" s="9" t="str">
        <f t="shared" si="182"/>
        <v/>
      </c>
    </row>
    <row r="4043" spans="3:12" x14ac:dyDescent="0.2">
      <c r="C4043"/>
      <c r="L4043" s="9" t="str">
        <f t="shared" si="182"/>
        <v/>
      </c>
    </row>
    <row r="4044" spans="3:12" x14ac:dyDescent="0.2">
      <c r="C4044"/>
      <c r="L4044" s="9" t="str">
        <f t="shared" si="182"/>
        <v/>
      </c>
    </row>
    <row r="4045" spans="3:12" x14ac:dyDescent="0.2">
      <c r="C4045"/>
      <c r="L4045" s="9" t="str">
        <f t="shared" si="182"/>
        <v/>
      </c>
    </row>
    <row r="4046" spans="3:12" x14ac:dyDescent="0.2">
      <c r="C4046"/>
      <c r="L4046" s="9" t="str">
        <f t="shared" si="182"/>
        <v/>
      </c>
    </row>
    <row r="4047" spans="3:12" x14ac:dyDescent="0.2">
      <c r="C4047"/>
      <c r="L4047" s="9" t="str">
        <f t="shared" si="182"/>
        <v/>
      </c>
    </row>
    <row r="4048" spans="3:12" x14ac:dyDescent="0.2">
      <c r="C4048"/>
      <c r="L4048" s="9" t="str">
        <f t="shared" si="182"/>
        <v/>
      </c>
    </row>
    <row r="4049" spans="3:12" x14ac:dyDescent="0.2">
      <c r="C4049"/>
      <c r="L4049" s="9" t="str">
        <f t="shared" si="182"/>
        <v/>
      </c>
    </row>
    <row r="4050" spans="3:12" x14ac:dyDescent="0.2">
      <c r="C4050"/>
      <c r="L4050" s="9" t="str">
        <f t="shared" si="182"/>
        <v/>
      </c>
    </row>
    <row r="4051" spans="3:12" x14ac:dyDescent="0.2">
      <c r="C4051"/>
      <c r="L4051" s="9" t="str">
        <f t="shared" si="182"/>
        <v/>
      </c>
    </row>
    <row r="4052" spans="3:12" x14ac:dyDescent="0.2">
      <c r="C4052"/>
      <c r="L4052" s="9" t="str">
        <f t="shared" si="182"/>
        <v/>
      </c>
    </row>
    <row r="4053" spans="3:12" x14ac:dyDescent="0.2">
      <c r="C4053"/>
      <c r="L4053" s="9" t="str">
        <f t="shared" si="182"/>
        <v/>
      </c>
    </row>
    <row r="4054" spans="3:12" x14ac:dyDescent="0.2">
      <c r="C4054"/>
      <c r="L4054" s="9" t="str">
        <f t="shared" si="182"/>
        <v/>
      </c>
    </row>
    <row r="4055" spans="3:12" x14ac:dyDescent="0.2">
      <c r="C4055"/>
      <c r="L4055" s="9" t="str">
        <f t="shared" si="182"/>
        <v/>
      </c>
    </row>
    <row r="4056" spans="3:12" x14ac:dyDescent="0.2">
      <c r="C4056"/>
      <c r="L4056" s="9" t="str">
        <f t="shared" si="182"/>
        <v/>
      </c>
    </row>
    <row r="4057" spans="3:12" x14ac:dyDescent="0.2">
      <c r="C4057"/>
      <c r="L4057" s="9" t="str">
        <f t="shared" si="182"/>
        <v/>
      </c>
    </row>
    <row r="4058" spans="3:12" x14ac:dyDescent="0.2">
      <c r="C4058"/>
      <c r="L4058" s="9" t="str">
        <f t="shared" si="182"/>
        <v/>
      </c>
    </row>
    <row r="4059" spans="3:12" x14ac:dyDescent="0.2">
      <c r="C4059"/>
      <c r="L4059" s="9" t="str">
        <f t="shared" si="182"/>
        <v/>
      </c>
    </row>
    <row r="4060" spans="3:12" x14ac:dyDescent="0.2">
      <c r="C4060"/>
      <c r="L4060" s="9" t="str">
        <f t="shared" si="182"/>
        <v/>
      </c>
    </row>
    <row r="4061" spans="3:12" x14ac:dyDescent="0.2">
      <c r="C4061"/>
      <c r="L4061" s="9" t="str">
        <f t="shared" si="182"/>
        <v/>
      </c>
    </row>
    <row r="4062" spans="3:12" x14ac:dyDescent="0.2">
      <c r="C4062"/>
      <c r="L4062" s="9" t="str">
        <f t="shared" si="182"/>
        <v/>
      </c>
    </row>
    <row r="4063" spans="3:12" x14ac:dyDescent="0.2">
      <c r="C4063"/>
      <c r="L4063" s="9" t="str">
        <f t="shared" si="182"/>
        <v/>
      </c>
    </row>
    <row r="4064" spans="3:12" x14ac:dyDescent="0.2">
      <c r="C4064"/>
      <c r="L4064" s="9" t="str">
        <f t="shared" si="182"/>
        <v/>
      </c>
    </row>
    <row r="4065" spans="3:12" x14ac:dyDescent="0.2">
      <c r="C4065"/>
      <c r="L4065" s="9" t="str">
        <f t="shared" si="182"/>
        <v/>
      </c>
    </row>
    <row r="4066" spans="3:12" x14ac:dyDescent="0.2">
      <c r="C4066"/>
      <c r="L4066" s="9" t="str">
        <f t="shared" si="182"/>
        <v/>
      </c>
    </row>
    <row r="4067" spans="3:12" x14ac:dyDescent="0.2">
      <c r="C4067"/>
      <c r="L4067" s="9" t="str">
        <f t="shared" si="182"/>
        <v/>
      </c>
    </row>
    <row r="4068" spans="3:12" x14ac:dyDescent="0.2">
      <c r="C4068"/>
      <c r="L4068" s="9" t="str">
        <f t="shared" si="182"/>
        <v/>
      </c>
    </row>
    <row r="4069" spans="3:12" x14ac:dyDescent="0.2">
      <c r="C4069"/>
      <c r="L4069" s="9" t="str">
        <f t="shared" si="182"/>
        <v/>
      </c>
    </row>
    <row r="4070" spans="3:12" x14ac:dyDescent="0.2">
      <c r="C4070"/>
      <c r="L4070" s="9" t="str">
        <f t="shared" si="182"/>
        <v/>
      </c>
    </row>
    <row r="4071" spans="3:12" x14ac:dyDescent="0.2">
      <c r="C4071"/>
      <c r="L4071" s="9" t="str">
        <f t="shared" si="182"/>
        <v/>
      </c>
    </row>
    <row r="4072" spans="3:12" x14ac:dyDescent="0.2">
      <c r="C4072"/>
      <c r="L4072" s="9" t="str">
        <f t="shared" si="182"/>
        <v/>
      </c>
    </row>
    <row r="4073" spans="3:12" x14ac:dyDescent="0.2">
      <c r="C4073"/>
      <c r="L4073" s="9" t="str">
        <f t="shared" si="182"/>
        <v/>
      </c>
    </row>
    <row r="4074" spans="3:12" x14ac:dyDescent="0.2">
      <c r="C4074"/>
      <c r="L4074" s="9" t="str">
        <f t="shared" si="182"/>
        <v/>
      </c>
    </row>
    <row r="4075" spans="3:12" x14ac:dyDescent="0.2">
      <c r="C4075"/>
      <c r="L4075" s="9" t="str">
        <f t="shared" si="182"/>
        <v/>
      </c>
    </row>
    <row r="4076" spans="3:12" x14ac:dyDescent="0.2">
      <c r="C4076"/>
      <c r="L4076" s="9" t="str">
        <f t="shared" si="182"/>
        <v/>
      </c>
    </row>
    <row r="4077" spans="3:12" x14ac:dyDescent="0.2">
      <c r="C4077"/>
      <c r="L4077" s="9" t="str">
        <f t="shared" si="182"/>
        <v/>
      </c>
    </row>
    <row r="4078" spans="3:12" x14ac:dyDescent="0.2">
      <c r="C4078"/>
      <c r="L4078" s="9" t="str">
        <f t="shared" si="182"/>
        <v/>
      </c>
    </row>
    <row r="4079" spans="3:12" x14ac:dyDescent="0.2">
      <c r="C4079"/>
      <c r="L4079" s="9" t="str">
        <f t="shared" si="182"/>
        <v/>
      </c>
    </row>
    <row r="4080" spans="3:12" x14ac:dyDescent="0.2">
      <c r="C4080"/>
      <c r="L4080" s="9" t="str">
        <f t="shared" si="182"/>
        <v/>
      </c>
    </row>
    <row r="4081" spans="3:12" x14ac:dyDescent="0.2">
      <c r="C4081"/>
      <c r="L4081" s="9" t="str">
        <f t="shared" si="182"/>
        <v/>
      </c>
    </row>
    <row r="4082" spans="3:12" x14ac:dyDescent="0.2">
      <c r="C4082"/>
      <c r="L4082" s="9" t="str">
        <f t="shared" si="182"/>
        <v/>
      </c>
    </row>
    <row r="4083" spans="3:12" x14ac:dyDescent="0.2">
      <c r="C4083"/>
      <c r="L4083" s="9" t="str">
        <f t="shared" si="182"/>
        <v/>
      </c>
    </row>
    <row r="4084" spans="3:12" x14ac:dyDescent="0.2">
      <c r="C4084"/>
      <c r="L4084" s="9" t="str">
        <f t="shared" si="182"/>
        <v/>
      </c>
    </row>
    <row r="4085" spans="3:12" x14ac:dyDescent="0.2">
      <c r="C4085"/>
      <c r="L4085" s="9" t="str">
        <f t="shared" si="182"/>
        <v/>
      </c>
    </row>
    <row r="4086" spans="3:12" x14ac:dyDescent="0.2">
      <c r="C4086"/>
      <c r="L4086" s="9" t="str">
        <f t="shared" si="182"/>
        <v/>
      </c>
    </row>
    <row r="4087" spans="3:12" x14ac:dyDescent="0.2">
      <c r="C4087"/>
      <c r="L4087" s="9" t="str">
        <f t="shared" si="182"/>
        <v/>
      </c>
    </row>
    <row r="4088" spans="3:12" x14ac:dyDescent="0.2">
      <c r="C4088"/>
      <c r="L4088" s="9" t="str">
        <f t="shared" si="182"/>
        <v/>
      </c>
    </row>
    <row r="4089" spans="3:12" x14ac:dyDescent="0.2">
      <c r="C4089"/>
      <c r="L4089" s="9" t="str">
        <f t="shared" si="182"/>
        <v/>
      </c>
    </row>
    <row r="4090" spans="3:12" x14ac:dyDescent="0.2">
      <c r="C4090"/>
      <c r="L4090" s="9" t="str">
        <f t="shared" si="182"/>
        <v/>
      </c>
    </row>
    <row r="4091" spans="3:12" x14ac:dyDescent="0.2">
      <c r="C4091"/>
      <c r="L4091" s="9" t="str">
        <f t="shared" si="182"/>
        <v/>
      </c>
    </row>
    <row r="4092" spans="3:12" x14ac:dyDescent="0.2">
      <c r="C4092"/>
      <c r="L4092" s="9" t="str">
        <f t="shared" si="182"/>
        <v/>
      </c>
    </row>
    <row r="4093" spans="3:12" x14ac:dyDescent="0.2">
      <c r="C4093"/>
      <c r="L4093" s="9" t="str">
        <f t="shared" ref="L4093:L4156" si="183">IF(A4093="STOCK",E4093,IF(A4093="SOPTION",G4093,IF(A4093="LOPTION",F4093,"")))</f>
        <v/>
      </c>
    </row>
    <row r="4094" spans="3:12" x14ac:dyDescent="0.2">
      <c r="C4094"/>
      <c r="L4094" s="9" t="str">
        <f t="shared" si="183"/>
        <v/>
      </c>
    </row>
    <row r="4095" spans="3:12" x14ac:dyDescent="0.2">
      <c r="C4095"/>
      <c r="L4095" s="9" t="str">
        <f t="shared" si="183"/>
        <v/>
      </c>
    </row>
    <row r="4096" spans="3:12" x14ac:dyDescent="0.2">
      <c r="C4096"/>
      <c r="L4096" s="9" t="str">
        <f t="shared" si="183"/>
        <v/>
      </c>
    </row>
    <row r="4097" spans="3:12" x14ac:dyDescent="0.2">
      <c r="C4097"/>
      <c r="L4097" s="9" t="str">
        <f t="shared" si="183"/>
        <v/>
      </c>
    </row>
    <row r="4098" spans="3:12" x14ac:dyDescent="0.2">
      <c r="C4098"/>
      <c r="L4098" s="9" t="str">
        <f t="shared" si="183"/>
        <v/>
      </c>
    </row>
    <row r="4099" spans="3:12" x14ac:dyDescent="0.2">
      <c r="C4099"/>
      <c r="L4099" s="9" t="str">
        <f t="shared" si="183"/>
        <v/>
      </c>
    </row>
    <row r="4100" spans="3:12" x14ac:dyDescent="0.2">
      <c r="C4100"/>
      <c r="L4100" s="9" t="str">
        <f t="shared" si="183"/>
        <v/>
      </c>
    </row>
    <row r="4101" spans="3:12" x14ac:dyDescent="0.2">
      <c r="C4101"/>
      <c r="L4101" s="9" t="str">
        <f t="shared" si="183"/>
        <v/>
      </c>
    </row>
    <row r="4102" spans="3:12" x14ac:dyDescent="0.2">
      <c r="C4102"/>
      <c r="L4102" s="9" t="str">
        <f t="shared" si="183"/>
        <v/>
      </c>
    </row>
    <row r="4103" spans="3:12" x14ac:dyDescent="0.2">
      <c r="C4103"/>
      <c r="L4103" s="9" t="str">
        <f t="shared" si="183"/>
        <v/>
      </c>
    </row>
    <row r="4104" spans="3:12" x14ac:dyDescent="0.2">
      <c r="C4104"/>
      <c r="L4104" s="9" t="str">
        <f t="shared" si="183"/>
        <v/>
      </c>
    </row>
    <row r="4105" spans="3:12" x14ac:dyDescent="0.2">
      <c r="C4105"/>
      <c r="L4105" s="9" t="str">
        <f t="shared" si="183"/>
        <v/>
      </c>
    </row>
    <row r="4106" spans="3:12" x14ac:dyDescent="0.2">
      <c r="C4106"/>
      <c r="L4106" s="9" t="str">
        <f t="shared" si="183"/>
        <v/>
      </c>
    </row>
    <row r="4107" spans="3:12" x14ac:dyDescent="0.2">
      <c r="C4107"/>
      <c r="L4107" s="9" t="str">
        <f t="shared" si="183"/>
        <v/>
      </c>
    </row>
    <row r="4108" spans="3:12" x14ac:dyDescent="0.2">
      <c r="C4108"/>
      <c r="L4108" s="9" t="str">
        <f t="shared" si="183"/>
        <v/>
      </c>
    </row>
    <row r="4109" spans="3:12" x14ac:dyDescent="0.2">
      <c r="C4109"/>
      <c r="L4109" s="9" t="str">
        <f t="shared" si="183"/>
        <v/>
      </c>
    </row>
    <row r="4110" spans="3:12" x14ac:dyDescent="0.2">
      <c r="C4110"/>
      <c r="L4110" s="9" t="str">
        <f t="shared" si="183"/>
        <v/>
      </c>
    </row>
    <row r="4111" spans="3:12" x14ac:dyDescent="0.2">
      <c r="C4111"/>
      <c r="L4111" s="9" t="str">
        <f t="shared" si="183"/>
        <v/>
      </c>
    </row>
    <row r="4112" spans="3:12" x14ac:dyDescent="0.2">
      <c r="C4112"/>
      <c r="L4112" s="9" t="str">
        <f t="shared" si="183"/>
        <v/>
      </c>
    </row>
    <row r="4113" spans="3:12" x14ac:dyDescent="0.2">
      <c r="C4113"/>
      <c r="L4113" s="9" t="str">
        <f t="shared" si="183"/>
        <v/>
      </c>
    </row>
    <row r="4114" spans="3:12" x14ac:dyDescent="0.2">
      <c r="C4114"/>
      <c r="L4114" s="9" t="str">
        <f t="shared" si="183"/>
        <v/>
      </c>
    </row>
    <row r="4115" spans="3:12" x14ac:dyDescent="0.2">
      <c r="C4115"/>
      <c r="L4115" s="9" t="str">
        <f t="shared" si="183"/>
        <v/>
      </c>
    </row>
    <row r="4116" spans="3:12" x14ac:dyDescent="0.2">
      <c r="C4116"/>
      <c r="L4116" s="9" t="str">
        <f t="shared" si="183"/>
        <v/>
      </c>
    </row>
    <row r="4117" spans="3:12" x14ac:dyDescent="0.2">
      <c r="C4117"/>
      <c r="L4117" s="9" t="str">
        <f t="shared" si="183"/>
        <v/>
      </c>
    </row>
    <row r="4118" spans="3:12" x14ac:dyDescent="0.2">
      <c r="C4118"/>
      <c r="L4118" s="9" t="str">
        <f t="shared" si="183"/>
        <v/>
      </c>
    </row>
    <row r="4119" spans="3:12" x14ac:dyDescent="0.2">
      <c r="C4119"/>
      <c r="L4119" s="9" t="str">
        <f t="shared" si="183"/>
        <v/>
      </c>
    </row>
    <row r="4120" spans="3:12" x14ac:dyDescent="0.2">
      <c r="C4120"/>
      <c r="L4120" s="9" t="str">
        <f t="shared" si="183"/>
        <v/>
      </c>
    </row>
    <row r="4121" spans="3:12" x14ac:dyDescent="0.2">
      <c r="C4121"/>
      <c r="L4121" s="9" t="str">
        <f t="shared" si="183"/>
        <v/>
      </c>
    </row>
    <row r="4122" spans="3:12" x14ac:dyDescent="0.2">
      <c r="C4122"/>
      <c r="L4122" s="9" t="str">
        <f t="shared" si="183"/>
        <v/>
      </c>
    </row>
    <row r="4123" spans="3:12" x14ac:dyDescent="0.2">
      <c r="C4123"/>
      <c r="L4123" s="9" t="str">
        <f t="shared" si="183"/>
        <v/>
      </c>
    </row>
    <row r="4124" spans="3:12" x14ac:dyDescent="0.2">
      <c r="C4124"/>
      <c r="L4124" s="9" t="str">
        <f t="shared" si="183"/>
        <v/>
      </c>
    </row>
    <row r="4125" spans="3:12" x14ac:dyDescent="0.2">
      <c r="C4125"/>
      <c r="L4125" s="9" t="str">
        <f t="shared" si="183"/>
        <v/>
      </c>
    </row>
    <row r="4126" spans="3:12" x14ac:dyDescent="0.2">
      <c r="C4126"/>
      <c r="L4126" s="9" t="str">
        <f t="shared" si="183"/>
        <v/>
      </c>
    </row>
    <row r="4127" spans="3:12" x14ac:dyDescent="0.2">
      <c r="C4127"/>
      <c r="L4127" s="9" t="str">
        <f t="shared" si="183"/>
        <v/>
      </c>
    </row>
    <row r="4128" spans="3:12" x14ac:dyDescent="0.2">
      <c r="C4128"/>
      <c r="L4128" s="9" t="str">
        <f t="shared" si="183"/>
        <v/>
      </c>
    </row>
    <row r="4129" spans="3:12" x14ac:dyDescent="0.2">
      <c r="C4129"/>
      <c r="L4129" s="9" t="str">
        <f t="shared" si="183"/>
        <v/>
      </c>
    </row>
    <row r="4130" spans="3:12" x14ac:dyDescent="0.2">
      <c r="C4130"/>
      <c r="L4130" s="9" t="str">
        <f t="shared" si="183"/>
        <v/>
      </c>
    </row>
    <row r="4131" spans="3:12" x14ac:dyDescent="0.2">
      <c r="C4131"/>
      <c r="L4131" s="9" t="str">
        <f t="shared" si="183"/>
        <v/>
      </c>
    </row>
    <row r="4132" spans="3:12" x14ac:dyDescent="0.2">
      <c r="C4132"/>
      <c r="L4132" s="9" t="str">
        <f t="shared" si="183"/>
        <v/>
      </c>
    </row>
    <row r="4133" spans="3:12" x14ac:dyDescent="0.2">
      <c r="C4133"/>
      <c r="L4133" s="9" t="str">
        <f t="shared" si="183"/>
        <v/>
      </c>
    </row>
    <row r="4134" spans="3:12" x14ac:dyDescent="0.2">
      <c r="C4134"/>
      <c r="L4134" s="9" t="str">
        <f t="shared" si="183"/>
        <v/>
      </c>
    </row>
    <row r="4135" spans="3:12" x14ac:dyDescent="0.2">
      <c r="C4135"/>
      <c r="L4135" s="9" t="str">
        <f t="shared" si="183"/>
        <v/>
      </c>
    </row>
    <row r="4136" spans="3:12" x14ac:dyDescent="0.2">
      <c r="C4136"/>
      <c r="L4136" s="9" t="str">
        <f t="shared" si="183"/>
        <v/>
      </c>
    </row>
    <row r="4137" spans="3:12" x14ac:dyDescent="0.2">
      <c r="C4137"/>
      <c r="L4137" s="9" t="str">
        <f t="shared" si="183"/>
        <v/>
      </c>
    </row>
    <row r="4138" spans="3:12" x14ac:dyDescent="0.2">
      <c r="C4138"/>
      <c r="L4138" s="9" t="str">
        <f t="shared" si="183"/>
        <v/>
      </c>
    </row>
    <row r="4139" spans="3:12" x14ac:dyDescent="0.2">
      <c r="C4139"/>
      <c r="L4139" s="9" t="str">
        <f t="shared" si="183"/>
        <v/>
      </c>
    </row>
    <row r="4140" spans="3:12" x14ac:dyDescent="0.2">
      <c r="C4140"/>
      <c r="L4140" s="9" t="str">
        <f t="shared" si="183"/>
        <v/>
      </c>
    </row>
    <row r="4141" spans="3:12" x14ac:dyDescent="0.2">
      <c r="C4141"/>
      <c r="L4141" s="9" t="str">
        <f t="shared" si="183"/>
        <v/>
      </c>
    </row>
    <row r="4142" spans="3:12" x14ac:dyDescent="0.2">
      <c r="C4142"/>
      <c r="L4142" s="9" t="str">
        <f t="shared" si="183"/>
        <v/>
      </c>
    </row>
    <row r="4143" spans="3:12" x14ac:dyDescent="0.2">
      <c r="C4143"/>
      <c r="L4143" s="9" t="str">
        <f t="shared" si="183"/>
        <v/>
      </c>
    </row>
    <row r="4144" spans="3:12" x14ac:dyDescent="0.2">
      <c r="C4144"/>
      <c r="L4144" s="9" t="str">
        <f t="shared" si="183"/>
        <v/>
      </c>
    </row>
    <row r="4145" spans="3:12" x14ac:dyDescent="0.2">
      <c r="C4145"/>
      <c r="L4145" s="9" t="str">
        <f t="shared" si="183"/>
        <v/>
      </c>
    </row>
    <row r="4146" spans="3:12" x14ac:dyDescent="0.2">
      <c r="C4146"/>
      <c r="L4146" s="9" t="str">
        <f t="shared" si="183"/>
        <v/>
      </c>
    </row>
    <row r="4147" spans="3:12" x14ac:dyDescent="0.2">
      <c r="C4147"/>
      <c r="L4147" s="9" t="str">
        <f t="shared" si="183"/>
        <v/>
      </c>
    </row>
    <row r="4148" spans="3:12" x14ac:dyDescent="0.2">
      <c r="C4148"/>
      <c r="L4148" s="9" t="str">
        <f t="shared" si="183"/>
        <v/>
      </c>
    </row>
    <row r="4149" spans="3:12" x14ac:dyDescent="0.2">
      <c r="C4149"/>
      <c r="L4149" s="9" t="str">
        <f t="shared" si="183"/>
        <v/>
      </c>
    </row>
    <row r="4150" spans="3:12" x14ac:dyDescent="0.2">
      <c r="C4150"/>
      <c r="L4150" s="9" t="str">
        <f t="shared" si="183"/>
        <v/>
      </c>
    </row>
    <row r="4151" spans="3:12" x14ac:dyDescent="0.2">
      <c r="C4151"/>
      <c r="L4151" s="9" t="str">
        <f t="shared" si="183"/>
        <v/>
      </c>
    </row>
    <row r="4152" spans="3:12" x14ac:dyDescent="0.2">
      <c r="C4152"/>
      <c r="L4152" s="9" t="str">
        <f t="shared" si="183"/>
        <v/>
      </c>
    </row>
    <row r="4153" spans="3:12" x14ac:dyDescent="0.2">
      <c r="C4153"/>
      <c r="L4153" s="9" t="str">
        <f t="shared" si="183"/>
        <v/>
      </c>
    </row>
    <row r="4154" spans="3:12" x14ac:dyDescent="0.2">
      <c r="C4154"/>
      <c r="L4154" s="9" t="str">
        <f t="shared" si="183"/>
        <v/>
      </c>
    </row>
    <row r="4155" spans="3:12" x14ac:dyDescent="0.2">
      <c r="C4155"/>
      <c r="L4155" s="9" t="str">
        <f t="shared" si="183"/>
        <v/>
      </c>
    </row>
    <row r="4156" spans="3:12" x14ac:dyDescent="0.2">
      <c r="C4156"/>
      <c r="L4156" s="9" t="str">
        <f t="shared" si="183"/>
        <v/>
      </c>
    </row>
    <row r="4157" spans="3:12" x14ac:dyDescent="0.2">
      <c r="C4157"/>
      <c r="L4157" s="9" t="str">
        <f t="shared" ref="L4157:L4220" si="184">IF(A4157="STOCK",E4157,IF(A4157="SOPTION",G4157,IF(A4157="LOPTION",F4157,"")))</f>
        <v/>
      </c>
    </row>
    <row r="4158" spans="3:12" x14ac:dyDescent="0.2">
      <c r="C4158"/>
      <c r="L4158" s="9" t="str">
        <f t="shared" si="184"/>
        <v/>
      </c>
    </row>
    <row r="4159" spans="3:12" x14ac:dyDescent="0.2">
      <c r="C4159"/>
      <c r="L4159" s="9" t="str">
        <f t="shared" si="184"/>
        <v/>
      </c>
    </row>
    <row r="4160" spans="3:12" x14ac:dyDescent="0.2">
      <c r="C4160"/>
      <c r="L4160" s="9" t="str">
        <f t="shared" si="184"/>
        <v/>
      </c>
    </row>
    <row r="4161" spans="3:12" x14ac:dyDescent="0.2">
      <c r="C4161"/>
      <c r="L4161" s="9" t="str">
        <f t="shared" si="184"/>
        <v/>
      </c>
    </row>
    <row r="4162" spans="3:12" x14ac:dyDescent="0.2">
      <c r="C4162"/>
      <c r="L4162" s="9" t="str">
        <f t="shared" si="184"/>
        <v/>
      </c>
    </row>
    <row r="4163" spans="3:12" x14ac:dyDescent="0.2">
      <c r="C4163"/>
      <c r="L4163" s="9" t="str">
        <f t="shared" si="184"/>
        <v/>
      </c>
    </row>
    <row r="4164" spans="3:12" x14ac:dyDescent="0.2">
      <c r="C4164"/>
      <c r="L4164" s="9" t="str">
        <f t="shared" si="184"/>
        <v/>
      </c>
    </row>
    <row r="4165" spans="3:12" x14ac:dyDescent="0.2">
      <c r="C4165"/>
      <c r="L4165" s="9" t="str">
        <f t="shared" si="184"/>
        <v/>
      </c>
    </row>
    <row r="4166" spans="3:12" x14ac:dyDescent="0.2">
      <c r="C4166"/>
      <c r="L4166" s="9" t="str">
        <f t="shared" si="184"/>
        <v/>
      </c>
    </row>
    <row r="4167" spans="3:12" x14ac:dyDescent="0.2">
      <c r="C4167"/>
      <c r="L4167" s="9" t="str">
        <f t="shared" si="184"/>
        <v/>
      </c>
    </row>
    <row r="4168" spans="3:12" x14ac:dyDescent="0.2">
      <c r="C4168"/>
      <c r="L4168" s="9" t="str">
        <f t="shared" si="184"/>
        <v/>
      </c>
    </row>
    <row r="4169" spans="3:12" x14ac:dyDescent="0.2">
      <c r="C4169"/>
      <c r="L4169" s="9" t="str">
        <f t="shared" si="184"/>
        <v/>
      </c>
    </row>
    <row r="4170" spans="3:12" x14ac:dyDescent="0.2">
      <c r="C4170"/>
      <c r="L4170" s="9" t="str">
        <f t="shared" si="184"/>
        <v/>
      </c>
    </row>
    <row r="4171" spans="3:12" x14ac:dyDescent="0.2">
      <c r="C4171"/>
      <c r="L4171" s="9" t="str">
        <f t="shared" si="184"/>
        <v/>
      </c>
    </row>
    <row r="4172" spans="3:12" x14ac:dyDescent="0.2">
      <c r="C4172"/>
      <c r="L4172" s="9" t="str">
        <f t="shared" si="184"/>
        <v/>
      </c>
    </row>
    <row r="4173" spans="3:12" x14ac:dyDescent="0.2">
      <c r="C4173"/>
      <c r="L4173" s="9" t="str">
        <f t="shared" si="184"/>
        <v/>
      </c>
    </row>
    <row r="4174" spans="3:12" x14ac:dyDescent="0.2">
      <c r="C4174"/>
      <c r="L4174" s="9" t="str">
        <f t="shared" si="184"/>
        <v/>
      </c>
    </row>
    <row r="4175" spans="3:12" x14ac:dyDescent="0.2">
      <c r="C4175"/>
      <c r="L4175" s="9" t="str">
        <f t="shared" si="184"/>
        <v/>
      </c>
    </row>
    <row r="4176" spans="3:12" x14ac:dyDescent="0.2">
      <c r="C4176"/>
      <c r="L4176" s="9" t="str">
        <f t="shared" si="184"/>
        <v/>
      </c>
    </row>
    <row r="4177" spans="3:12" x14ac:dyDescent="0.2">
      <c r="C4177"/>
      <c r="L4177" s="9" t="str">
        <f t="shared" si="184"/>
        <v/>
      </c>
    </row>
    <row r="4178" spans="3:12" x14ac:dyDescent="0.2">
      <c r="C4178"/>
      <c r="L4178" s="9" t="str">
        <f t="shared" si="184"/>
        <v/>
      </c>
    </row>
    <row r="4179" spans="3:12" x14ac:dyDescent="0.2">
      <c r="C4179"/>
      <c r="L4179" s="9" t="str">
        <f t="shared" si="184"/>
        <v/>
      </c>
    </row>
    <row r="4180" spans="3:12" x14ac:dyDescent="0.2">
      <c r="C4180"/>
      <c r="L4180" s="9" t="str">
        <f t="shared" si="184"/>
        <v/>
      </c>
    </row>
    <row r="4181" spans="3:12" x14ac:dyDescent="0.2">
      <c r="C4181"/>
      <c r="L4181" s="9" t="str">
        <f t="shared" si="184"/>
        <v/>
      </c>
    </row>
    <row r="4182" spans="3:12" x14ac:dyDescent="0.2">
      <c r="C4182"/>
      <c r="L4182" s="9" t="str">
        <f t="shared" si="184"/>
        <v/>
      </c>
    </row>
    <row r="4183" spans="3:12" x14ac:dyDescent="0.2">
      <c r="C4183"/>
      <c r="L4183" s="9" t="str">
        <f t="shared" si="184"/>
        <v/>
      </c>
    </row>
    <row r="4184" spans="3:12" x14ac:dyDescent="0.2">
      <c r="C4184"/>
      <c r="L4184" s="9" t="str">
        <f t="shared" si="184"/>
        <v/>
      </c>
    </row>
    <row r="4185" spans="3:12" x14ac:dyDescent="0.2">
      <c r="C4185"/>
      <c r="L4185" s="9" t="str">
        <f t="shared" si="184"/>
        <v/>
      </c>
    </row>
    <row r="4186" spans="3:12" x14ac:dyDescent="0.2">
      <c r="C4186"/>
      <c r="L4186" s="9" t="str">
        <f t="shared" si="184"/>
        <v/>
      </c>
    </row>
    <row r="4187" spans="3:12" x14ac:dyDescent="0.2">
      <c r="C4187"/>
      <c r="L4187" s="9" t="str">
        <f t="shared" si="184"/>
        <v/>
      </c>
    </row>
    <row r="4188" spans="3:12" x14ac:dyDescent="0.2">
      <c r="C4188"/>
      <c r="L4188" s="9" t="str">
        <f t="shared" si="184"/>
        <v/>
      </c>
    </row>
    <row r="4189" spans="3:12" x14ac:dyDescent="0.2">
      <c r="C4189"/>
      <c r="L4189" s="9" t="str">
        <f t="shared" si="184"/>
        <v/>
      </c>
    </row>
    <row r="4190" spans="3:12" x14ac:dyDescent="0.2">
      <c r="C4190"/>
      <c r="L4190" s="9" t="str">
        <f t="shared" si="184"/>
        <v/>
      </c>
    </row>
    <row r="4191" spans="3:12" x14ac:dyDescent="0.2">
      <c r="C4191"/>
      <c r="L4191" s="9" t="str">
        <f t="shared" si="184"/>
        <v/>
      </c>
    </row>
    <row r="4192" spans="3:12" x14ac:dyDescent="0.2">
      <c r="C4192"/>
      <c r="L4192" s="9" t="str">
        <f t="shared" si="184"/>
        <v/>
      </c>
    </row>
    <row r="4193" spans="3:12" x14ac:dyDescent="0.2">
      <c r="C4193"/>
      <c r="L4193" s="9" t="str">
        <f t="shared" si="184"/>
        <v/>
      </c>
    </row>
    <row r="4194" spans="3:12" x14ac:dyDescent="0.2">
      <c r="C4194"/>
      <c r="L4194" s="9" t="str">
        <f t="shared" si="184"/>
        <v/>
      </c>
    </row>
    <row r="4195" spans="3:12" x14ac:dyDescent="0.2">
      <c r="C4195"/>
      <c r="L4195" s="9" t="str">
        <f t="shared" si="184"/>
        <v/>
      </c>
    </row>
    <row r="4196" spans="3:12" x14ac:dyDescent="0.2">
      <c r="C4196"/>
      <c r="L4196" s="9" t="str">
        <f t="shared" si="184"/>
        <v/>
      </c>
    </row>
    <row r="4197" spans="3:12" x14ac:dyDescent="0.2">
      <c r="C4197"/>
      <c r="L4197" s="9" t="str">
        <f t="shared" si="184"/>
        <v/>
      </c>
    </row>
    <row r="4198" spans="3:12" x14ac:dyDescent="0.2">
      <c r="C4198"/>
      <c r="L4198" s="9" t="str">
        <f t="shared" si="184"/>
        <v/>
      </c>
    </row>
    <row r="4199" spans="3:12" x14ac:dyDescent="0.2">
      <c r="C4199"/>
      <c r="L4199" s="9" t="str">
        <f t="shared" si="184"/>
        <v/>
      </c>
    </row>
    <row r="4200" spans="3:12" x14ac:dyDescent="0.2">
      <c r="C4200"/>
      <c r="L4200" s="9" t="str">
        <f t="shared" si="184"/>
        <v/>
      </c>
    </row>
    <row r="4201" spans="3:12" x14ac:dyDescent="0.2">
      <c r="C4201"/>
      <c r="L4201" s="9" t="str">
        <f t="shared" si="184"/>
        <v/>
      </c>
    </row>
    <row r="4202" spans="3:12" x14ac:dyDescent="0.2">
      <c r="C4202"/>
      <c r="L4202" s="9" t="str">
        <f t="shared" si="184"/>
        <v/>
      </c>
    </row>
    <row r="4203" spans="3:12" x14ac:dyDescent="0.2">
      <c r="C4203"/>
      <c r="L4203" s="9" t="str">
        <f t="shared" si="184"/>
        <v/>
      </c>
    </row>
    <row r="4204" spans="3:12" x14ac:dyDescent="0.2">
      <c r="C4204"/>
      <c r="L4204" s="9" t="str">
        <f t="shared" si="184"/>
        <v/>
      </c>
    </row>
    <row r="4205" spans="3:12" x14ac:dyDescent="0.2">
      <c r="C4205"/>
      <c r="L4205" s="9" t="str">
        <f t="shared" si="184"/>
        <v/>
      </c>
    </row>
    <row r="4206" spans="3:12" x14ac:dyDescent="0.2">
      <c r="C4206"/>
      <c r="L4206" s="9" t="str">
        <f t="shared" si="184"/>
        <v/>
      </c>
    </row>
    <row r="4207" spans="3:12" x14ac:dyDescent="0.2">
      <c r="C4207"/>
      <c r="L4207" s="9" t="str">
        <f t="shared" si="184"/>
        <v/>
      </c>
    </row>
    <row r="4208" spans="3:12" x14ac:dyDescent="0.2">
      <c r="C4208"/>
      <c r="L4208" s="9" t="str">
        <f t="shared" si="184"/>
        <v/>
      </c>
    </row>
    <row r="4209" spans="3:12" x14ac:dyDescent="0.2">
      <c r="C4209"/>
      <c r="L4209" s="9" t="str">
        <f t="shared" si="184"/>
        <v/>
      </c>
    </row>
    <row r="4210" spans="3:12" x14ac:dyDescent="0.2">
      <c r="C4210"/>
      <c r="L4210" s="9" t="str">
        <f t="shared" si="184"/>
        <v/>
      </c>
    </row>
    <row r="4211" spans="3:12" x14ac:dyDescent="0.2">
      <c r="C4211"/>
      <c r="L4211" s="9" t="str">
        <f t="shared" si="184"/>
        <v/>
      </c>
    </row>
    <row r="4212" spans="3:12" x14ac:dyDescent="0.2">
      <c r="C4212"/>
      <c r="L4212" s="9" t="str">
        <f t="shared" si="184"/>
        <v/>
      </c>
    </row>
    <row r="4213" spans="3:12" x14ac:dyDescent="0.2">
      <c r="C4213"/>
      <c r="L4213" s="9" t="str">
        <f t="shared" si="184"/>
        <v/>
      </c>
    </row>
    <row r="4214" spans="3:12" x14ac:dyDescent="0.2">
      <c r="C4214"/>
      <c r="L4214" s="9" t="str">
        <f t="shared" si="184"/>
        <v/>
      </c>
    </row>
    <row r="4215" spans="3:12" x14ac:dyDescent="0.2">
      <c r="C4215"/>
      <c r="L4215" s="9" t="str">
        <f t="shared" si="184"/>
        <v/>
      </c>
    </row>
    <row r="4216" spans="3:12" x14ac:dyDescent="0.2">
      <c r="C4216"/>
      <c r="L4216" s="9" t="str">
        <f t="shared" si="184"/>
        <v/>
      </c>
    </row>
    <row r="4217" spans="3:12" x14ac:dyDescent="0.2">
      <c r="C4217"/>
      <c r="L4217" s="9" t="str">
        <f t="shared" si="184"/>
        <v/>
      </c>
    </row>
    <row r="4218" spans="3:12" x14ac:dyDescent="0.2">
      <c r="C4218"/>
      <c r="L4218" s="9" t="str">
        <f t="shared" si="184"/>
        <v/>
      </c>
    </row>
    <row r="4219" spans="3:12" x14ac:dyDescent="0.2">
      <c r="C4219"/>
      <c r="L4219" s="9" t="str">
        <f t="shared" si="184"/>
        <v/>
      </c>
    </row>
    <row r="4220" spans="3:12" x14ac:dyDescent="0.2">
      <c r="C4220"/>
      <c r="L4220" s="9" t="str">
        <f t="shared" si="184"/>
        <v/>
      </c>
    </row>
    <row r="4221" spans="3:12" x14ac:dyDescent="0.2">
      <c r="C4221"/>
      <c r="L4221" s="9" t="str">
        <f t="shared" ref="L4221:L4284" si="185">IF(A4221="STOCK",E4221,IF(A4221="SOPTION",G4221,IF(A4221="LOPTION",F4221,"")))</f>
        <v/>
      </c>
    </row>
    <row r="4222" spans="3:12" x14ac:dyDescent="0.2">
      <c r="C4222"/>
      <c r="L4222" s="9" t="str">
        <f t="shared" si="185"/>
        <v/>
      </c>
    </row>
    <row r="4223" spans="3:12" x14ac:dyDescent="0.2">
      <c r="C4223"/>
      <c r="L4223" s="9" t="str">
        <f t="shared" si="185"/>
        <v/>
      </c>
    </row>
    <row r="4224" spans="3:12" x14ac:dyDescent="0.2">
      <c r="C4224"/>
      <c r="L4224" s="9" t="str">
        <f t="shared" si="185"/>
        <v/>
      </c>
    </row>
    <row r="4225" spans="3:12" x14ac:dyDescent="0.2">
      <c r="C4225"/>
      <c r="L4225" s="9" t="str">
        <f t="shared" si="185"/>
        <v/>
      </c>
    </row>
    <row r="4226" spans="3:12" x14ac:dyDescent="0.2">
      <c r="C4226"/>
      <c r="L4226" s="9" t="str">
        <f t="shared" si="185"/>
        <v/>
      </c>
    </row>
    <row r="4227" spans="3:12" x14ac:dyDescent="0.2">
      <c r="C4227"/>
      <c r="L4227" s="9" t="str">
        <f t="shared" si="185"/>
        <v/>
      </c>
    </row>
    <row r="4228" spans="3:12" x14ac:dyDescent="0.2">
      <c r="C4228"/>
      <c r="L4228" s="9" t="str">
        <f t="shared" si="185"/>
        <v/>
      </c>
    </row>
    <row r="4229" spans="3:12" x14ac:dyDescent="0.2">
      <c r="C4229"/>
      <c r="L4229" s="9" t="str">
        <f t="shared" si="185"/>
        <v/>
      </c>
    </row>
    <row r="4230" spans="3:12" x14ac:dyDescent="0.2">
      <c r="C4230"/>
      <c r="L4230" s="9" t="str">
        <f t="shared" si="185"/>
        <v/>
      </c>
    </row>
    <row r="4231" spans="3:12" x14ac:dyDescent="0.2">
      <c r="C4231"/>
      <c r="L4231" s="9" t="str">
        <f t="shared" si="185"/>
        <v/>
      </c>
    </row>
    <row r="4232" spans="3:12" x14ac:dyDescent="0.2">
      <c r="C4232"/>
      <c r="L4232" s="9" t="str">
        <f t="shared" si="185"/>
        <v/>
      </c>
    </row>
    <row r="4233" spans="3:12" x14ac:dyDescent="0.2">
      <c r="C4233"/>
      <c r="L4233" s="9" t="str">
        <f t="shared" si="185"/>
        <v/>
      </c>
    </row>
    <row r="4234" spans="3:12" x14ac:dyDescent="0.2">
      <c r="C4234"/>
      <c r="L4234" s="9" t="str">
        <f t="shared" si="185"/>
        <v/>
      </c>
    </row>
    <row r="4235" spans="3:12" x14ac:dyDescent="0.2">
      <c r="C4235"/>
      <c r="L4235" s="9" t="str">
        <f t="shared" si="185"/>
        <v/>
      </c>
    </row>
    <row r="4236" spans="3:12" x14ac:dyDescent="0.2">
      <c r="C4236"/>
      <c r="L4236" s="9" t="str">
        <f t="shared" si="185"/>
        <v/>
      </c>
    </row>
    <row r="4237" spans="3:12" x14ac:dyDescent="0.2">
      <c r="C4237"/>
      <c r="L4237" s="9" t="str">
        <f t="shared" si="185"/>
        <v/>
      </c>
    </row>
    <row r="4238" spans="3:12" x14ac:dyDescent="0.2">
      <c r="C4238"/>
      <c r="L4238" s="9" t="str">
        <f t="shared" si="185"/>
        <v/>
      </c>
    </row>
    <row r="4239" spans="3:12" x14ac:dyDescent="0.2">
      <c r="C4239"/>
      <c r="L4239" s="9" t="str">
        <f t="shared" si="185"/>
        <v/>
      </c>
    </row>
    <row r="4240" spans="3:12" x14ac:dyDescent="0.2">
      <c r="C4240"/>
      <c r="L4240" s="9" t="str">
        <f t="shared" si="185"/>
        <v/>
      </c>
    </row>
    <row r="4241" spans="3:12" x14ac:dyDescent="0.2">
      <c r="C4241"/>
      <c r="L4241" s="9" t="str">
        <f t="shared" si="185"/>
        <v/>
      </c>
    </row>
    <row r="4242" spans="3:12" x14ac:dyDescent="0.2">
      <c r="C4242"/>
      <c r="L4242" s="9" t="str">
        <f t="shared" si="185"/>
        <v/>
      </c>
    </row>
    <row r="4243" spans="3:12" x14ac:dyDescent="0.2">
      <c r="C4243"/>
      <c r="L4243" s="9" t="str">
        <f t="shared" si="185"/>
        <v/>
      </c>
    </row>
    <row r="4244" spans="3:12" x14ac:dyDescent="0.2">
      <c r="C4244"/>
      <c r="L4244" s="9" t="str">
        <f t="shared" si="185"/>
        <v/>
      </c>
    </row>
    <row r="4245" spans="3:12" x14ac:dyDescent="0.2">
      <c r="C4245"/>
      <c r="L4245" s="9" t="str">
        <f t="shared" si="185"/>
        <v/>
      </c>
    </row>
    <row r="4246" spans="3:12" x14ac:dyDescent="0.2">
      <c r="C4246"/>
      <c r="L4246" s="9" t="str">
        <f t="shared" si="185"/>
        <v/>
      </c>
    </row>
    <row r="4247" spans="3:12" x14ac:dyDescent="0.2">
      <c r="C4247"/>
      <c r="L4247" s="9" t="str">
        <f t="shared" si="185"/>
        <v/>
      </c>
    </row>
    <row r="4248" spans="3:12" x14ac:dyDescent="0.2">
      <c r="C4248"/>
      <c r="L4248" s="9" t="str">
        <f t="shared" si="185"/>
        <v/>
      </c>
    </row>
    <row r="4249" spans="3:12" x14ac:dyDescent="0.2">
      <c r="C4249"/>
      <c r="L4249" s="9" t="str">
        <f t="shared" si="185"/>
        <v/>
      </c>
    </row>
    <row r="4250" spans="3:12" x14ac:dyDescent="0.2">
      <c r="C4250"/>
      <c r="L4250" s="9" t="str">
        <f t="shared" si="185"/>
        <v/>
      </c>
    </row>
    <row r="4251" spans="3:12" x14ac:dyDescent="0.2">
      <c r="C4251"/>
      <c r="L4251" s="9" t="str">
        <f t="shared" si="185"/>
        <v/>
      </c>
    </row>
    <row r="4252" spans="3:12" x14ac:dyDescent="0.2">
      <c r="C4252"/>
      <c r="L4252" s="9" t="str">
        <f t="shared" si="185"/>
        <v/>
      </c>
    </row>
    <row r="4253" spans="3:12" x14ac:dyDescent="0.2">
      <c r="C4253"/>
      <c r="L4253" s="9" t="str">
        <f t="shared" si="185"/>
        <v/>
      </c>
    </row>
    <row r="4254" spans="3:12" x14ac:dyDescent="0.2">
      <c r="C4254"/>
      <c r="L4254" s="9" t="str">
        <f t="shared" si="185"/>
        <v/>
      </c>
    </row>
    <row r="4255" spans="3:12" x14ac:dyDescent="0.2">
      <c r="C4255"/>
      <c r="L4255" s="9" t="str">
        <f t="shared" si="185"/>
        <v/>
      </c>
    </row>
    <row r="4256" spans="3:12" x14ac:dyDescent="0.2">
      <c r="C4256"/>
      <c r="L4256" s="9" t="str">
        <f t="shared" si="185"/>
        <v/>
      </c>
    </row>
    <row r="4257" spans="3:12" x14ac:dyDescent="0.2">
      <c r="C4257"/>
      <c r="L4257" s="9" t="str">
        <f t="shared" si="185"/>
        <v/>
      </c>
    </row>
    <row r="4258" spans="3:12" x14ac:dyDescent="0.2">
      <c r="C4258"/>
      <c r="L4258" s="9" t="str">
        <f t="shared" si="185"/>
        <v/>
      </c>
    </row>
    <row r="4259" spans="3:12" x14ac:dyDescent="0.2">
      <c r="C4259"/>
      <c r="L4259" s="9" t="str">
        <f t="shared" si="185"/>
        <v/>
      </c>
    </row>
    <row r="4260" spans="3:12" x14ac:dyDescent="0.2">
      <c r="C4260"/>
      <c r="L4260" s="9" t="str">
        <f t="shared" si="185"/>
        <v/>
      </c>
    </row>
    <row r="4261" spans="3:12" x14ac:dyDescent="0.2">
      <c r="C4261"/>
      <c r="L4261" s="9" t="str">
        <f t="shared" si="185"/>
        <v/>
      </c>
    </row>
    <row r="4262" spans="3:12" x14ac:dyDescent="0.2">
      <c r="C4262"/>
      <c r="L4262" s="9" t="str">
        <f t="shared" si="185"/>
        <v/>
      </c>
    </row>
    <row r="4263" spans="3:12" x14ac:dyDescent="0.2">
      <c r="C4263"/>
      <c r="L4263" s="9" t="str">
        <f t="shared" si="185"/>
        <v/>
      </c>
    </row>
    <row r="4264" spans="3:12" x14ac:dyDescent="0.2">
      <c r="C4264"/>
      <c r="L4264" s="9" t="str">
        <f t="shared" si="185"/>
        <v/>
      </c>
    </row>
    <row r="4265" spans="3:12" x14ac:dyDescent="0.2">
      <c r="C4265"/>
      <c r="L4265" s="9" t="str">
        <f t="shared" si="185"/>
        <v/>
      </c>
    </row>
    <row r="4266" spans="3:12" x14ac:dyDescent="0.2">
      <c r="C4266"/>
      <c r="L4266" s="9" t="str">
        <f t="shared" si="185"/>
        <v/>
      </c>
    </row>
    <row r="4267" spans="3:12" x14ac:dyDescent="0.2">
      <c r="C4267"/>
      <c r="L4267" s="9" t="str">
        <f t="shared" si="185"/>
        <v/>
      </c>
    </row>
    <row r="4268" spans="3:12" x14ac:dyDescent="0.2">
      <c r="C4268"/>
      <c r="L4268" s="9" t="str">
        <f t="shared" si="185"/>
        <v/>
      </c>
    </row>
    <row r="4269" spans="3:12" x14ac:dyDescent="0.2">
      <c r="C4269"/>
      <c r="L4269" s="9" t="str">
        <f t="shared" si="185"/>
        <v/>
      </c>
    </row>
    <row r="4270" spans="3:12" x14ac:dyDescent="0.2">
      <c r="C4270"/>
      <c r="L4270" s="9" t="str">
        <f t="shared" si="185"/>
        <v/>
      </c>
    </row>
    <row r="4271" spans="3:12" x14ac:dyDescent="0.2">
      <c r="C4271"/>
      <c r="L4271" s="9" t="str">
        <f t="shared" si="185"/>
        <v/>
      </c>
    </row>
    <row r="4272" spans="3:12" x14ac:dyDescent="0.2">
      <c r="C4272"/>
      <c r="L4272" s="9" t="str">
        <f t="shared" si="185"/>
        <v/>
      </c>
    </row>
    <row r="4273" spans="3:12" x14ac:dyDescent="0.2">
      <c r="C4273"/>
      <c r="L4273" s="9" t="str">
        <f t="shared" si="185"/>
        <v/>
      </c>
    </row>
    <row r="4274" spans="3:12" x14ac:dyDescent="0.2">
      <c r="C4274"/>
      <c r="L4274" s="9" t="str">
        <f t="shared" si="185"/>
        <v/>
      </c>
    </row>
    <row r="4275" spans="3:12" x14ac:dyDescent="0.2">
      <c r="C4275"/>
      <c r="L4275" s="9" t="str">
        <f t="shared" si="185"/>
        <v/>
      </c>
    </row>
    <row r="4276" spans="3:12" x14ac:dyDescent="0.2">
      <c r="C4276"/>
      <c r="L4276" s="9" t="str">
        <f t="shared" si="185"/>
        <v/>
      </c>
    </row>
    <row r="4277" spans="3:12" x14ac:dyDescent="0.2">
      <c r="C4277"/>
      <c r="L4277" s="9" t="str">
        <f t="shared" si="185"/>
        <v/>
      </c>
    </row>
    <row r="4278" spans="3:12" x14ac:dyDescent="0.2">
      <c r="C4278"/>
      <c r="L4278" s="9" t="str">
        <f t="shared" si="185"/>
        <v/>
      </c>
    </row>
    <row r="4279" spans="3:12" x14ac:dyDescent="0.2">
      <c r="C4279"/>
      <c r="L4279" s="9" t="str">
        <f t="shared" si="185"/>
        <v/>
      </c>
    </row>
    <row r="4280" spans="3:12" x14ac:dyDescent="0.2">
      <c r="C4280"/>
      <c r="L4280" s="9" t="str">
        <f t="shared" si="185"/>
        <v/>
      </c>
    </row>
    <row r="4281" spans="3:12" x14ac:dyDescent="0.2">
      <c r="C4281"/>
      <c r="L4281" s="9" t="str">
        <f t="shared" si="185"/>
        <v/>
      </c>
    </row>
    <row r="4282" spans="3:12" x14ac:dyDescent="0.2">
      <c r="C4282"/>
      <c r="L4282" s="9" t="str">
        <f t="shared" si="185"/>
        <v/>
      </c>
    </row>
    <row r="4283" spans="3:12" x14ac:dyDescent="0.2">
      <c r="C4283"/>
      <c r="L4283" s="9" t="str">
        <f t="shared" si="185"/>
        <v/>
      </c>
    </row>
    <row r="4284" spans="3:12" x14ac:dyDescent="0.2">
      <c r="C4284"/>
      <c r="L4284" s="9" t="str">
        <f t="shared" si="185"/>
        <v/>
      </c>
    </row>
    <row r="4285" spans="3:12" x14ac:dyDescent="0.2">
      <c r="C4285"/>
      <c r="L4285" s="9" t="str">
        <f t="shared" ref="L4285:L4348" si="186">IF(A4285="STOCK",E4285,IF(A4285="SOPTION",G4285,IF(A4285="LOPTION",F4285,"")))</f>
        <v/>
      </c>
    </row>
    <row r="4286" spans="3:12" x14ac:dyDescent="0.2">
      <c r="C4286"/>
      <c r="L4286" s="9" t="str">
        <f t="shared" si="186"/>
        <v/>
      </c>
    </row>
    <row r="4287" spans="3:12" x14ac:dyDescent="0.2">
      <c r="C4287"/>
      <c r="L4287" s="9" t="str">
        <f t="shared" si="186"/>
        <v/>
      </c>
    </row>
    <row r="4288" spans="3:12" x14ac:dyDescent="0.2">
      <c r="C4288"/>
      <c r="L4288" s="9" t="str">
        <f t="shared" si="186"/>
        <v/>
      </c>
    </row>
    <row r="4289" spans="3:12" x14ac:dyDescent="0.2">
      <c r="C4289"/>
      <c r="L4289" s="9" t="str">
        <f t="shared" si="186"/>
        <v/>
      </c>
    </row>
    <row r="4290" spans="3:12" x14ac:dyDescent="0.2">
      <c r="C4290"/>
      <c r="L4290" s="9" t="str">
        <f t="shared" si="186"/>
        <v/>
      </c>
    </row>
    <row r="4291" spans="3:12" x14ac:dyDescent="0.2">
      <c r="C4291"/>
      <c r="L4291" s="9" t="str">
        <f t="shared" si="186"/>
        <v/>
      </c>
    </row>
    <row r="4292" spans="3:12" x14ac:dyDescent="0.2">
      <c r="C4292"/>
      <c r="L4292" s="9" t="str">
        <f t="shared" si="186"/>
        <v/>
      </c>
    </row>
    <row r="4293" spans="3:12" x14ac:dyDescent="0.2">
      <c r="C4293"/>
      <c r="L4293" s="9" t="str">
        <f t="shared" si="186"/>
        <v/>
      </c>
    </row>
    <row r="4294" spans="3:12" x14ac:dyDescent="0.2">
      <c r="C4294"/>
      <c r="L4294" s="9" t="str">
        <f t="shared" si="186"/>
        <v/>
      </c>
    </row>
    <row r="4295" spans="3:12" x14ac:dyDescent="0.2">
      <c r="C4295"/>
      <c r="L4295" s="9" t="str">
        <f t="shared" si="186"/>
        <v/>
      </c>
    </row>
    <row r="4296" spans="3:12" x14ac:dyDescent="0.2">
      <c r="C4296"/>
      <c r="L4296" s="9" t="str">
        <f t="shared" si="186"/>
        <v/>
      </c>
    </row>
    <row r="4297" spans="3:12" x14ac:dyDescent="0.2">
      <c r="C4297"/>
      <c r="L4297" s="9" t="str">
        <f t="shared" si="186"/>
        <v/>
      </c>
    </row>
    <row r="4298" spans="3:12" x14ac:dyDescent="0.2">
      <c r="C4298"/>
      <c r="L4298" s="9" t="str">
        <f t="shared" si="186"/>
        <v/>
      </c>
    </row>
    <row r="4299" spans="3:12" x14ac:dyDescent="0.2">
      <c r="C4299"/>
      <c r="L4299" s="9" t="str">
        <f t="shared" si="186"/>
        <v/>
      </c>
    </row>
    <row r="4300" spans="3:12" x14ac:dyDescent="0.2">
      <c r="C4300"/>
      <c r="L4300" s="9" t="str">
        <f t="shared" si="186"/>
        <v/>
      </c>
    </row>
    <row r="4301" spans="3:12" x14ac:dyDescent="0.2">
      <c r="C4301"/>
      <c r="L4301" s="9" t="str">
        <f t="shared" si="186"/>
        <v/>
      </c>
    </row>
    <row r="4302" spans="3:12" x14ac:dyDescent="0.2">
      <c r="C4302"/>
      <c r="L4302" s="9" t="str">
        <f t="shared" si="186"/>
        <v/>
      </c>
    </row>
    <row r="4303" spans="3:12" x14ac:dyDescent="0.2">
      <c r="C4303"/>
      <c r="L4303" s="9" t="str">
        <f t="shared" si="186"/>
        <v/>
      </c>
    </row>
    <row r="4304" spans="3:12" x14ac:dyDescent="0.2">
      <c r="C4304"/>
      <c r="L4304" s="9" t="str">
        <f t="shared" si="186"/>
        <v/>
      </c>
    </row>
    <row r="4305" spans="3:12" x14ac:dyDescent="0.2">
      <c r="C4305"/>
      <c r="L4305" s="9" t="str">
        <f t="shared" si="186"/>
        <v/>
      </c>
    </row>
    <row r="4306" spans="3:12" x14ac:dyDescent="0.2">
      <c r="C4306"/>
      <c r="L4306" s="9" t="str">
        <f t="shared" si="186"/>
        <v/>
      </c>
    </row>
    <row r="4307" spans="3:12" x14ac:dyDescent="0.2">
      <c r="C4307"/>
      <c r="L4307" s="9" t="str">
        <f t="shared" si="186"/>
        <v/>
      </c>
    </row>
    <row r="4308" spans="3:12" x14ac:dyDescent="0.2">
      <c r="C4308"/>
      <c r="L4308" s="9" t="str">
        <f t="shared" si="186"/>
        <v/>
      </c>
    </row>
    <row r="4309" spans="3:12" x14ac:dyDescent="0.2">
      <c r="C4309"/>
      <c r="L4309" s="9" t="str">
        <f t="shared" si="186"/>
        <v/>
      </c>
    </row>
    <row r="4310" spans="3:12" x14ac:dyDescent="0.2">
      <c r="C4310"/>
      <c r="L4310" s="9" t="str">
        <f t="shared" si="186"/>
        <v/>
      </c>
    </row>
    <row r="4311" spans="3:12" x14ac:dyDescent="0.2">
      <c r="C4311"/>
      <c r="L4311" s="9" t="str">
        <f t="shared" si="186"/>
        <v/>
      </c>
    </row>
    <row r="4312" spans="3:12" x14ac:dyDescent="0.2">
      <c r="C4312"/>
      <c r="L4312" s="9" t="str">
        <f t="shared" si="186"/>
        <v/>
      </c>
    </row>
    <row r="4313" spans="3:12" x14ac:dyDescent="0.2">
      <c r="C4313"/>
      <c r="L4313" s="9" t="str">
        <f t="shared" si="186"/>
        <v/>
      </c>
    </row>
    <row r="4314" spans="3:12" x14ac:dyDescent="0.2">
      <c r="C4314"/>
      <c r="L4314" s="9" t="str">
        <f t="shared" si="186"/>
        <v/>
      </c>
    </row>
    <row r="4315" spans="3:12" x14ac:dyDescent="0.2">
      <c r="C4315"/>
      <c r="L4315" s="9" t="str">
        <f t="shared" si="186"/>
        <v/>
      </c>
    </row>
    <row r="4316" spans="3:12" x14ac:dyDescent="0.2">
      <c r="C4316"/>
      <c r="L4316" s="9" t="str">
        <f t="shared" si="186"/>
        <v/>
      </c>
    </row>
    <row r="4317" spans="3:12" x14ac:dyDescent="0.2">
      <c r="C4317"/>
      <c r="L4317" s="9" t="str">
        <f t="shared" si="186"/>
        <v/>
      </c>
    </row>
    <row r="4318" spans="3:12" x14ac:dyDescent="0.2">
      <c r="C4318"/>
      <c r="L4318" s="9" t="str">
        <f t="shared" si="186"/>
        <v/>
      </c>
    </row>
    <row r="4319" spans="3:12" x14ac:dyDescent="0.2">
      <c r="C4319"/>
      <c r="L4319" s="9" t="str">
        <f t="shared" si="186"/>
        <v/>
      </c>
    </row>
    <row r="4320" spans="3:12" x14ac:dyDescent="0.2">
      <c r="C4320"/>
      <c r="L4320" s="9" t="str">
        <f t="shared" si="186"/>
        <v/>
      </c>
    </row>
    <row r="4321" spans="3:12" x14ac:dyDescent="0.2">
      <c r="C4321"/>
      <c r="L4321" s="9" t="str">
        <f t="shared" si="186"/>
        <v/>
      </c>
    </row>
    <row r="4322" spans="3:12" x14ac:dyDescent="0.2">
      <c r="C4322"/>
      <c r="L4322" s="9" t="str">
        <f t="shared" si="186"/>
        <v/>
      </c>
    </row>
    <row r="4323" spans="3:12" x14ac:dyDescent="0.2">
      <c r="C4323"/>
      <c r="L4323" s="9" t="str">
        <f t="shared" si="186"/>
        <v/>
      </c>
    </row>
    <row r="4324" spans="3:12" x14ac:dyDescent="0.2">
      <c r="C4324"/>
      <c r="L4324" s="9" t="str">
        <f t="shared" si="186"/>
        <v/>
      </c>
    </row>
    <row r="4325" spans="3:12" x14ac:dyDescent="0.2">
      <c r="C4325"/>
      <c r="L4325" s="9" t="str">
        <f t="shared" si="186"/>
        <v/>
      </c>
    </row>
    <row r="4326" spans="3:12" x14ac:dyDescent="0.2">
      <c r="C4326"/>
      <c r="L4326" s="9" t="str">
        <f t="shared" si="186"/>
        <v/>
      </c>
    </row>
    <row r="4327" spans="3:12" x14ac:dyDescent="0.2">
      <c r="C4327"/>
      <c r="L4327" s="9" t="str">
        <f t="shared" si="186"/>
        <v/>
      </c>
    </row>
    <row r="4328" spans="3:12" x14ac:dyDescent="0.2">
      <c r="C4328"/>
      <c r="L4328" s="9" t="str">
        <f t="shared" si="186"/>
        <v/>
      </c>
    </row>
    <row r="4329" spans="3:12" x14ac:dyDescent="0.2">
      <c r="C4329"/>
      <c r="L4329" s="9" t="str">
        <f t="shared" si="186"/>
        <v/>
      </c>
    </row>
    <row r="4330" spans="3:12" x14ac:dyDescent="0.2">
      <c r="C4330"/>
      <c r="L4330" s="9" t="str">
        <f t="shared" si="186"/>
        <v/>
      </c>
    </row>
    <row r="4331" spans="3:12" x14ac:dyDescent="0.2">
      <c r="C4331"/>
      <c r="L4331" s="9" t="str">
        <f t="shared" si="186"/>
        <v/>
      </c>
    </row>
    <row r="4332" spans="3:12" x14ac:dyDescent="0.2">
      <c r="C4332"/>
      <c r="L4332" s="9" t="str">
        <f t="shared" si="186"/>
        <v/>
      </c>
    </row>
    <row r="4333" spans="3:12" x14ac:dyDescent="0.2">
      <c r="C4333"/>
      <c r="L4333" s="9" t="str">
        <f t="shared" si="186"/>
        <v/>
      </c>
    </row>
    <row r="4334" spans="3:12" x14ac:dyDescent="0.2">
      <c r="C4334"/>
      <c r="L4334" s="9" t="str">
        <f t="shared" si="186"/>
        <v/>
      </c>
    </row>
    <row r="4335" spans="3:12" x14ac:dyDescent="0.2">
      <c r="C4335"/>
      <c r="L4335" s="9" t="str">
        <f t="shared" si="186"/>
        <v/>
      </c>
    </row>
    <row r="4336" spans="3:12" x14ac:dyDescent="0.2">
      <c r="C4336"/>
      <c r="L4336" s="9" t="str">
        <f t="shared" si="186"/>
        <v/>
      </c>
    </row>
    <row r="4337" spans="3:12" x14ac:dyDescent="0.2">
      <c r="C4337"/>
      <c r="L4337" s="9" t="str">
        <f t="shared" si="186"/>
        <v/>
      </c>
    </row>
    <row r="4338" spans="3:12" x14ac:dyDescent="0.2">
      <c r="C4338"/>
      <c r="L4338" s="9" t="str">
        <f t="shared" si="186"/>
        <v/>
      </c>
    </row>
    <row r="4339" spans="3:12" x14ac:dyDescent="0.2">
      <c r="C4339"/>
      <c r="L4339" s="9" t="str">
        <f t="shared" si="186"/>
        <v/>
      </c>
    </row>
    <row r="4340" spans="3:12" x14ac:dyDescent="0.2">
      <c r="C4340"/>
      <c r="L4340" s="9" t="str">
        <f t="shared" si="186"/>
        <v/>
      </c>
    </row>
    <row r="4341" spans="3:12" x14ac:dyDescent="0.2">
      <c r="C4341"/>
      <c r="L4341" s="9" t="str">
        <f t="shared" si="186"/>
        <v/>
      </c>
    </row>
    <row r="4342" spans="3:12" x14ac:dyDescent="0.2">
      <c r="C4342"/>
      <c r="L4342" s="9" t="str">
        <f t="shared" si="186"/>
        <v/>
      </c>
    </row>
    <row r="4343" spans="3:12" x14ac:dyDescent="0.2">
      <c r="C4343"/>
      <c r="L4343" s="9" t="str">
        <f t="shared" si="186"/>
        <v/>
      </c>
    </row>
    <row r="4344" spans="3:12" x14ac:dyDescent="0.2">
      <c r="C4344"/>
      <c r="L4344" s="9" t="str">
        <f t="shared" si="186"/>
        <v/>
      </c>
    </row>
    <row r="4345" spans="3:12" x14ac:dyDescent="0.2">
      <c r="C4345"/>
      <c r="L4345" s="9" t="str">
        <f t="shared" si="186"/>
        <v/>
      </c>
    </row>
    <row r="4346" spans="3:12" x14ac:dyDescent="0.2">
      <c r="C4346"/>
      <c r="L4346" s="9" t="str">
        <f t="shared" si="186"/>
        <v/>
      </c>
    </row>
    <row r="4347" spans="3:12" x14ac:dyDescent="0.2">
      <c r="C4347"/>
      <c r="L4347" s="9" t="str">
        <f t="shared" si="186"/>
        <v/>
      </c>
    </row>
    <row r="4348" spans="3:12" x14ac:dyDescent="0.2">
      <c r="C4348"/>
      <c r="L4348" s="9" t="str">
        <f t="shared" si="186"/>
        <v/>
      </c>
    </row>
    <row r="4349" spans="3:12" x14ac:dyDescent="0.2">
      <c r="C4349"/>
      <c r="L4349" s="9" t="str">
        <f t="shared" ref="L4349:L4412" si="187">IF(A4349="STOCK",E4349,IF(A4349="SOPTION",G4349,IF(A4349="LOPTION",F4349,"")))</f>
        <v/>
      </c>
    </row>
    <row r="4350" spans="3:12" x14ac:dyDescent="0.2">
      <c r="C4350"/>
      <c r="L4350" s="9" t="str">
        <f t="shared" si="187"/>
        <v/>
      </c>
    </row>
    <row r="4351" spans="3:12" x14ac:dyDescent="0.2">
      <c r="C4351"/>
      <c r="L4351" s="9" t="str">
        <f t="shared" si="187"/>
        <v/>
      </c>
    </row>
    <row r="4352" spans="3:12" x14ac:dyDescent="0.2">
      <c r="C4352"/>
      <c r="L4352" s="9" t="str">
        <f t="shared" si="187"/>
        <v/>
      </c>
    </row>
    <row r="4353" spans="3:12" x14ac:dyDescent="0.2">
      <c r="C4353"/>
      <c r="L4353" s="9" t="str">
        <f t="shared" si="187"/>
        <v/>
      </c>
    </row>
    <row r="4354" spans="3:12" x14ac:dyDescent="0.2">
      <c r="C4354"/>
      <c r="L4354" s="9" t="str">
        <f t="shared" si="187"/>
        <v/>
      </c>
    </row>
    <row r="4355" spans="3:12" x14ac:dyDescent="0.2">
      <c r="C4355"/>
      <c r="L4355" s="9" t="str">
        <f t="shared" si="187"/>
        <v/>
      </c>
    </row>
    <row r="4356" spans="3:12" x14ac:dyDescent="0.2">
      <c r="C4356"/>
      <c r="L4356" s="9" t="str">
        <f t="shared" si="187"/>
        <v/>
      </c>
    </row>
    <row r="4357" spans="3:12" x14ac:dyDescent="0.2">
      <c r="C4357"/>
      <c r="L4357" s="9" t="str">
        <f t="shared" si="187"/>
        <v/>
      </c>
    </row>
    <row r="4358" spans="3:12" x14ac:dyDescent="0.2">
      <c r="C4358"/>
      <c r="L4358" s="9" t="str">
        <f t="shared" si="187"/>
        <v/>
      </c>
    </row>
    <row r="4359" spans="3:12" x14ac:dyDescent="0.2">
      <c r="C4359"/>
      <c r="L4359" s="9" t="str">
        <f t="shared" si="187"/>
        <v/>
      </c>
    </row>
    <row r="4360" spans="3:12" x14ac:dyDescent="0.2">
      <c r="C4360"/>
      <c r="L4360" s="9" t="str">
        <f t="shared" si="187"/>
        <v/>
      </c>
    </row>
    <row r="4361" spans="3:12" x14ac:dyDescent="0.2">
      <c r="C4361"/>
      <c r="L4361" s="9" t="str">
        <f t="shared" si="187"/>
        <v/>
      </c>
    </row>
    <row r="4362" spans="3:12" x14ac:dyDescent="0.2">
      <c r="C4362"/>
      <c r="L4362" s="9" t="str">
        <f t="shared" si="187"/>
        <v/>
      </c>
    </row>
    <row r="4363" spans="3:12" x14ac:dyDescent="0.2">
      <c r="C4363"/>
      <c r="L4363" s="9" t="str">
        <f t="shared" si="187"/>
        <v/>
      </c>
    </row>
    <row r="4364" spans="3:12" x14ac:dyDescent="0.2">
      <c r="C4364"/>
      <c r="L4364" s="9" t="str">
        <f t="shared" si="187"/>
        <v/>
      </c>
    </row>
    <row r="4365" spans="3:12" x14ac:dyDescent="0.2">
      <c r="C4365"/>
      <c r="L4365" s="9" t="str">
        <f t="shared" si="187"/>
        <v/>
      </c>
    </row>
    <row r="4366" spans="3:12" x14ac:dyDescent="0.2">
      <c r="C4366"/>
      <c r="L4366" s="9" t="str">
        <f t="shared" si="187"/>
        <v/>
      </c>
    </row>
    <row r="4367" spans="3:12" x14ac:dyDescent="0.2">
      <c r="C4367"/>
      <c r="L4367" s="9" t="str">
        <f t="shared" si="187"/>
        <v/>
      </c>
    </row>
    <row r="4368" spans="3:12" x14ac:dyDescent="0.2">
      <c r="C4368"/>
      <c r="L4368" s="9" t="str">
        <f t="shared" si="187"/>
        <v/>
      </c>
    </row>
    <row r="4369" spans="3:12" x14ac:dyDescent="0.2">
      <c r="C4369"/>
      <c r="L4369" s="9" t="str">
        <f t="shared" si="187"/>
        <v/>
      </c>
    </row>
    <row r="4370" spans="3:12" x14ac:dyDescent="0.2">
      <c r="C4370"/>
      <c r="L4370" s="9" t="str">
        <f t="shared" si="187"/>
        <v/>
      </c>
    </row>
    <row r="4371" spans="3:12" x14ac:dyDescent="0.2">
      <c r="C4371"/>
      <c r="L4371" s="9" t="str">
        <f t="shared" si="187"/>
        <v/>
      </c>
    </row>
    <row r="4372" spans="3:12" x14ac:dyDescent="0.2">
      <c r="C4372"/>
      <c r="L4372" s="9" t="str">
        <f t="shared" si="187"/>
        <v/>
      </c>
    </row>
    <row r="4373" spans="3:12" x14ac:dyDescent="0.2">
      <c r="C4373"/>
      <c r="L4373" s="9" t="str">
        <f t="shared" si="187"/>
        <v/>
      </c>
    </row>
    <row r="4374" spans="3:12" x14ac:dyDescent="0.2">
      <c r="C4374"/>
      <c r="L4374" s="9" t="str">
        <f t="shared" si="187"/>
        <v/>
      </c>
    </row>
    <row r="4375" spans="3:12" x14ac:dyDescent="0.2">
      <c r="C4375"/>
      <c r="L4375" s="9" t="str">
        <f t="shared" si="187"/>
        <v/>
      </c>
    </row>
    <row r="4376" spans="3:12" x14ac:dyDescent="0.2">
      <c r="C4376"/>
      <c r="L4376" s="9" t="str">
        <f t="shared" si="187"/>
        <v/>
      </c>
    </row>
    <row r="4377" spans="3:12" x14ac:dyDescent="0.2">
      <c r="C4377"/>
      <c r="L4377" s="9" t="str">
        <f t="shared" si="187"/>
        <v/>
      </c>
    </row>
    <row r="4378" spans="3:12" x14ac:dyDescent="0.2">
      <c r="C4378"/>
      <c r="L4378" s="9" t="str">
        <f t="shared" si="187"/>
        <v/>
      </c>
    </row>
    <row r="4379" spans="3:12" x14ac:dyDescent="0.2">
      <c r="C4379"/>
      <c r="L4379" s="9" t="str">
        <f t="shared" si="187"/>
        <v/>
      </c>
    </row>
    <row r="4380" spans="3:12" x14ac:dyDescent="0.2">
      <c r="C4380"/>
      <c r="L4380" s="9" t="str">
        <f t="shared" si="187"/>
        <v/>
      </c>
    </row>
    <row r="4381" spans="3:12" x14ac:dyDescent="0.2">
      <c r="C4381"/>
      <c r="L4381" s="9" t="str">
        <f t="shared" si="187"/>
        <v/>
      </c>
    </row>
    <row r="4382" spans="3:12" x14ac:dyDescent="0.2">
      <c r="C4382"/>
      <c r="L4382" s="9" t="str">
        <f t="shared" si="187"/>
        <v/>
      </c>
    </row>
    <row r="4383" spans="3:12" x14ac:dyDescent="0.2">
      <c r="C4383"/>
      <c r="L4383" s="9" t="str">
        <f t="shared" si="187"/>
        <v/>
      </c>
    </row>
    <row r="4384" spans="3:12" x14ac:dyDescent="0.2">
      <c r="C4384"/>
      <c r="L4384" s="9" t="str">
        <f t="shared" si="187"/>
        <v/>
      </c>
    </row>
    <row r="4385" spans="3:12" x14ac:dyDescent="0.2">
      <c r="C4385"/>
      <c r="L4385" s="9" t="str">
        <f t="shared" si="187"/>
        <v/>
      </c>
    </row>
    <row r="4386" spans="3:12" x14ac:dyDescent="0.2">
      <c r="C4386"/>
      <c r="L4386" s="9" t="str">
        <f t="shared" si="187"/>
        <v/>
      </c>
    </row>
    <row r="4387" spans="3:12" x14ac:dyDescent="0.2">
      <c r="C4387"/>
      <c r="L4387" s="9" t="str">
        <f t="shared" si="187"/>
        <v/>
      </c>
    </row>
    <row r="4388" spans="3:12" x14ac:dyDescent="0.2">
      <c r="C4388"/>
      <c r="L4388" s="9" t="str">
        <f t="shared" si="187"/>
        <v/>
      </c>
    </row>
    <row r="4389" spans="3:12" x14ac:dyDescent="0.2">
      <c r="C4389"/>
      <c r="L4389" s="9" t="str">
        <f t="shared" si="187"/>
        <v/>
      </c>
    </row>
    <row r="4390" spans="3:12" x14ac:dyDescent="0.2">
      <c r="C4390"/>
      <c r="L4390" s="9" t="str">
        <f t="shared" si="187"/>
        <v/>
      </c>
    </row>
    <row r="4391" spans="3:12" x14ac:dyDescent="0.2">
      <c r="C4391"/>
      <c r="L4391" s="9" t="str">
        <f t="shared" si="187"/>
        <v/>
      </c>
    </row>
    <row r="4392" spans="3:12" x14ac:dyDescent="0.2">
      <c r="C4392"/>
      <c r="L4392" s="9" t="str">
        <f t="shared" si="187"/>
        <v/>
      </c>
    </row>
    <row r="4393" spans="3:12" x14ac:dyDescent="0.2">
      <c r="C4393"/>
      <c r="L4393" s="9" t="str">
        <f t="shared" si="187"/>
        <v/>
      </c>
    </row>
    <row r="4394" spans="3:12" x14ac:dyDescent="0.2">
      <c r="C4394"/>
      <c r="L4394" s="9" t="str">
        <f t="shared" si="187"/>
        <v/>
      </c>
    </row>
    <row r="4395" spans="3:12" x14ac:dyDescent="0.2">
      <c r="C4395"/>
      <c r="L4395" s="9" t="str">
        <f t="shared" si="187"/>
        <v/>
      </c>
    </row>
    <row r="4396" spans="3:12" x14ac:dyDescent="0.2">
      <c r="C4396"/>
      <c r="L4396" s="9" t="str">
        <f t="shared" si="187"/>
        <v/>
      </c>
    </row>
    <row r="4397" spans="3:12" x14ac:dyDescent="0.2">
      <c r="C4397"/>
      <c r="L4397" s="9" t="str">
        <f t="shared" si="187"/>
        <v/>
      </c>
    </row>
    <row r="4398" spans="3:12" x14ac:dyDescent="0.2">
      <c r="C4398"/>
      <c r="L4398" s="9" t="str">
        <f t="shared" si="187"/>
        <v/>
      </c>
    </row>
    <row r="4399" spans="3:12" x14ac:dyDescent="0.2">
      <c r="C4399"/>
      <c r="L4399" s="9" t="str">
        <f t="shared" si="187"/>
        <v/>
      </c>
    </row>
    <row r="4400" spans="3:12" x14ac:dyDescent="0.2">
      <c r="C4400"/>
      <c r="L4400" s="9" t="str">
        <f t="shared" si="187"/>
        <v/>
      </c>
    </row>
    <row r="4401" spans="3:12" x14ac:dyDescent="0.2">
      <c r="C4401"/>
      <c r="L4401" s="9" t="str">
        <f t="shared" si="187"/>
        <v/>
      </c>
    </row>
    <row r="4402" spans="3:12" x14ac:dyDescent="0.2">
      <c r="C4402"/>
      <c r="L4402" s="9" t="str">
        <f t="shared" si="187"/>
        <v/>
      </c>
    </row>
    <row r="4403" spans="3:12" x14ac:dyDescent="0.2">
      <c r="C4403"/>
      <c r="L4403" s="9" t="str">
        <f t="shared" si="187"/>
        <v/>
      </c>
    </row>
    <row r="4404" spans="3:12" x14ac:dyDescent="0.2">
      <c r="C4404"/>
      <c r="L4404" s="9" t="str">
        <f t="shared" si="187"/>
        <v/>
      </c>
    </row>
    <row r="4405" spans="3:12" x14ac:dyDescent="0.2">
      <c r="C4405"/>
      <c r="L4405" s="9" t="str">
        <f t="shared" si="187"/>
        <v/>
      </c>
    </row>
    <row r="4406" spans="3:12" x14ac:dyDescent="0.2">
      <c r="C4406"/>
      <c r="L4406" s="9" t="str">
        <f t="shared" si="187"/>
        <v/>
      </c>
    </row>
    <row r="4407" spans="3:12" x14ac:dyDescent="0.2">
      <c r="C4407"/>
      <c r="L4407" s="9" t="str">
        <f t="shared" si="187"/>
        <v/>
      </c>
    </row>
    <row r="4408" spans="3:12" x14ac:dyDescent="0.2">
      <c r="C4408"/>
      <c r="L4408" s="9" t="str">
        <f t="shared" si="187"/>
        <v/>
      </c>
    </row>
    <row r="4409" spans="3:12" x14ac:dyDescent="0.2">
      <c r="C4409"/>
      <c r="L4409" s="9" t="str">
        <f t="shared" si="187"/>
        <v/>
      </c>
    </row>
    <row r="4410" spans="3:12" x14ac:dyDescent="0.2">
      <c r="C4410"/>
      <c r="L4410" s="9" t="str">
        <f t="shared" si="187"/>
        <v/>
      </c>
    </row>
    <row r="4411" spans="3:12" x14ac:dyDescent="0.2">
      <c r="C4411"/>
      <c r="L4411" s="9" t="str">
        <f t="shared" si="187"/>
        <v/>
      </c>
    </row>
    <row r="4412" spans="3:12" x14ac:dyDescent="0.2">
      <c r="C4412"/>
      <c r="L4412" s="9" t="str">
        <f t="shared" si="187"/>
        <v/>
      </c>
    </row>
    <row r="4413" spans="3:12" x14ac:dyDescent="0.2">
      <c r="C4413"/>
      <c r="L4413" s="9" t="str">
        <f t="shared" ref="L4413:L4476" si="188">IF(A4413="STOCK",E4413,IF(A4413="SOPTION",G4413,IF(A4413="LOPTION",F4413,"")))</f>
        <v/>
      </c>
    </row>
    <row r="4414" spans="3:12" x14ac:dyDescent="0.2">
      <c r="C4414"/>
      <c r="L4414" s="9" t="str">
        <f t="shared" si="188"/>
        <v/>
      </c>
    </row>
    <row r="4415" spans="3:12" x14ac:dyDescent="0.2">
      <c r="C4415"/>
      <c r="L4415" s="9" t="str">
        <f t="shared" si="188"/>
        <v/>
      </c>
    </row>
    <row r="4416" spans="3:12" x14ac:dyDescent="0.2">
      <c r="C4416"/>
      <c r="L4416" s="9" t="str">
        <f t="shared" si="188"/>
        <v/>
      </c>
    </row>
    <row r="4417" spans="3:12" x14ac:dyDescent="0.2">
      <c r="C4417"/>
      <c r="L4417" s="9" t="str">
        <f t="shared" si="188"/>
        <v/>
      </c>
    </row>
    <row r="4418" spans="3:12" x14ac:dyDescent="0.2">
      <c r="C4418"/>
      <c r="L4418" s="9" t="str">
        <f t="shared" si="188"/>
        <v/>
      </c>
    </row>
    <row r="4419" spans="3:12" x14ac:dyDescent="0.2">
      <c r="C4419"/>
      <c r="L4419" s="9" t="str">
        <f t="shared" si="188"/>
        <v/>
      </c>
    </row>
    <row r="4420" spans="3:12" x14ac:dyDescent="0.2">
      <c r="C4420"/>
      <c r="L4420" s="9" t="str">
        <f t="shared" si="188"/>
        <v/>
      </c>
    </row>
    <row r="4421" spans="3:12" x14ac:dyDescent="0.2">
      <c r="C4421"/>
      <c r="L4421" s="9" t="str">
        <f t="shared" si="188"/>
        <v/>
      </c>
    </row>
    <row r="4422" spans="3:12" x14ac:dyDescent="0.2">
      <c r="C4422"/>
      <c r="L4422" s="9" t="str">
        <f t="shared" si="188"/>
        <v/>
      </c>
    </row>
    <row r="4423" spans="3:12" x14ac:dyDescent="0.2">
      <c r="C4423"/>
      <c r="L4423" s="9" t="str">
        <f t="shared" si="188"/>
        <v/>
      </c>
    </row>
    <row r="4424" spans="3:12" x14ac:dyDescent="0.2">
      <c r="C4424"/>
      <c r="L4424" s="9" t="str">
        <f t="shared" si="188"/>
        <v/>
      </c>
    </row>
    <row r="4425" spans="3:12" x14ac:dyDescent="0.2">
      <c r="C4425"/>
      <c r="L4425" s="9" t="str">
        <f t="shared" si="188"/>
        <v/>
      </c>
    </row>
    <row r="4426" spans="3:12" x14ac:dyDescent="0.2">
      <c r="C4426"/>
      <c r="L4426" s="9" t="str">
        <f t="shared" si="188"/>
        <v/>
      </c>
    </row>
    <row r="4427" spans="3:12" x14ac:dyDescent="0.2">
      <c r="C4427"/>
      <c r="L4427" s="9" t="str">
        <f t="shared" si="188"/>
        <v/>
      </c>
    </row>
    <row r="4428" spans="3:12" x14ac:dyDescent="0.2">
      <c r="C4428"/>
      <c r="L4428" s="9" t="str">
        <f t="shared" si="188"/>
        <v/>
      </c>
    </row>
    <row r="4429" spans="3:12" x14ac:dyDescent="0.2">
      <c r="C4429"/>
      <c r="L4429" s="9" t="str">
        <f t="shared" si="188"/>
        <v/>
      </c>
    </row>
    <row r="4430" spans="3:12" x14ac:dyDescent="0.2">
      <c r="C4430"/>
      <c r="L4430" s="9" t="str">
        <f t="shared" si="188"/>
        <v/>
      </c>
    </row>
    <row r="4431" spans="3:12" x14ac:dyDescent="0.2">
      <c r="C4431"/>
      <c r="L4431" s="9" t="str">
        <f t="shared" si="188"/>
        <v/>
      </c>
    </row>
    <row r="4432" spans="3:12" x14ac:dyDescent="0.2">
      <c r="C4432"/>
      <c r="L4432" s="9" t="str">
        <f t="shared" si="188"/>
        <v/>
      </c>
    </row>
    <row r="4433" spans="3:12" x14ac:dyDescent="0.2">
      <c r="C4433"/>
      <c r="L4433" s="9" t="str">
        <f t="shared" si="188"/>
        <v/>
      </c>
    </row>
    <row r="4434" spans="3:12" x14ac:dyDescent="0.2">
      <c r="C4434"/>
      <c r="L4434" s="9" t="str">
        <f t="shared" si="188"/>
        <v/>
      </c>
    </row>
    <row r="4435" spans="3:12" x14ac:dyDescent="0.2">
      <c r="C4435"/>
      <c r="L4435" s="9" t="str">
        <f t="shared" si="188"/>
        <v/>
      </c>
    </row>
    <row r="4436" spans="3:12" x14ac:dyDescent="0.2">
      <c r="C4436"/>
      <c r="L4436" s="9" t="str">
        <f t="shared" si="188"/>
        <v/>
      </c>
    </row>
    <row r="4437" spans="3:12" x14ac:dyDescent="0.2">
      <c r="C4437"/>
      <c r="L4437" s="9" t="str">
        <f t="shared" si="188"/>
        <v/>
      </c>
    </row>
    <row r="4438" spans="3:12" x14ac:dyDescent="0.2">
      <c r="C4438"/>
      <c r="L4438" s="9" t="str">
        <f t="shared" si="188"/>
        <v/>
      </c>
    </row>
    <row r="4439" spans="3:12" x14ac:dyDescent="0.2">
      <c r="C4439"/>
      <c r="L4439" s="9" t="str">
        <f t="shared" si="188"/>
        <v/>
      </c>
    </row>
    <row r="4440" spans="3:12" x14ac:dyDescent="0.2">
      <c r="C4440"/>
      <c r="L4440" s="9" t="str">
        <f t="shared" si="188"/>
        <v/>
      </c>
    </row>
    <row r="4441" spans="3:12" x14ac:dyDescent="0.2">
      <c r="C4441"/>
      <c r="L4441" s="9" t="str">
        <f t="shared" si="188"/>
        <v/>
      </c>
    </row>
    <row r="4442" spans="3:12" x14ac:dyDescent="0.2">
      <c r="C4442"/>
      <c r="L4442" s="9" t="str">
        <f t="shared" si="188"/>
        <v/>
      </c>
    </row>
    <row r="4443" spans="3:12" x14ac:dyDescent="0.2">
      <c r="C4443"/>
      <c r="L4443" s="9" t="str">
        <f t="shared" si="188"/>
        <v/>
      </c>
    </row>
    <row r="4444" spans="3:12" x14ac:dyDescent="0.2">
      <c r="C4444"/>
      <c r="L4444" s="9" t="str">
        <f t="shared" si="188"/>
        <v/>
      </c>
    </row>
    <row r="4445" spans="3:12" x14ac:dyDescent="0.2">
      <c r="C4445"/>
      <c r="L4445" s="9" t="str">
        <f t="shared" si="188"/>
        <v/>
      </c>
    </row>
    <row r="4446" spans="3:12" x14ac:dyDescent="0.2">
      <c r="C4446"/>
      <c r="L4446" s="9" t="str">
        <f t="shared" si="188"/>
        <v/>
      </c>
    </row>
    <row r="4447" spans="3:12" x14ac:dyDescent="0.2">
      <c r="C4447"/>
      <c r="L4447" s="9" t="str">
        <f t="shared" si="188"/>
        <v/>
      </c>
    </row>
    <row r="4448" spans="3:12" x14ac:dyDescent="0.2">
      <c r="C4448"/>
      <c r="L4448" s="9" t="str">
        <f t="shared" si="188"/>
        <v/>
      </c>
    </row>
    <row r="4449" spans="3:12" x14ac:dyDescent="0.2">
      <c r="C4449"/>
      <c r="L4449" s="9" t="str">
        <f t="shared" si="188"/>
        <v/>
      </c>
    </row>
    <row r="4450" spans="3:12" x14ac:dyDescent="0.2">
      <c r="C4450"/>
      <c r="L4450" s="9" t="str">
        <f t="shared" si="188"/>
        <v/>
      </c>
    </row>
    <row r="4451" spans="3:12" x14ac:dyDescent="0.2">
      <c r="C4451"/>
      <c r="L4451" s="9" t="str">
        <f t="shared" si="188"/>
        <v/>
      </c>
    </row>
    <row r="4452" spans="3:12" x14ac:dyDescent="0.2">
      <c r="C4452"/>
      <c r="L4452" s="9" t="str">
        <f t="shared" si="188"/>
        <v/>
      </c>
    </row>
    <row r="4453" spans="3:12" x14ac:dyDescent="0.2">
      <c r="C4453"/>
      <c r="L4453" s="9" t="str">
        <f t="shared" si="188"/>
        <v/>
      </c>
    </row>
    <row r="4454" spans="3:12" x14ac:dyDescent="0.2">
      <c r="C4454"/>
      <c r="L4454" s="9" t="str">
        <f t="shared" si="188"/>
        <v/>
      </c>
    </row>
    <row r="4455" spans="3:12" x14ac:dyDescent="0.2">
      <c r="C4455"/>
      <c r="L4455" s="9" t="str">
        <f t="shared" si="188"/>
        <v/>
      </c>
    </row>
    <row r="4456" spans="3:12" x14ac:dyDescent="0.2">
      <c r="C4456"/>
      <c r="L4456" s="9" t="str">
        <f t="shared" si="188"/>
        <v/>
      </c>
    </row>
    <row r="4457" spans="3:12" x14ac:dyDescent="0.2">
      <c r="C4457"/>
      <c r="L4457" s="9" t="str">
        <f t="shared" si="188"/>
        <v/>
      </c>
    </row>
    <row r="4458" spans="3:12" x14ac:dyDescent="0.2">
      <c r="C4458"/>
      <c r="L4458" s="9" t="str">
        <f t="shared" si="188"/>
        <v/>
      </c>
    </row>
    <row r="4459" spans="3:12" x14ac:dyDescent="0.2">
      <c r="C4459"/>
      <c r="L4459" s="9" t="str">
        <f t="shared" si="188"/>
        <v/>
      </c>
    </row>
    <row r="4460" spans="3:12" x14ac:dyDescent="0.2">
      <c r="C4460"/>
      <c r="L4460" s="9" t="str">
        <f t="shared" si="188"/>
        <v/>
      </c>
    </row>
    <row r="4461" spans="3:12" x14ac:dyDescent="0.2">
      <c r="C4461"/>
      <c r="L4461" s="9" t="str">
        <f t="shared" si="188"/>
        <v/>
      </c>
    </row>
    <row r="4462" spans="3:12" x14ac:dyDescent="0.2">
      <c r="C4462"/>
      <c r="L4462" s="9" t="str">
        <f t="shared" si="188"/>
        <v/>
      </c>
    </row>
    <row r="4463" spans="3:12" x14ac:dyDescent="0.2">
      <c r="C4463"/>
      <c r="L4463" s="9" t="str">
        <f t="shared" si="188"/>
        <v/>
      </c>
    </row>
    <row r="4464" spans="3:12" x14ac:dyDescent="0.2">
      <c r="C4464"/>
      <c r="L4464" s="9" t="str">
        <f t="shared" si="188"/>
        <v/>
      </c>
    </row>
    <row r="4465" spans="3:12" x14ac:dyDescent="0.2">
      <c r="C4465"/>
      <c r="L4465" s="9" t="str">
        <f t="shared" si="188"/>
        <v/>
      </c>
    </row>
    <row r="4466" spans="3:12" x14ac:dyDescent="0.2">
      <c r="C4466"/>
      <c r="L4466" s="9" t="str">
        <f t="shared" si="188"/>
        <v/>
      </c>
    </row>
    <row r="4467" spans="3:12" x14ac:dyDescent="0.2">
      <c r="C4467"/>
      <c r="L4467" s="9" t="str">
        <f t="shared" si="188"/>
        <v/>
      </c>
    </row>
    <row r="4468" spans="3:12" x14ac:dyDescent="0.2">
      <c r="C4468"/>
      <c r="L4468" s="9" t="str">
        <f t="shared" si="188"/>
        <v/>
      </c>
    </row>
    <row r="4469" spans="3:12" x14ac:dyDescent="0.2">
      <c r="C4469"/>
      <c r="L4469" s="9" t="str">
        <f t="shared" si="188"/>
        <v/>
      </c>
    </row>
    <row r="4470" spans="3:12" x14ac:dyDescent="0.2">
      <c r="C4470"/>
      <c r="L4470" s="9" t="str">
        <f t="shared" si="188"/>
        <v/>
      </c>
    </row>
    <row r="4471" spans="3:12" x14ac:dyDescent="0.2">
      <c r="C4471"/>
      <c r="L4471" s="9" t="str">
        <f t="shared" si="188"/>
        <v/>
      </c>
    </row>
    <row r="4472" spans="3:12" x14ac:dyDescent="0.2">
      <c r="C4472"/>
      <c r="L4472" s="9" t="str">
        <f t="shared" si="188"/>
        <v/>
      </c>
    </row>
    <row r="4473" spans="3:12" x14ac:dyDescent="0.2">
      <c r="C4473"/>
      <c r="L4473" s="9" t="str">
        <f t="shared" si="188"/>
        <v/>
      </c>
    </row>
    <row r="4474" spans="3:12" x14ac:dyDescent="0.2">
      <c r="C4474"/>
      <c r="L4474" s="9" t="str">
        <f t="shared" si="188"/>
        <v/>
      </c>
    </row>
    <row r="4475" spans="3:12" x14ac:dyDescent="0.2">
      <c r="C4475"/>
      <c r="L4475" s="9" t="str">
        <f t="shared" si="188"/>
        <v/>
      </c>
    </row>
    <row r="4476" spans="3:12" x14ac:dyDescent="0.2">
      <c r="C4476"/>
      <c r="L4476" s="9" t="str">
        <f t="shared" si="188"/>
        <v/>
      </c>
    </row>
    <row r="4477" spans="3:12" x14ac:dyDescent="0.2">
      <c r="C4477"/>
      <c r="L4477" s="9" t="str">
        <f t="shared" ref="L4477:L4540" si="189">IF(A4477="STOCK",E4477,IF(A4477="SOPTION",G4477,IF(A4477="LOPTION",F4477,"")))</f>
        <v/>
      </c>
    </row>
    <row r="4478" spans="3:12" x14ac:dyDescent="0.2">
      <c r="C4478"/>
      <c r="L4478" s="9" t="str">
        <f t="shared" si="189"/>
        <v/>
      </c>
    </row>
    <row r="4479" spans="3:12" x14ac:dyDescent="0.2">
      <c r="C4479"/>
      <c r="L4479" s="9" t="str">
        <f t="shared" si="189"/>
        <v/>
      </c>
    </row>
    <row r="4480" spans="3:12" x14ac:dyDescent="0.2">
      <c r="C4480"/>
      <c r="L4480" s="9" t="str">
        <f t="shared" si="189"/>
        <v/>
      </c>
    </row>
    <row r="4481" spans="3:12" x14ac:dyDescent="0.2">
      <c r="C4481"/>
      <c r="L4481" s="9" t="str">
        <f t="shared" si="189"/>
        <v/>
      </c>
    </row>
    <row r="4482" spans="3:12" x14ac:dyDescent="0.2">
      <c r="C4482"/>
      <c r="L4482" s="9" t="str">
        <f t="shared" si="189"/>
        <v/>
      </c>
    </row>
    <row r="4483" spans="3:12" x14ac:dyDescent="0.2">
      <c r="C4483"/>
      <c r="L4483" s="9" t="str">
        <f t="shared" si="189"/>
        <v/>
      </c>
    </row>
    <row r="4484" spans="3:12" x14ac:dyDescent="0.2">
      <c r="C4484"/>
      <c r="L4484" s="9" t="str">
        <f t="shared" si="189"/>
        <v/>
      </c>
    </row>
    <row r="4485" spans="3:12" x14ac:dyDescent="0.2">
      <c r="C4485"/>
      <c r="L4485" s="9" t="str">
        <f t="shared" si="189"/>
        <v/>
      </c>
    </row>
    <row r="4486" spans="3:12" x14ac:dyDescent="0.2">
      <c r="C4486"/>
      <c r="L4486" s="9" t="str">
        <f t="shared" si="189"/>
        <v/>
      </c>
    </row>
    <row r="4487" spans="3:12" x14ac:dyDescent="0.2">
      <c r="C4487"/>
      <c r="L4487" s="9" t="str">
        <f t="shared" si="189"/>
        <v/>
      </c>
    </row>
    <row r="4488" spans="3:12" x14ac:dyDescent="0.2">
      <c r="C4488"/>
      <c r="L4488" s="9" t="str">
        <f t="shared" si="189"/>
        <v/>
      </c>
    </row>
    <row r="4489" spans="3:12" x14ac:dyDescent="0.2">
      <c r="C4489"/>
      <c r="L4489" s="9" t="str">
        <f t="shared" si="189"/>
        <v/>
      </c>
    </row>
    <row r="4490" spans="3:12" x14ac:dyDescent="0.2">
      <c r="C4490"/>
      <c r="L4490" s="9" t="str">
        <f t="shared" si="189"/>
        <v/>
      </c>
    </row>
    <row r="4491" spans="3:12" x14ac:dyDescent="0.2">
      <c r="C4491"/>
      <c r="L4491" s="9" t="str">
        <f t="shared" si="189"/>
        <v/>
      </c>
    </row>
    <row r="4492" spans="3:12" x14ac:dyDescent="0.2">
      <c r="C4492"/>
      <c r="L4492" s="9" t="str">
        <f t="shared" si="189"/>
        <v/>
      </c>
    </row>
    <row r="4493" spans="3:12" x14ac:dyDescent="0.2">
      <c r="C4493"/>
      <c r="L4493" s="9" t="str">
        <f t="shared" si="189"/>
        <v/>
      </c>
    </row>
    <row r="4494" spans="3:12" x14ac:dyDescent="0.2">
      <c r="C4494"/>
      <c r="L4494" s="9" t="str">
        <f t="shared" si="189"/>
        <v/>
      </c>
    </row>
    <row r="4495" spans="3:12" x14ac:dyDescent="0.2">
      <c r="C4495"/>
      <c r="L4495" s="9" t="str">
        <f t="shared" si="189"/>
        <v/>
      </c>
    </row>
    <row r="4496" spans="3:12" x14ac:dyDescent="0.2">
      <c r="C4496"/>
      <c r="L4496" s="9" t="str">
        <f t="shared" si="189"/>
        <v/>
      </c>
    </row>
    <row r="4497" spans="3:12" x14ac:dyDescent="0.2">
      <c r="C4497"/>
      <c r="L4497" s="9" t="str">
        <f t="shared" si="189"/>
        <v/>
      </c>
    </row>
    <row r="4498" spans="3:12" x14ac:dyDescent="0.2">
      <c r="C4498"/>
      <c r="L4498" s="9" t="str">
        <f t="shared" si="189"/>
        <v/>
      </c>
    </row>
    <row r="4499" spans="3:12" x14ac:dyDescent="0.2">
      <c r="C4499"/>
      <c r="L4499" s="9" t="str">
        <f t="shared" si="189"/>
        <v/>
      </c>
    </row>
    <row r="4500" spans="3:12" x14ac:dyDescent="0.2">
      <c r="C4500"/>
      <c r="L4500" s="9" t="str">
        <f t="shared" si="189"/>
        <v/>
      </c>
    </row>
    <row r="4501" spans="3:12" x14ac:dyDescent="0.2">
      <c r="C4501"/>
      <c r="L4501" s="9" t="str">
        <f t="shared" si="189"/>
        <v/>
      </c>
    </row>
    <row r="4502" spans="3:12" x14ac:dyDescent="0.2">
      <c r="C4502"/>
      <c r="L4502" s="9" t="str">
        <f t="shared" si="189"/>
        <v/>
      </c>
    </row>
    <row r="4503" spans="3:12" x14ac:dyDescent="0.2">
      <c r="C4503"/>
      <c r="L4503" s="9" t="str">
        <f t="shared" si="189"/>
        <v/>
      </c>
    </row>
    <row r="4504" spans="3:12" x14ac:dyDescent="0.2">
      <c r="C4504"/>
      <c r="L4504" s="9" t="str">
        <f t="shared" si="189"/>
        <v/>
      </c>
    </row>
    <row r="4505" spans="3:12" x14ac:dyDescent="0.2">
      <c r="C4505"/>
      <c r="L4505" s="9" t="str">
        <f t="shared" si="189"/>
        <v/>
      </c>
    </row>
    <row r="4506" spans="3:12" x14ac:dyDescent="0.2">
      <c r="C4506"/>
      <c r="L4506" s="9" t="str">
        <f t="shared" si="189"/>
        <v/>
      </c>
    </row>
    <row r="4507" spans="3:12" x14ac:dyDescent="0.2">
      <c r="C4507"/>
      <c r="L4507" s="9" t="str">
        <f t="shared" si="189"/>
        <v/>
      </c>
    </row>
    <row r="4508" spans="3:12" x14ac:dyDescent="0.2">
      <c r="C4508"/>
      <c r="L4508" s="9" t="str">
        <f t="shared" si="189"/>
        <v/>
      </c>
    </row>
    <row r="4509" spans="3:12" x14ac:dyDescent="0.2">
      <c r="C4509"/>
      <c r="L4509" s="9" t="str">
        <f t="shared" si="189"/>
        <v/>
      </c>
    </row>
    <row r="4510" spans="3:12" x14ac:dyDescent="0.2">
      <c r="C4510"/>
      <c r="L4510" s="9" t="str">
        <f t="shared" si="189"/>
        <v/>
      </c>
    </row>
    <row r="4511" spans="3:12" x14ac:dyDescent="0.2">
      <c r="C4511"/>
      <c r="L4511" s="9" t="str">
        <f t="shared" si="189"/>
        <v/>
      </c>
    </row>
    <row r="4512" spans="3:12" x14ac:dyDescent="0.2">
      <c r="C4512"/>
      <c r="L4512" s="9" t="str">
        <f t="shared" si="189"/>
        <v/>
      </c>
    </row>
    <row r="4513" spans="3:12" x14ac:dyDescent="0.2">
      <c r="C4513"/>
      <c r="L4513" s="9" t="str">
        <f t="shared" si="189"/>
        <v/>
      </c>
    </row>
    <row r="4514" spans="3:12" x14ac:dyDescent="0.2">
      <c r="C4514"/>
      <c r="L4514" s="9" t="str">
        <f t="shared" si="189"/>
        <v/>
      </c>
    </row>
    <row r="4515" spans="3:12" x14ac:dyDescent="0.2">
      <c r="C4515"/>
      <c r="L4515" s="9" t="str">
        <f t="shared" si="189"/>
        <v/>
      </c>
    </row>
    <row r="4516" spans="3:12" x14ac:dyDescent="0.2">
      <c r="C4516"/>
      <c r="L4516" s="9" t="str">
        <f t="shared" si="189"/>
        <v/>
      </c>
    </row>
    <row r="4517" spans="3:12" x14ac:dyDescent="0.2">
      <c r="C4517"/>
      <c r="L4517" s="9" t="str">
        <f t="shared" si="189"/>
        <v/>
      </c>
    </row>
    <row r="4518" spans="3:12" x14ac:dyDescent="0.2">
      <c r="C4518"/>
      <c r="L4518" s="9" t="str">
        <f t="shared" si="189"/>
        <v/>
      </c>
    </row>
    <row r="4519" spans="3:12" x14ac:dyDescent="0.2">
      <c r="C4519"/>
      <c r="L4519" s="9" t="str">
        <f t="shared" si="189"/>
        <v/>
      </c>
    </row>
    <row r="4520" spans="3:12" x14ac:dyDescent="0.2">
      <c r="C4520"/>
      <c r="L4520" s="9" t="str">
        <f t="shared" si="189"/>
        <v/>
      </c>
    </row>
    <row r="4521" spans="3:12" x14ac:dyDescent="0.2">
      <c r="C4521"/>
      <c r="L4521" s="9" t="str">
        <f t="shared" si="189"/>
        <v/>
      </c>
    </row>
    <row r="4522" spans="3:12" x14ac:dyDescent="0.2">
      <c r="C4522"/>
      <c r="L4522" s="9" t="str">
        <f t="shared" si="189"/>
        <v/>
      </c>
    </row>
    <row r="4523" spans="3:12" x14ac:dyDescent="0.2">
      <c r="C4523"/>
      <c r="L4523" s="9" t="str">
        <f t="shared" si="189"/>
        <v/>
      </c>
    </row>
    <row r="4524" spans="3:12" x14ac:dyDescent="0.2">
      <c r="C4524"/>
      <c r="L4524" s="9" t="str">
        <f t="shared" si="189"/>
        <v/>
      </c>
    </row>
    <row r="4525" spans="3:12" x14ac:dyDescent="0.2">
      <c r="C4525"/>
      <c r="L4525" s="9" t="str">
        <f t="shared" si="189"/>
        <v/>
      </c>
    </row>
    <row r="4526" spans="3:12" x14ac:dyDescent="0.2">
      <c r="C4526"/>
      <c r="L4526" s="9" t="str">
        <f t="shared" si="189"/>
        <v/>
      </c>
    </row>
    <row r="4527" spans="3:12" x14ac:dyDescent="0.2">
      <c r="C4527"/>
      <c r="L4527" s="9" t="str">
        <f t="shared" si="189"/>
        <v/>
      </c>
    </row>
    <row r="4528" spans="3:12" x14ac:dyDescent="0.2">
      <c r="C4528"/>
      <c r="L4528" s="9" t="str">
        <f t="shared" si="189"/>
        <v/>
      </c>
    </row>
    <row r="4529" spans="3:12" x14ac:dyDescent="0.2">
      <c r="C4529"/>
      <c r="L4529" s="9" t="str">
        <f t="shared" si="189"/>
        <v/>
      </c>
    </row>
    <row r="4530" spans="3:12" x14ac:dyDescent="0.2">
      <c r="C4530"/>
      <c r="L4530" s="9" t="str">
        <f t="shared" si="189"/>
        <v/>
      </c>
    </row>
    <row r="4531" spans="3:12" x14ac:dyDescent="0.2">
      <c r="C4531"/>
      <c r="L4531" s="9" t="str">
        <f t="shared" si="189"/>
        <v/>
      </c>
    </row>
    <row r="4532" spans="3:12" x14ac:dyDescent="0.2">
      <c r="C4532"/>
      <c r="L4532" s="9" t="str">
        <f t="shared" si="189"/>
        <v/>
      </c>
    </row>
    <row r="4533" spans="3:12" x14ac:dyDescent="0.2">
      <c r="C4533"/>
      <c r="L4533" s="9" t="str">
        <f t="shared" si="189"/>
        <v/>
      </c>
    </row>
    <row r="4534" spans="3:12" x14ac:dyDescent="0.2">
      <c r="C4534"/>
      <c r="L4534" s="9" t="str">
        <f t="shared" si="189"/>
        <v/>
      </c>
    </row>
    <row r="4535" spans="3:12" x14ac:dyDescent="0.2">
      <c r="C4535"/>
      <c r="L4535" s="9" t="str">
        <f t="shared" si="189"/>
        <v/>
      </c>
    </row>
    <row r="4536" spans="3:12" x14ac:dyDescent="0.2">
      <c r="C4536"/>
      <c r="L4536" s="9" t="str">
        <f t="shared" si="189"/>
        <v/>
      </c>
    </row>
    <row r="4537" spans="3:12" x14ac:dyDescent="0.2">
      <c r="C4537"/>
      <c r="L4537" s="9" t="str">
        <f t="shared" si="189"/>
        <v/>
      </c>
    </row>
    <row r="4538" spans="3:12" x14ac:dyDescent="0.2">
      <c r="C4538"/>
      <c r="L4538" s="9" t="str">
        <f t="shared" si="189"/>
        <v/>
      </c>
    </row>
    <row r="4539" spans="3:12" x14ac:dyDescent="0.2">
      <c r="C4539"/>
      <c r="L4539" s="9" t="str">
        <f t="shared" si="189"/>
        <v/>
      </c>
    </row>
    <row r="4540" spans="3:12" x14ac:dyDescent="0.2">
      <c r="C4540"/>
      <c r="L4540" s="9" t="str">
        <f t="shared" si="189"/>
        <v/>
      </c>
    </row>
    <row r="4541" spans="3:12" x14ac:dyDescent="0.2">
      <c r="C4541"/>
      <c r="L4541" s="9" t="str">
        <f t="shared" ref="L4541:L4604" si="190">IF(A4541="STOCK",E4541,IF(A4541="SOPTION",G4541,IF(A4541="LOPTION",F4541,"")))</f>
        <v/>
      </c>
    </row>
    <row r="4542" spans="3:12" x14ac:dyDescent="0.2">
      <c r="C4542"/>
      <c r="L4542" s="9" t="str">
        <f t="shared" si="190"/>
        <v/>
      </c>
    </row>
    <row r="4543" spans="3:12" x14ac:dyDescent="0.2">
      <c r="C4543"/>
      <c r="L4543" s="9" t="str">
        <f t="shared" si="190"/>
        <v/>
      </c>
    </row>
    <row r="4544" spans="3:12" x14ac:dyDescent="0.2">
      <c r="C4544"/>
      <c r="L4544" s="9" t="str">
        <f t="shared" si="190"/>
        <v/>
      </c>
    </row>
    <row r="4545" spans="3:12" x14ac:dyDescent="0.2">
      <c r="C4545"/>
      <c r="L4545" s="9" t="str">
        <f t="shared" si="190"/>
        <v/>
      </c>
    </row>
    <row r="4546" spans="3:12" x14ac:dyDescent="0.2">
      <c r="C4546"/>
      <c r="L4546" s="9" t="str">
        <f t="shared" si="190"/>
        <v/>
      </c>
    </row>
    <row r="4547" spans="3:12" x14ac:dyDescent="0.2">
      <c r="C4547"/>
      <c r="L4547" s="9" t="str">
        <f t="shared" si="190"/>
        <v/>
      </c>
    </row>
    <row r="4548" spans="3:12" x14ac:dyDescent="0.2">
      <c r="C4548"/>
      <c r="L4548" s="9" t="str">
        <f t="shared" si="190"/>
        <v/>
      </c>
    </row>
    <row r="4549" spans="3:12" x14ac:dyDescent="0.2">
      <c r="C4549"/>
      <c r="L4549" s="9" t="str">
        <f t="shared" si="190"/>
        <v/>
      </c>
    </row>
    <row r="4550" spans="3:12" x14ac:dyDescent="0.2">
      <c r="C4550"/>
      <c r="L4550" s="9" t="str">
        <f t="shared" si="190"/>
        <v/>
      </c>
    </row>
    <row r="4551" spans="3:12" x14ac:dyDescent="0.2">
      <c r="C4551"/>
      <c r="L4551" s="9" t="str">
        <f t="shared" si="190"/>
        <v/>
      </c>
    </row>
    <row r="4552" spans="3:12" x14ac:dyDescent="0.2">
      <c r="C4552"/>
      <c r="L4552" s="9" t="str">
        <f t="shared" si="190"/>
        <v/>
      </c>
    </row>
    <row r="4553" spans="3:12" x14ac:dyDescent="0.2">
      <c r="C4553"/>
      <c r="L4553" s="9" t="str">
        <f t="shared" si="190"/>
        <v/>
      </c>
    </row>
    <row r="4554" spans="3:12" x14ac:dyDescent="0.2">
      <c r="C4554"/>
      <c r="L4554" s="9" t="str">
        <f t="shared" si="190"/>
        <v/>
      </c>
    </row>
    <row r="4555" spans="3:12" x14ac:dyDescent="0.2">
      <c r="C4555"/>
      <c r="L4555" s="9" t="str">
        <f t="shared" si="190"/>
        <v/>
      </c>
    </row>
    <row r="4556" spans="3:12" x14ac:dyDescent="0.2">
      <c r="C4556"/>
      <c r="L4556" s="9" t="str">
        <f t="shared" si="190"/>
        <v/>
      </c>
    </row>
    <row r="4557" spans="3:12" x14ac:dyDescent="0.2">
      <c r="C4557"/>
      <c r="L4557" s="9" t="str">
        <f t="shared" si="190"/>
        <v/>
      </c>
    </row>
    <row r="4558" spans="3:12" x14ac:dyDescent="0.2">
      <c r="C4558"/>
      <c r="L4558" s="9" t="str">
        <f t="shared" si="190"/>
        <v/>
      </c>
    </row>
    <row r="4559" spans="3:12" x14ac:dyDescent="0.2">
      <c r="C4559"/>
      <c r="L4559" s="9" t="str">
        <f t="shared" si="190"/>
        <v/>
      </c>
    </row>
    <row r="4560" spans="3:12" x14ac:dyDescent="0.2">
      <c r="C4560"/>
      <c r="L4560" s="9" t="str">
        <f t="shared" si="190"/>
        <v/>
      </c>
    </row>
    <row r="4561" spans="3:12" x14ac:dyDescent="0.2">
      <c r="C4561"/>
      <c r="L4561" s="9" t="str">
        <f t="shared" si="190"/>
        <v/>
      </c>
    </row>
    <row r="4562" spans="3:12" x14ac:dyDescent="0.2">
      <c r="C4562"/>
      <c r="L4562" s="9" t="str">
        <f t="shared" si="190"/>
        <v/>
      </c>
    </row>
    <row r="4563" spans="3:12" x14ac:dyDescent="0.2">
      <c r="C4563"/>
      <c r="L4563" s="9" t="str">
        <f t="shared" si="190"/>
        <v/>
      </c>
    </row>
    <row r="4564" spans="3:12" x14ac:dyDescent="0.2">
      <c r="C4564"/>
      <c r="L4564" s="9" t="str">
        <f t="shared" si="190"/>
        <v/>
      </c>
    </row>
    <row r="4565" spans="3:12" x14ac:dyDescent="0.2">
      <c r="C4565"/>
      <c r="L4565" s="9" t="str">
        <f t="shared" si="190"/>
        <v/>
      </c>
    </row>
    <row r="4566" spans="3:12" x14ac:dyDescent="0.2">
      <c r="C4566"/>
      <c r="L4566" s="9" t="str">
        <f t="shared" si="190"/>
        <v/>
      </c>
    </row>
    <row r="4567" spans="3:12" x14ac:dyDescent="0.2">
      <c r="C4567"/>
      <c r="L4567" s="9" t="str">
        <f t="shared" si="190"/>
        <v/>
      </c>
    </row>
    <row r="4568" spans="3:12" x14ac:dyDescent="0.2">
      <c r="C4568"/>
      <c r="L4568" s="9" t="str">
        <f t="shared" si="190"/>
        <v/>
      </c>
    </row>
    <row r="4569" spans="3:12" x14ac:dyDescent="0.2">
      <c r="C4569"/>
      <c r="L4569" s="9" t="str">
        <f t="shared" si="190"/>
        <v/>
      </c>
    </row>
    <row r="4570" spans="3:12" x14ac:dyDescent="0.2">
      <c r="C4570"/>
      <c r="L4570" s="9" t="str">
        <f t="shared" si="190"/>
        <v/>
      </c>
    </row>
    <row r="4571" spans="3:12" x14ac:dyDescent="0.2">
      <c r="C4571"/>
      <c r="L4571" s="9" t="str">
        <f t="shared" si="190"/>
        <v/>
      </c>
    </row>
    <row r="4572" spans="3:12" x14ac:dyDescent="0.2">
      <c r="C4572"/>
      <c r="L4572" s="9" t="str">
        <f t="shared" si="190"/>
        <v/>
      </c>
    </row>
    <row r="4573" spans="3:12" x14ac:dyDescent="0.2">
      <c r="C4573"/>
      <c r="L4573" s="9" t="str">
        <f t="shared" si="190"/>
        <v/>
      </c>
    </row>
    <row r="4574" spans="3:12" x14ac:dyDescent="0.2">
      <c r="C4574"/>
      <c r="L4574" s="9" t="str">
        <f t="shared" si="190"/>
        <v/>
      </c>
    </row>
    <row r="4575" spans="3:12" x14ac:dyDescent="0.2">
      <c r="C4575"/>
      <c r="L4575" s="9" t="str">
        <f t="shared" si="190"/>
        <v/>
      </c>
    </row>
    <row r="4576" spans="3:12" x14ac:dyDescent="0.2">
      <c r="C4576"/>
      <c r="L4576" s="9" t="str">
        <f t="shared" si="190"/>
        <v/>
      </c>
    </row>
    <row r="4577" spans="3:12" x14ac:dyDescent="0.2">
      <c r="C4577"/>
      <c r="L4577" s="9" t="str">
        <f t="shared" si="190"/>
        <v/>
      </c>
    </row>
    <row r="4578" spans="3:12" x14ac:dyDescent="0.2">
      <c r="C4578"/>
      <c r="L4578" s="9" t="str">
        <f t="shared" si="190"/>
        <v/>
      </c>
    </row>
    <row r="4579" spans="3:12" x14ac:dyDescent="0.2">
      <c r="C4579"/>
      <c r="L4579" s="9" t="str">
        <f t="shared" si="190"/>
        <v/>
      </c>
    </row>
    <row r="4580" spans="3:12" x14ac:dyDescent="0.2">
      <c r="C4580"/>
      <c r="L4580" s="9" t="str">
        <f t="shared" si="190"/>
        <v/>
      </c>
    </row>
    <row r="4581" spans="3:12" x14ac:dyDescent="0.2">
      <c r="C4581"/>
      <c r="L4581" s="9" t="str">
        <f t="shared" si="190"/>
        <v/>
      </c>
    </row>
    <row r="4582" spans="3:12" x14ac:dyDescent="0.2">
      <c r="C4582"/>
      <c r="L4582" s="9" t="str">
        <f t="shared" si="190"/>
        <v/>
      </c>
    </row>
    <row r="4583" spans="3:12" x14ac:dyDescent="0.2">
      <c r="C4583"/>
      <c r="L4583" s="9" t="str">
        <f t="shared" si="190"/>
        <v/>
      </c>
    </row>
    <row r="4584" spans="3:12" x14ac:dyDescent="0.2">
      <c r="C4584"/>
      <c r="L4584" s="9" t="str">
        <f t="shared" si="190"/>
        <v/>
      </c>
    </row>
    <row r="4585" spans="3:12" x14ac:dyDescent="0.2">
      <c r="C4585"/>
      <c r="L4585" s="9" t="str">
        <f t="shared" si="190"/>
        <v/>
      </c>
    </row>
    <row r="4586" spans="3:12" x14ac:dyDescent="0.2">
      <c r="C4586"/>
      <c r="L4586" s="9" t="str">
        <f t="shared" si="190"/>
        <v/>
      </c>
    </row>
    <row r="4587" spans="3:12" x14ac:dyDescent="0.2">
      <c r="C4587"/>
      <c r="L4587" s="9" t="str">
        <f t="shared" si="190"/>
        <v/>
      </c>
    </row>
    <row r="4588" spans="3:12" x14ac:dyDescent="0.2">
      <c r="C4588"/>
      <c r="L4588" s="9" t="str">
        <f t="shared" si="190"/>
        <v/>
      </c>
    </row>
    <row r="4589" spans="3:12" x14ac:dyDescent="0.2">
      <c r="C4589"/>
      <c r="L4589" s="9" t="str">
        <f t="shared" si="190"/>
        <v/>
      </c>
    </row>
    <row r="4590" spans="3:12" x14ac:dyDescent="0.2">
      <c r="C4590"/>
      <c r="L4590" s="9" t="str">
        <f t="shared" si="190"/>
        <v/>
      </c>
    </row>
    <row r="4591" spans="3:12" x14ac:dyDescent="0.2">
      <c r="C4591"/>
      <c r="L4591" s="9" t="str">
        <f t="shared" si="190"/>
        <v/>
      </c>
    </row>
    <row r="4592" spans="3:12" x14ac:dyDescent="0.2">
      <c r="C4592"/>
      <c r="L4592" s="9" t="str">
        <f t="shared" si="190"/>
        <v/>
      </c>
    </row>
    <row r="4593" spans="3:12" x14ac:dyDescent="0.2">
      <c r="C4593"/>
      <c r="L4593" s="9" t="str">
        <f t="shared" si="190"/>
        <v/>
      </c>
    </row>
    <row r="4594" spans="3:12" x14ac:dyDescent="0.2">
      <c r="C4594"/>
      <c r="L4594" s="9" t="str">
        <f t="shared" si="190"/>
        <v/>
      </c>
    </row>
    <row r="4595" spans="3:12" x14ac:dyDescent="0.2">
      <c r="C4595"/>
      <c r="L4595" s="9" t="str">
        <f t="shared" si="190"/>
        <v/>
      </c>
    </row>
    <row r="4596" spans="3:12" x14ac:dyDescent="0.2">
      <c r="C4596"/>
      <c r="L4596" s="9" t="str">
        <f t="shared" si="190"/>
        <v/>
      </c>
    </row>
    <row r="4597" spans="3:12" x14ac:dyDescent="0.2">
      <c r="C4597"/>
      <c r="L4597" s="9" t="str">
        <f t="shared" si="190"/>
        <v/>
      </c>
    </row>
    <row r="4598" spans="3:12" x14ac:dyDescent="0.2">
      <c r="C4598"/>
      <c r="L4598" s="9" t="str">
        <f t="shared" si="190"/>
        <v/>
      </c>
    </row>
    <row r="4599" spans="3:12" x14ac:dyDescent="0.2">
      <c r="C4599"/>
      <c r="L4599" s="9" t="str">
        <f t="shared" si="190"/>
        <v/>
      </c>
    </row>
    <row r="4600" spans="3:12" x14ac:dyDescent="0.2">
      <c r="C4600"/>
      <c r="L4600" s="9" t="str">
        <f t="shared" si="190"/>
        <v/>
      </c>
    </row>
    <row r="4601" spans="3:12" x14ac:dyDescent="0.2">
      <c r="C4601"/>
      <c r="L4601" s="9" t="str">
        <f t="shared" si="190"/>
        <v/>
      </c>
    </row>
    <row r="4602" spans="3:12" x14ac:dyDescent="0.2">
      <c r="C4602"/>
      <c r="L4602" s="9" t="str">
        <f t="shared" si="190"/>
        <v/>
      </c>
    </row>
    <row r="4603" spans="3:12" x14ac:dyDescent="0.2">
      <c r="C4603"/>
      <c r="L4603" s="9" t="str">
        <f t="shared" si="190"/>
        <v/>
      </c>
    </row>
    <row r="4604" spans="3:12" x14ac:dyDescent="0.2">
      <c r="C4604"/>
      <c r="L4604" s="9" t="str">
        <f t="shared" si="190"/>
        <v/>
      </c>
    </row>
    <row r="4605" spans="3:12" x14ac:dyDescent="0.2">
      <c r="C4605"/>
      <c r="L4605" s="9" t="str">
        <f t="shared" ref="L4605:L4668" si="191">IF(A4605="STOCK",E4605,IF(A4605="SOPTION",G4605,IF(A4605="LOPTION",F4605,"")))</f>
        <v/>
      </c>
    </row>
    <row r="4606" spans="3:12" x14ac:dyDescent="0.2">
      <c r="C4606"/>
      <c r="L4606" s="9" t="str">
        <f t="shared" si="191"/>
        <v/>
      </c>
    </row>
    <row r="4607" spans="3:12" x14ac:dyDescent="0.2">
      <c r="C4607"/>
      <c r="L4607" s="9" t="str">
        <f t="shared" si="191"/>
        <v/>
      </c>
    </row>
    <row r="4608" spans="3:12" x14ac:dyDescent="0.2">
      <c r="C4608"/>
      <c r="L4608" s="9" t="str">
        <f t="shared" si="191"/>
        <v/>
      </c>
    </row>
    <row r="4609" spans="3:12" x14ac:dyDescent="0.2">
      <c r="C4609"/>
      <c r="L4609" s="9" t="str">
        <f t="shared" si="191"/>
        <v/>
      </c>
    </row>
    <row r="4610" spans="3:12" x14ac:dyDescent="0.2">
      <c r="C4610"/>
      <c r="L4610" s="9" t="str">
        <f t="shared" si="191"/>
        <v/>
      </c>
    </row>
    <row r="4611" spans="3:12" x14ac:dyDescent="0.2">
      <c r="C4611"/>
      <c r="L4611" s="9" t="str">
        <f t="shared" si="191"/>
        <v/>
      </c>
    </row>
    <row r="4612" spans="3:12" x14ac:dyDescent="0.2">
      <c r="C4612"/>
      <c r="L4612" s="9" t="str">
        <f t="shared" si="191"/>
        <v/>
      </c>
    </row>
    <row r="4613" spans="3:12" x14ac:dyDescent="0.2">
      <c r="C4613"/>
      <c r="L4613" s="9" t="str">
        <f t="shared" si="191"/>
        <v/>
      </c>
    </row>
    <row r="4614" spans="3:12" x14ac:dyDescent="0.2">
      <c r="C4614"/>
      <c r="L4614" s="9" t="str">
        <f t="shared" si="191"/>
        <v/>
      </c>
    </row>
    <row r="4615" spans="3:12" x14ac:dyDescent="0.2">
      <c r="C4615"/>
      <c r="L4615" s="9" t="str">
        <f t="shared" si="191"/>
        <v/>
      </c>
    </row>
    <row r="4616" spans="3:12" x14ac:dyDescent="0.2">
      <c r="C4616"/>
      <c r="L4616" s="9" t="str">
        <f t="shared" si="191"/>
        <v/>
      </c>
    </row>
    <row r="4617" spans="3:12" x14ac:dyDescent="0.2">
      <c r="C4617"/>
      <c r="L4617" s="9" t="str">
        <f t="shared" si="191"/>
        <v/>
      </c>
    </row>
    <row r="4618" spans="3:12" x14ac:dyDescent="0.2">
      <c r="C4618"/>
      <c r="L4618" s="9" t="str">
        <f t="shared" si="191"/>
        <v/>
      </c>
    </row>
    <row r="4619" spans="3:12" x14ac:dyDescent="0.2">
      <c r="C4619"/>
      <c r="L4619" s="9" t="str">
        <f t="shared" si="191"/>
        <v/>
      </c>
    </row>
    <row r="4620" spans="3:12" x14ac:dyDescent="0.2">
      <c r="C4620"/>
      <c r="L4620" s="9" t="str">
        <f t="shared" si="191"/>
        <v/>
      </c>
    </row>
    <row r="4621" spans="3:12" x14ac:dyDescent="0.2">
      <c r="C4621"/>
      <c r="L4621" s="9" t="str">
        <f t="shared" si="191"/>
        <v/>
      </c>
    </row>
    <row r="4622" spans="3:12" x14ac:dyDescent="0.2">
      <c r="C4622"/>
      <c r="L4622" s="9" t="str">
        <f t="shared" si="191"/>
        <v/>
      </c>
    </row>
    <row r="4623" spans="3:12" x14ac:dyDescent="0.2">
      <c r="C4623"/>
      <c r="L4623" s="9" t="str">
        <f t="shared" si="191"/>
        <v/>
      </c>
    </row>
    <row r="4624" spans="3:12" x14ac:dyDescent="0.2">
      <c r="C4624"/>
      <c r="L4624" s="9" t="str">
        <f t="shared" si="191"/>
        <v/>
      </c>
    </row>
    <row r="4625" spans="3:12" x14ac:dyDescent="0.2">
      <c r="C4625"/>
      <c r="L4625" s="9" t="str">
        <f t="shared" si="191"/>
        <v/>
      </c>
    </row>
    <row r="4626" spans="3:12" x14ac:dyDescent="0.2">
      <c r="C4626"/>
      <c r="L4626" s="9" t="str">
        <f t="shared" si="191"/>
        <v/>
      </c>
    </row>
    <row r="4627" spans="3:12" x14ac:dyDescent="0.2">
      <c r="C4627"/>
      <c r="L4627" s="9" t="str">
        <f t="shared" si="191"/>
        <v/>
      </c>
    </row>
    <row r="4628" spans="3:12" x14ac:dyDescent="0.2">
      <c r="C4628"/>
      <c r="L4628" s="9" t="str">
        <f t="shared" si="191"/>
        <v/>
      </c>
    </row>
    <row r="4629" spans="3:12" x14ac:dyDescent="0.2">
      <c r="C4629"/>
      <c r="L4629" s="9" t="str">
        <f t="shared" si="191"/>
        <v/>
      </c>
    </row>
    <row r="4630" spans="3:12" x14ac:dyDescent="0.2">
      <c r="C4630"/>
      <c r="L4630" s="9" t="str">
        <f t="shared" si="191"/>
        <v/>
      </c>
    </row>
    <row r="4631" spans="3:12" x14ac:dyDescent="0.2">
      <c r="C4631"/>
      <c r="L4631" s="9" t="str">
        <f t="shared" si="191"/>
        <v/>
      </c>
    </row>
    <row r="4632" spans="3:12" x14ac:dyDescent="0.2">
      <c r="C4632"/>
      <c r="L4632" s="9" t="str">
        <f t="shared" si="191"/>
        <v/>
      </c>
    </row>
    <row r="4633" spans="3:12" x14ac:dyDescent="0.2">
      <c r="C4633"/>
      <c r="L4633" s="9" t="str">
        <f t="shared" si="191"/>
        <v/>
      </c>
    </row>
    <row r="4634" spans="3:12" x14ac:dyDescent="0.2">
      <c r="C4634"/>
      <c r="L4634" s="9" t="str">
        <f t="shared" si="191"/>
        <v/>
      </c>
    </row>
    <row r="4635" spans="3:12" x14ac:dyDescent="0.2">
      <c r="C4635"/>
      <c r="L4635" s="9" t="str">
        <f t="shared" si="191"/>
        <v/>
      </c>
    </row>
    <row r="4636" spans="3:12" x14ac:dyDescent="0.2">
      <c r="C4636"/>
      <c r="L4636" s="9" t="str">
        <f t="shared" si="191"/>
        <v/>
      </c>
    </row>
    <row r="4637" spans="3:12" x14ac:dyDescent="0.2">
      <c r="C4637"/>
      <c r="L4637" s="9" t="str">
        <f t="shared" si="191"/>
        <v/>
      </c>
    </row>
    <row r="4638" spans="3:12" x14ac:dyDescent="0.2">
      <c r="C4638"/>
      <c r="L4638" s="9" t="str">
        <f t="shared" si="191"/>
        <v/>
      </c>
    </row>
    <row r="4639" spans="3:12" x14ac:dyDescent="0.2">
      <c r="C4639"/>
      <c r="L4639" s="9" t="str">
        <f t="shared" si="191"/>
        <v/>
      </c>
    </row>
    <row r="4640" spans="3:12" x14ac:dyDescent="0.2">
      <c r="C4640"/>
      <c r="L4640" s="9" t="str">
        <f t="shared" si="191"/>
        <v/>
      </c>
    </row>
    <row r="4641" spans="3:12" x14ac:dyDescent="0.2">
      <c r="C4641"/>
      <c r="L4641" s="9" t="str">
        <f t="shared" si="191"/>
        <v/>
      </c>
    </row>
    <row r="4642" spans="3:12" x14ac:dyDescent="0.2">
      <c r="C4642"/>
      <c r="L4642" s="9" t="str">
        <f t="shared" si="191"/>
        <v/>
      </c>
    </row>
    <row r="4643" spans="3:12" x14ac:dyDescent="0.2">
      <c r="C4643"/>
      <c r="L4643" s="9" t="str">
        <f t="shared" si="191"/>
        <v/>
      </c>
    </row>
    <row r="4644" spans="3:12" x14ac:dyDescent="0.2">
      <c r="C4644"/>
      <c r="L4644" s="9" t="str">
        <f t="shared" si="191"/>
        <v/>
      </c>
    </row>
    <row r="4645" spans="3:12" x14ac:dyDescent="0.2">
      <c r="C4645"/>
      <c r="L4645" s="9" t="str">
        <f t="shared" si="191"/>
        <v/>
      </c>
    </row>
    <row r="4646" spans="3:12" x14ac:dyDescent="0.2">
      <c r="C4646"/>
      <c r="L4646" s="9" t="str">
        <f t="shared" si="191"/>
        <v/>
      </c>
    </row>
    <row r="4647" spans="3:12" x14ac:dyDescent="0.2">
      <c r="C4647"/>
      <c r="L4647" s="9" t="str">
        <f t="shared" si="191"/>
        <v/>
      </c>
    </row>
    <row r="4648" spans="3:12" x14ac:dyDescent="0.2">
      <c r="C4648"/>
      <c r="L4648" s="9" t="str">
        <f t="shared" si="191"/>
        <v/>
      </c>
    </row>
    <row r="4649" spans="3:12" x14ac:dyDescent="0.2">
      <c r="C4649"/>
      <c r="L4649" s="9" t="str">
        <f t="shared" si="191"/>
        <v/>
      </c>
    </row>
    <row r="4650" spans="3:12" x14ac:dyDescent="0.2">
      <c r="C4650"/>
      <c r="L4650" s="9" t="str">
        <f t="shared" si="191"/>
        <v/>
      </c>
    </row>
    <row r="4651" spans="3:12" x14ac:dyDescent="0.2">
      <c r="C4651"/>
      <c r="L4651" s="9" t="str">
        <f t="shared" si="191"/>
        <v/>
      </c>
    </row>
    <row r="4652" spans="3:12" x14ac:dyDescent="0.2">
      <c r="C4652"/>
      <c r="L4652" s="9" t="str">
        <f t="shared" si="191"/>
        <v/>
      </c>
    </row>
    <row r="4653" spans="3:12" x14ac:dyDescent="0.2">
      <c r="C4653"/>
      <c r="L4653" s="9" t="str">
        <f t="shared" si="191"/>
        <v/>
      </c>
    </row>
    <row r="4654" spans="3:12" x14ac:dyDescent="0.2">
      <c r="C4654"/>
      <c r="L4654" s="9" t="str">
        <f t="shared" si="191"/>
        <v/>
      </c>
    </row>
    <row r="4655" spans="3:12" x14ac:dyDescent="0.2">
      <c r="C4655"/>
      <c r="L4655" s="9" t="str">
        <f t="shared" si="191"/>
        <v/>
      </c>
    </row>
    <row r="4656" spans="3:12" x14ac:dyDescent="0.2">
      <c r="C4656"/>
      <c r="L4656" s="9" t="str">
        <f t="shared" si="191"/>
        <v/>
      </c>
    </row>
    <row r="4657" spans="3:12" x14ac:dyDescent="0.2">
      <c r="C4657"/>
      <c r="L4657" s="9" t="str">
        <f t="shared" si="191"/>
        <v/>
      </c>
    </row>
    <row r="4658" spans="3:12" x14ac:dyDescent="0.2">
      <c r="C4658"/>
      <c r="L4658" s="9" t="str">
        <f t="shared" si="191"/>
        <v/>
      </c>
    </row>
    <row r="4659" spans="3:12" x14ac:dyDescent="0.2">
      <c r="C4659"/>
      <c r="L4659" s="9" t="str">
        <f t="shared" si="191"/>
        <v/>
      </c>
    </row>
    <row r="4660" spans="3:12" x14ac:dyDescent="0.2">
      <c r="C4660"/>
      <c r="L4660" s="9" t="str">
        <f t="shared" si="191"/>
        <v/>
      </c>
    </row>
    <row r="4661" spans="3:12" x14ac:dyDescent="0.2">
      <c r="C4661"/>
      <c r="L4661" s="9" t="str">
        <f t="shared" si="191"/>
        <v/>
      </c>
    </row>
    <row r="4662" spans="3:12" x14ac:dyDescent="0.2">
      <c r="C4662"/>
      <c r="L4662" s="9" t="str">
        <f t="shared" si="191"/>
        <v/>
      </c>
    </row>
    <row r="4663" spans="3:12" x14ac:dyDescent="0.2">
      <c r="C4663"/>
      <c r="L4663" s="9" t="str">
        <f t="shared" si="191"/>
        <v/>
      </c>
    </row>
    <row r="4664" spans="3:12" x14ac:dyDescent="0.2">
      <c r="C4664"/>
      <c r="L4664" s="9" t="str">
        <f t="shared" si="191"/>
        <v/>
      </c>
    </row>
    <row r="4665" spans="3:12" x14ac:dyDescent="0.2">
      <c r="C4665"/>
      <c r="L4665" s="9" t="str">
        <f t="shared" si="191"/>
        <v/>
      </c>
    </row>
    <row r="4666" spans="3:12" x14ac:dyDescent="0.2">
      <c r="C4666"/>
      <c r="L4666" s="9" t="str">
        <f t="shared" si="191"/>
        <v/>
      </c>
    </row>
    <row r="4667" spans="3:12" x14ac:dyDescent="0.2">
      <c r="C4667"/>
      <c r="L4667" s="9" t="str">
        <f t="shared" si="191"/>
        <v/>
      </c>
    </row>
    <row r="4668" spans="3:12" x14ac:dyDescent="0.2">
      <c r="C4668"/>
      <c r="L4668" s="9" t="str">
        <f t="shared" si="191"/>
        <v/>
      </c>
    </row>
    <row r="4669" spans="3:12" x14ac:dyDescent="0.2">
      <c r="C4669"/>
      <c r="L4669" s="9" t="str">
        <f t="shared" ref="L4669:L4732" si="192">IF(A4669="STOCK",E4669,IF(A4669="SOPTION",G4669,IF(A4669="LOPTION",F4669,"")))</f>
        <v/>
      </c>
    </row>
    <row r="4670" spans="3:12" x14ac:dyDescent="0.2">
      <c r="C4670"/>
      <c r="L4670" s="9" t="str">
        <f t="shared" si="192"/>
        <v/>
      </c>
    </row>
    <row r="4671" spans="3:12" x14ac:dyDescent="0.2">
      <c r="C4671"/>
      <c r="L4671" s="9" t="str">
        <f t="shared" si="192"/>
        <v/>
      </c>
    </row>
    <row r="4672" spans="3:12" x14ac:dyDescent="0.2">
      <c r="C4672"/>
      <c r="L4672" s="9" t="str">
        <f t="shared" si="192"/>
        <v/>
      </c>
    </row>
    <row r="4673" spans="3:12" x14ac:dyDescent="0.2">
      <c r="C4673"/>
      <c r="L4673" s="9" t="str">
        <f t="shared" si="192"/>
        <v/>
      </c>
    </row>
    <row r="4674" spans="3:12" x14ac:dyDescent="0.2">
      <c r="C4674"/>
      <c r="L4674" s="9" t="str">
        <f t="shared" si="192"/>
        <v/>
      </c>
    </row>
    <row r="4675" spans="3:12" x14ac:dyDescent="0.2">
      <c r="C4675"/>
      <c r="L4675" s="9" t="str">
        <f t="shared" si="192"/>
        <v/>
      </c>
    </row>
    <row r="4676" spans="3:12" x14ac:dyDescent="0.2">
      <c r="C4676"/>
      <c r="L4676" s="9" t="str">
        <f t="shared" si="192"/>
        <v/>
      </c>
    </row>
    <row r="4677" spans="3:12" x14ac:dyDescent="0.2">
      <c r="C4677"/>
      <c r="L4677" s="9" t="str">
        <f t="shared" si="192"/>
        <v/>
      </c>
    </row>
    <row r="4678" spans="3:12" x14ac:dyDescent="0.2">
      <c r="C4678"/>
      <c r="L4678" s="9" t="str">
        <f t="shared" si="192"/>
        <v/>
      </c>
    </row>
    <row r="4679" spans="3:12" x14ac:dyDescent="0.2">
      <c r="C4679"/>
      <c r="L4679" s="9" t="str">
        <f t="shared" si="192"/>
        <v/>
      </c>
    </row>
    <row r="4680" spans="3:12" x14ac:dyDescent="0.2">
      <c r="C4680"/>
      <c r="L4680" s="9" t="str">
        <f t="shared" si="192"/>
        <v/>
      </c>
    </row>
    <row r="4681" spans="3:12" x14ac:dyDescent="0.2">
      <c r="C4681"/>
      <c r="L4681" s="9" t="str">
        <f t="shared" si="192"/>
        <v/>
      </c>
    </row>
    <row r="4682" spans="3:12" x14ac:dyDescent="0.2">
      <c r="C4682"/>
      <c r="L4682" s="9" t="str">
        <f t="shared" si="192"/>
        <v/>
      </c>
    </row>
    <row r="4683" spans="3:12" x14ac:dyDescent="0.2">
      <c r="C4683"/>
      <c r="L4683" s="9" t="str">
        <f t="shared" si="192"/>
        <v/>
      </c>
    </row>
    <row r="4684" spans="3:12" x14ac:dyDescent="0.2">
      <c r="C4684"/>
      <c r="L4684" s="9" t="str">
        <f t="shared" si="192"/>
        <v/>
      </c>
    </row>
    <row r="4685" spans="3:12" x14ac:dyDescent="0.2">
      <c r="C4685"/>
      <c r="L4685" s="9" t="str">
        <f t="shared" si="192"/>
        <v/>
      </c>
    </row>
    <row r="4686" spans="3:12" x14ac:dyDescent="0.2">
      <c r="C4686"/>
      <c r="L4686" s="9" t="str">
        <f t="shared" si="192"/>
        <v/>
      </c>
    </row>
    <row r="4687" spans="3:12" x14ac:dyDescent="0.2">
      <c r="C4687"/>
      <c r="L4687" s="9" t="str">
        <f t="shared" si="192"/>
        <v/>
      </c>
    </row>
    <row r="4688" spans="3:12" x14ac:dyDescent="0.2">
      <c r="C4688"/>
      <c r="L4688" s="9" t="str">
        <f t="shared" si="192"/>
        <v/>
      </c>
    </row>
    <row r="4689" spans="3:12" x14ac:dyDescent="0.2">
      <c r="C4689"/>
      <c r="L4689" s="9" t="str">
        <f t="shared" si="192"/>
        <v/>
      </c>
    </row>
    <row r="4690" spans="3:12" x14ac:dyDescent="0.2">
      <c r="C4690"/>
      <c r="L4690" s="9" t="str">
        <f t="shared" si="192"/>
        <v/>
      </c>
    </row>
    <row r="4691" spans="3:12" x14ac:dyDescent="0.2">
      <c r="C4691"/>
      <c r="L4691" s="9" t="str">
        <f t="shared" si="192"/>
        <v/>
      </c>
    </row>
    <row r="4692" spans="3:12" x14ac:dyDescent="0.2">
      <c r="C4692"/>
      <c r="L4692" s="9" t="str">
        <f t="shared" si="192"/>
        <v/>
      </c>
    </row>
    <row r="4693" spans="3:12" x14ac:dyDescent="0.2">
      <c r="C4693"/>
      <c r="L4693" s="9" t="str">
        <f t="shared" si="192"/>
        <v/>
      </c>
    </row>
    <row r="4694" spans="3:12" x14ac:dyDescent="0.2">
      <c r="C4694"/>
      <c r="L4694" s="9" t="str">
        <f t="shared" si="192"/>
        <v/>
      </c>
    </row>
    <row r="4695" spans="3:12" x14ac:dyDescent="0.2">
      <c r="C4695"/>
      <c r="L4695" s="9" t="str">
        <f t="shared" si="192"/>
        <v/>
      </c>
    </row>
    <row r="4696" spans="3:12" x14ac:dyDescent="0.2">
      <c r="C4696"/>
      <c r="L4696" s="9" t="str">
        <f t="shared" si="192"/>
        <v/>
      </c>
    </row>
    <row r="4697" spans="3:12" x14ac:dyDescent="0.2">
      <c r="C4697"/>
      <c r="L4697" s="9" t="str">
        <f t="shared" si="192"/>
        <v/>
      </c>
    </row>
    <row r="4698" spans="3:12" x14ac:dyDescent="0.2">
      <c r="C4698"/>
      <c r="L4698" s="9" t="str">
        <f t="shared" si="192"/>
        <v/>
      </c>
    </row>
    <row r="4699" spans="3:12" x14ac:dyDescent="0.2">
      <c r="C4699"/>
      <c r="L4699" s="9" t="str">
        <f t="shared" si="192"/>
        <v/>
      </c>
    </row>
    <row r="4700" spans="3:12" x14ac:dyDescent="0.2">
      <c r="C4700"/>
      <c r="L4700" s="9" t="str">
        <f t="shared" si="192"/>
        <v/>
      </c>
    </row>
    <row r="4701" spans="3:12" x14ac:dyDescent="0.2">
      <c r="C4701"/>
      <c r="L4701" s="9" t="str">
        <f t="shared" si="192"/>
        <v/>
      </c>
    </row>
    <row r="4702" spans="3:12" x14ac:dyDescent="0.2">
      <c r="C4702"/>
      <c r="L4702" s="9" t="str">
        <f t="shared" si="192"/>
        <v/>
      </c>
    </row>
    <row r="4703" spans="3:12" x14ac:dyDescent="0.2">
      <c r="C4703"/>
      <c r="L4703" s="9" t="str">
        <f t="shared" si="192"/>
        <v/>
      </c>
    </row>
    <row r="4704" spans="3:12" x14ac:dyDescent="0.2">
      <c r="C4704"/>
      <c r="L4704" s="9" t="str">
        <f t="shared" si="192"/>
        <v/>
      </c>
    </row>
    <row r="4705" spans="3:12" x14ac:dyDescent="0.2">
      <c r="C4705"/>
      <c r="L4705" s="9" t="str">
        <f t="shared" si="192"/>
        <v/>
      </c>
    </row>
    <row r="4706" spans="3:12" x14ac:dyDescent="0.2">
      <c r="C4706"/>
      <c r="L4706" s="9" t="str">
        <f t="shared" si="192"/>
        <v/>
      </c>
    </row>
    <row r="4707" spans="3:12" x14ac:dyDescent="0.2">
      <c r="C4707"/>
      <c r="L4707" s="9" t="str">
        <f t="shared" si="192"/>
        <v/>
      </c>
    </row>
    <row r="4708" spans="3:12" x14ac:dyDescent="0.2">
      <c r="C4708"/>
      <c r="L4708" s="9" t="str">
        <f t="shared" si="192"/>
        <v/>
      </c>
    </row>
    <row r="4709" spans="3:12" x14ac:dyDescent="0.2">
      <c r="C4709"/>
      <c r="L4709" s="9" t="str">
        <f t="shared" si="192"/>
        <v/>
      </c>
    </row>
    <row r="4710" spans="3:12" x14ac:dyDescent="0.2">
      <c r="C4710"/>
      <c r="L4710" s="9" t="str">
        <f t="shared" si="192"/>
        <v/>
      </c>
    </row>
    <row r="4711" spans="3:12" x14ac:dyDescent="0.2">
      <c r="C4711"/>
      <c r="L4711" s="9" t="str">
        <f t="shared" si="192"/>
        <v/>
      </c>
    </row>
    <row r="4712" spans="3:12" x14ac:dyDescent="0.2">
      <c r="C4712"/>
      <c r="L4712" s="9" t="str">
        <f t="shared" si="192"/>
        <v/>
      </c>
    </row>
    <row r="4713" spans="3:12" x14ac:dyDescent="0.2">
      <c r="C4713"/>
      <c r="L4713" s="9" t="str">
        <f t="shared" si="192"/>
        <v/>
      </c>
    </row>
    <row r="4714" spans="3:12" x14ac:dyDescent="0.2">
      <c r="C4714"/>
      <c r="L4714" s="9" t="str">
        <f t="shared" si="192"/>
        <v/>
      </c>
    </row>
    <row r="4715" spans="3:12" x14ac:dyDescent="0.2">
      <c r="C4715"/>
      <c r="L4715" s="9" t="str">
        <f t="shared" si="192"/>
        <v/>
      </c>
    </row>
    <row r="4716" spans="3:12" x14ac:dyDescent="0.2">
      <c r="C4716"/>
      <c r="L4716" s="9" t="str">
        <f t="shared" si="192"/>
        <v/>
      </c>
    </row>
    <row r="4717" spans="3:12" x14ac:dyDescent="0.2">
      <c r="C4717"/>
      <c r="L4717" s="9" t="str">
        <f t="shared" si="192"/>
        <v/>
      </c>
    </row>
    <row r="4718" spans="3:12" x14ac:dyDescent="0.2">
      <c r="C4718"/>
      <c r="L4718" s="9" t="str">
        <f t="shared" si="192"/>
        <v/>
      </c>
    </row>
    <row r="4719" spans="3:12" x14ac:dyDescent="0.2">
      <c r="C4719"/>
      <c r="L4719" s="9" t="str">
        <f t="shared" si="192"/>
        <v/>
      </c>
    </row>
    <row r="4720" spans="3:12" x14ac:dyDescent="0.2">
      <c r="C4720"/>
      <c r="L4720" s="9" t="str">
        <f t="shared" si="192"/>
        <v/>
      </c>
    </row>
    <row r="4721" spans="3:12" x14ac:dyDescent="0.2">
      <c r="C4721"/>
      <c r="L4721" s="9" t="str">
        <f t="shared" si="192"/>
        <v/>
      </c>
    </row>
    <row r="4722" spans="3:12" x14ac:dyDescent="0.2">
      <c r="C4722"/>
      <c r="L4722" s="9" t="str">
        <f t="shared" si="192"/>
        <v/>
      </c>
    </row>
    <row r="4723" spans="3:12" x14ac:dyDescent="0.2">
      <c r="C4723"/>
      <c r="L4723" s="9" t="str">
        <f t="shared" si="192"/>
        <v/>
      </c>
    </row>
    <row r="4724" spans="3:12" x14ac:dyDescent="0.2">
      <c r="C4724"/>
      <c r="L4724" s="9" t="str">
        <f t="shared" si="192"/>
        <v/>
      </c>
    </row>
    <row r="4725" spans="3:12" x14ac:dyDescent="0.2">
      <c r="C4725"/>
      <c r="L4725" s="9" t="str">
        <f t="shared" si="192"/>
        <v/>
      </c>
    </row>
    <row r="4726" spans="3:12" x14ac:dyDescent="0.2">
      <c r="C4726"/>
      <c r="L4726" s="9" t="str">
        <f t="shared" si="192"/>
        <v/>
      </c>
    </row>
    <row r="4727" spans="3:12" x14ac:dyDescent="0.2">
      <c r="C4727"/>
      <c r="L4727" s="9" t="str">
        <f t="shared" si="192"/>
        <v/>
      </c>
    </row>
    <row r="4728" spans="3:12" x14ac:dyDescent="0.2">
      <c r="C4728"/>
      <c r="L4728" s="9" t="str">
        <f t="shared" si="192"/>
        <v/>
      </c>
    </row>
    <row r="4729" spans="3:12" x14ac:dyDescent="0.2">
      <c r="C4729"/>
      <c r="L4729" s="9" t="str">
        <f t="shared" si="192"/>
        <v/>
      </c>
    </row>
    <row r="4730" spans="3:12" x14ac:dyDescent="0.2">
      <c r="C4730"/>
      <c r="L4730" s="9" t="str">
        <f t="shared" si="192"/>
        <v/>
      </c>
    </row>
    <row r="4731" spans="3:12" x14ac:dyDescent="0.2">
      <c r="C4731"/>
      <c r="L4731" s="9" t="str">
        <f t="shared" si="192"/>
        <v/>
      </c>
    </row>
    <row r="4732" spans="3:12" x14ac:dyDescent="0.2">
      <c r="C4732"/>
      <c r="L4732" s="9" t="str">
        <f t="shared" si="192"/>
        <v/>
      </c>
    </row>
    <row r="4733" spans="3:12" x14ac:dyDescent="0.2">
      <c r="C4733"/>
      <c r="L4733" s="9" t="str">
        <f t="shared" ref="L4733:L4796" si="193">IF(A4733="STOCK",E4733,IF(A4733="SOPTION",G4733,IF(A4733="LOPTION",F4733,"")))</f>
        <v/>
      </c>
    </row>
    <row r="4734" spans="3:12" x14ac:dyDescent="0.2">
      <c r="C4734"/>
      <c r="L4734" s="9" t="str">
        <f t="shared" si="193"/>
        <v/>
      </c>
    </row>
    <row r="4735" spans="3:12" x14ac:dyDescent="0.2">
      <c r="C4735"/>
      <c r="L4735" s="9" t="str">
        <f t="shared" si="193"/>
        <v/>
      </c>
    </row>
    <row r="4736" spans="3:12" x14ac:dyDescent="0.2">
      <c r="C4736"/>
      <c r="L4736" s="9" t="str">
        <f t="shared" si="193"/>
        <v/>
      </c>
    </row>
    <row r="4737" spans="3:12" x14ac:dyDescent="0.2">
      <c r="C4737"/>
      <c r="L4737" s="9" t="str">
        <f t="shared" si="193"/>
        <v/>
      </c>
    </row>
    <row r="4738" spans="3:12" x14ac:dyDescent="0.2">
      <c r="C4738"/>
      <c r="L4738" s="9" t="str">
        <f t="shared" si="193"/>
        <v/>
      </c>
    </row>
    <row r="4739" spans="3:12" x14ac:dyDescent="0.2">
      <c r="C4739"/>
      <c r="L4739" s="9" t="str">
        <f t="shared" si="193"/>
        <v/>
      </c>
    </row>
    <row r="4740" spans="3:12" x14ac:dyDescent="0.2">
      <c r="C4740"/>
      <c r="L4740" s="9" t="str">
        <f t="shared" si="193"/>
        <v/>
      </c>
    </row>
    <row r="4741" spans="3:12" x14ac:dyDescent="0.2">
      <c r="C4741"/>
      <c r="L4741" s="9" t="str">
        <f t="shared" si="193"/>
        <v/>
      </c>
    </row>
    <row r="4742" spans="3:12" x14ac:dyDescent="0.2">
      <c r="C4742"/>
      <c r="L4742" s="9" t="str">
        <f t="shared" si="193"/>
        <v/>
      </c>
    </row>
    <row r="4743" spans="3:12" x14ac:dyDescent="0.2">
      <c r="C4743"/>
      <c r="L4743" s="9" t="str">
        <f t="shared" si="193"/>
        <v/>
      </c>
    </row>
    <row r="4744" spans="3:12" x14ac:dyDescent="0.2">
      <c r="C4744"/>
      <c r="L4744" s="9" t="str">
        <f t="shared" si="193"/>
        <v/>
      </c>
    </row>
    <row r="4745" spans="3:12" x14ac:dyDescent="0.2">
      <c r="C4745"/>
      <c r="L4745" s="9" t="str">
        <f t="shared" si="193"/>
        <v/>
      </c>
    </row>
    <row r="4746" spans="3:12" x14ac:dyDescent="0.2">
      <c r="C4746"/>
      <c r="L4746" s="9" t="str">
        <f t="shared" si="193"/>
        <v/>
      </c>
    </row>
    <row r="4747" spans="3:12" x14ac:dyDescent="0.2">
      <c r="C4747"/>
      <c r="L4747" s="9" t="str">
        <f t="shared" si="193"/>
        <v/>
      </c>
    </row>
    <row r="4748" spans="3:12" x14ac:dyDescent="0.2">
      <c r="C4748"/>
      <c r="L4748" s="9" t="str">
        <f t="shared" si="193"/>
        <v/>
      </c>
    </row>
    <row r="4749" spans="3:12" x14ac:dyDescent="0.2">
      <c r="C4749"/>
      <c r="L4749" s="9" t="str">
        <f t="shared" si="193"/>
        <v/>
      </c>
    </row>
    <row r="4750" spans="3:12" x14ac:dyDescent="0.2">
      <c r="C4750"/>
      <c r="L4750" s="9" t="str">
        <f t="shared" si="193"/>
        <v/>
      </c>
    </row>
    <row r="4751" spans="3:12" x14ac:dyDescent="0.2">
      <c r="C4751"/>
      <c r="L4751" s="9" t="str">
        <f t="shared" si="193"/>
        <v/>
      </c>
    </row>
    <row r="4752" spans="3:12" x14ac:dyDescent="0.2">
      <c r="C4752"/>
      <c r="L4752" s="9" t="str">
        <f t="shared" si="193"/>
        <v/>
      </c>
    </row>
    <row r="4753" spans="3:12" x14ac:dyDescent="0.2">
      <c r="C4753"/>
      <c r="L4753" s="9" t="str">
        <f t="shared" si="193"/>
        <v/>
      </c>
    </row>
    <row r="4754" spans="3:12" x14ac:dyDescent="0.2">
      <c r="C4754"/>
      <c r="L4754" s="9" t="str">
        <f t="shared" si="193"/>
        <v/>
      </c>
    </row>
    <row r="4755" spans="3:12" x14ac:dyDescent="0.2">
      <c r="C4755"/>
      <c r="L4755" s="9" t="str">
        <f t="shared" si="193"/>
        <v/>
      </c>
    </row>
    <row r="4756" spans="3:12" x14ac:dyDescent="0.2">
      <c r="C4756"/>
      <c r="L4756" s="9" t="str">
        <f t="shared" si="193"/>
        <v/>
      </c>
    </row>
    <row r="4757" spans="3:12" x14ac:dyDescent="0.2">
      <c r="C4757"/>
      <c r="L4757" s="9" t="str">
        <f t="shared" si="193"/>
        <v/>
      </c>
    </row>
    <row r="4758" spans="3:12" x14ac:dyDescent="0.2">
      <c r="C4758"/>
      <c r="L4758" s="9" t="str">
        <f t="shared" si="193"/>
        <v/>
      </c>
    </row>
    <row r="4759" spans="3:12" x14ac:dyDescent="0.2">
      <c r="C4759"/>
      <c r="L4759" s="9" t="str">
        <f t="shared" si="193"/>
        <v/>
      </c>
    </row>
    <row r="4760" spans="3:12" x14ac:dyDescent="0.2">
      <c r="C4760"/>
      <c r="L4760" s="9" t="str">
        <f t="shared" si="193"/>
        <v/>
      </c>
    </row>
    <row r="4761" spans="3:12" x14ac:dyDescent="0.2">
      <c r="C4761"/>
      <c r="L4761" s="9" t="str">
        <f t="shared" si="193"/>
        <v/>
      </c>
    </row>
    <row r="4762" spans="3:12" x14ac:dyDescent="0.2">
      <c r="C4762"/>
      <c r="L4762" s="9" t="str">
        <f t="shared" si="193"/>
        <v/>
      </c>
    </row>
    <row r="4763" spans="3:12" x14ac:dyDescent="0.2">
      <c r="C4763"/>
      <c r="L4763" s="9" t="str">
        <f t="shared" si="193"/>
        <v/>
      </c>
    </row>
    <row r="4764" spans="3:12" x14ac:dyDescent="0.2">
      <c r="C4764"/>
      <c r="L4764" s="9" t="str">
        <f t="shared" si="193"/>
        <v/>
      </c>
    </row>
    <row r="4765" spans="3:12" x14ac:dyDescent="0.2">
      <c r="C4765"/>
      <c r="L4765" s="9" t="str">
        <f t="shared" si="193"/>
        <v/>
      </c>
    </row>
    <row r="4766" spans="3:12" x14ac:dyDescent="0.2">
      <c r="C4766"/>
      <c r="L4766" s="9" t="str">
        <f t="shared" si="193"/>
        <v/>
      </c>
    </row>
    <row r="4767" spans="3:12" x14ac:dyDescent="0.2">
      <c r="C4767"/>
      <c r="L4767" s="9" t="str">
        <f t="shared" si="193"/>
        <v/>
      </c>
    </row>
    <row r="4768" spans="3:12" x14ac:dyDescent="0.2">
      <c r="C4768"/>
      <c r="L4768" s="9" t="str">
        <f t="shared" si="193"/>
        <v/>
      </c>
    </row>
    <row r="4769" spans="3:12" x14ac:dyDescent="0.2">
      <c r="C4769"/>
      <c r="L4769" s="9" t="str">
        <f t="shared" si="193"/>
        <v/>
      </c>
    </row>
    <row r="4770" spans="3:12" x14ac:dyDescent="0.2">
      <c r="C4770"/>
      <c r="L4770" s="9" t="str">
        <f t="shared" si="193"/>
        <v/>
      </c>
    </row>
    <row r="4771" spans="3:12" x14ac:dyDescent="0.2">
      <c r="C4771"/>
      <c r="L4771" s="9" t="str">
        <f t="shared" si="193"/>
        <v/>
      </c>
    </row>
    <row r="4772" spans="3:12" x14ac:dyDescent="0.2">
      <c r="C4772"/>
      <c r="L4772" s="9" t="str">
        <f t="shared" si="193"/>
        <v/>
      </c>
    </row>
    <row r="4773" spans="3:12" x14ac:dyDescent="0.2">
      <c r="C4773"/>
      <c r="L4773" s="9" t="str">
        <f t="shared" si="193"/>
        <v/>
      </c>
    </row>
    <row r="4774" spans="3:12" x14ac:dyDescent="0.2">
      <c r="C4774"/>
      <c r="L4774" s="9" t="str">
        <f t="shared" si="193"/>
        <v/>
      </c>
    </row>
    <row r="4775" spans="3:12" x14ac:dyDescent="0.2">
      <c r="C4775"/>
      <c r="L4775" s="9" t="str">
        <f t="shared" si="193"/>
        <v/>
      </c>
    </row>
    <row r="4776" spans="3:12" x14ac:dyDescent="0.2">
      <c r="C4776"/>
      <c r="L4776" s="9" t="str">
        <f t="shared" si="193"/>
        <v/>
      </c>
    </row>
    <row r="4777" spans="3:12" x14ac:dyDescent="0.2">
      <c r="C4777"/>
      <c r="L4777" s="9" t="str">
        <f t="shared" si="193"/>
        <v/>
      </c>
    </row>
    <row r="4778" spans="3:12" x14ac:dyDescent="0.2">
      <c r="C4778"/>
      <c r="L4778" s="9" t="str">
        <f t="shared" si="193"/>
        <v/>
      </c>
    </row>
    <row r="4779" spans="3:12" x14ac:dyDescent="0.2">
      <c r="C4779"/>
      <c r="L4779" s="9" t="str">
        <f t="shared" si="193"/>
        <v/>
      </c>
    </row>
    <row r="4780" spans="3:12" x14ac:dyDescent="0.2">
      <c r="C4780"/>
      <c r="L4780" s="9" t="str">
        <f t="shared" si="193"/>
        <v/>
      </c>
    </row>
    <row r="4781" spans="3:12" x14ac:dyDescent="0.2">
      <c r="C4781"/>
      <c r="L4781" s="9" t="str">
        <f t="shared" si="193"/>
        <v/>
      </c>
    </row>
    <row r="4782" spans="3:12" x14ac:dyDescent="0.2">
      <c r="C4782"/>
      <c r="L4782" s="9" t="str">
        <f t="shared" si="193"/>
        <v/>
      </c>
    </row>
    <row r="4783" spans="3:12" x14ac:dyDescent="0.2">
      <c r="C4783"/>
      <c r="L4783" s="9" t="str">
        <f t="shared" si="193"/>
        <v/>
      </c>
    </row>
    <row r="4784" spans="3:12" x14ac:dyDescent="0.2">
      <c r="C4784"/>
      <c r="L4784" s="9" t="str">
        <f t="shared" si="193"/>
        <v/>
      </c>
    </row>
    <row r="4785" spans="3:12" x14ac:dyDescent="0.2">
      <c r="C4785"/>
      <c r="L4785" s="9" t="str">
        <f t="shared" si="193"/>
        <v/>
      </c>
    </row>
    <row r="4786" spans="3:12" x14ac:dyDescent="0.2">
      <c r="C4786"/>
      <c r="L4786" s="9" t="str">
        <f t="shared" si="193"/>
        <v/>
      </c>
    </row>
    <row r="4787" spans="3:12" x14ac:dyDescent="0.2">
      <c r="C4787"/>
      <c r="L4787" s="9" t="str">
        <f t="shared" si="193"/>
        <v/>
      </c>
    </row>
    <row r="4788" spans="3:12" x14ac:dyDescent="0.2">
      <c r="C4788"/>
      <c r="L4788" s="9" t="str">
        <f t="shared" si="193"/>
        <v/>
      </c>
    </row>
    <row r="4789" spans="3:12" x14ac:dyDescent="0.2">
      <c r="C4789"/>
      <c r="L4789" s="9" t="str">
        <f t="shared" si="193"/>
        <v/>
      </c>
    </row>
    <row r="4790" spans="3:12" x14ac:dyDescent="0.2">
      <c r="C4790"/>
      <c r="L4790" s="9" t="str">
        <f t="shared" si="193"/>
        <v/>
      </c>
    </row>
    <row r="4791" spans="3:12" x14ac:dyDescent="0.2">
      <c r="C4791"/>
      <c r="L4791" s="9" t="str">
        <f t="shared" si="193"/>
        <v/>
      </c>
    </row>
    <row r="4792" spans="3:12" x14ac:dyDescent="0.2">
      <c r="C4792"/>
      <c r="L4792" s="9" t="str">
        <f t="shared" si="193"/>
        <v/>
      </c>
    </row>
    <row r="4793" spans="3:12" x14ac:dyDescent="0.2">
      <c r="C4793"/>
      <c r="L4793" s="9" t="str">
        <f t="shared" si="193"/>
        <v/>
      </c>
    </row>
    <row r="4794" spans="3:12" x14ac:dyDescent="0.2">
      <c r="C4794"/>
      <c r="L4794" s="9" t="str">
        <f t="shared" si="193"/>
        <v/>
      </c>
    </row>
    <row r="4795" spans="3:12" x14ac:dyDescent="0.2">
      <c r="C4795"/>
      <c r="L4795" s="9" t="str">
        <f t="shared" si="193"/>
        <v/>
      </c>
    </row>
    <row r="4796" spans="3:12" x14ac:dyDescent="0.2">
      <c r="C4796"/>
      <c r="L4796" s="9" t="str">
        <f t="shared" si="193"/>
        <v/>
      </c>
    </row>
    <row r="4797" spans="3:12" x14ac:dyDescent="0.2">
      <c r="C4797"/>
      <c r="L4797" s="9" t="str">
        <f t="shared" ref="L4797:L4860" si="194">IF(A4797="STOCK",E4797,IF(A4797="SOPTION",G4797,IF(A4797="LOPTION",F4797,"")))</f>
        <v/>
      </c>
    </row>
    <row r="4798" spans="3:12" x14ac:dyDescent="0.2">
      <c r="C4798"/>
      <c r="L4798" s="9" t="str">
        <f t="shared" si="194"/>
        <v/>
      </c>
    </row>
    <row r="4799" spans="3:12" x14ac:dyDescent="0.2">
      <c r="C4799"/>
      <c r="L4799" s="9" t="str">
        <f t="shared" si="194"/>
        <v/>
      </c>
    </row>
    <row r="4800" spans="3:12" x14ac:dyDescent="0.2">
      <c r="C4800"/>
      <c r="L4800" s="9" t="str">
        <f t="shared" si="194"/>
        <v/>
      </c>
    </row>
    <row r="4801" spans="3:12" x14ac:dyDescent="0.2">
      <c r="C4801"/>
      <c r="L4801" s="9" t="str">
        <f t="shared" si="194"/>
        <v/>
      </c>
    </row>
    <row r="4802" spans="3:12" x14ac:dyDescent="0.2">
      <c r="C4802"/>
      <c r="L4802" s="9" t="str">
        <f t="shared" si="194"/>
        <v/>
      </c>
    </row>
    <row r="4803" spans="3:12" x14ac:dyDescent="0.2">
      <c r="C4803"/>
      <c r="L4803" s="9" t="str">
        <f t="shared" si="194"/>
        <v/>
      </c>
    </row>
    <row r="4804" spans="3:12" x14ac:dyDescent="0.2">
      <c r="C4804"/>
      <c r="L4804" s="9" t="str">
        <f t="shared" si="194"/>
        <v/>
      </c>
    </row>
    <row r="4805" spans="3:12" x14ac:dyDescent="0.2">
      <c r="C4805"/>
      <c r="L4805" s="9" t="str">
        <f t="shared" si="194"/>
        <v/>
      </c>
    </row>
    <row r="4806" spans="3:12" x14ac:dyDescent="0.2">
      <c r="C4806"/>
      <c r="L4806" s="9" t="str">
        <f t="shared" si="194"/>
        <v/>
      </c>
    </row>
    <row r="4807" spans="3:12" x14ac:dyDescent="0.2">
      <c r="C4807"/>
      <c r="L4807" s="9" t="str">
        <f t="shared" si="194"/>
        <v/>
      </c>
    </row>
    <row r="4808" spans="3:12" x14ac:dyDescent="0.2">
      <c r="C4808"/>
      <c r="L4808" s="9" t="str">
        <f t="shared" si="194"/>
        <v/>
      </c>
    </row>
    <row r="4809" spans="3:12" x14ac:dyDescent="0.2">
      <c r="C4809"/>
      <c r="L4809" s="9" t="str">
        <f t="shared" si="194"/>
        <v/>
      </c>
    </row>
    <row r="4810" spans="3:12" x14ac:dyDescent="0.2">
      <c r="C4810"/>
      <c r="L4810" s="9" t="str">
        <f t="shared" si="194"/>
        <v/>
      </c>
    </row>
    <row r="4811" spans="3:12" x14ac:dyDescent="0.2">
      <c r="C4811"/>
      <c r="L4811" s="9" t="str">
        <f t="shared" si="194"/>
        <v/>
      </c>
    </row>
    <row r="4812" spans="3:12" x14ac:dyDescent="0.2">
      <c r="C4812"/>
      <c r="L4812" s="9" t="str">
        <f t="shared" si="194"/>
        <v/>
      </c>
    </row>
    <row r="4813" spans="3:12" x14ac:dyDescent="0.2">
      <c r="C4813"/>
      <c r="L4813" s="9" t="str">
        <f t="shared" si="194"/>
        <v/>
      </c>
    </row>
    <row r="4814" spans="3:12" x14ac:dyDescent="0.2">
      <c r="C4814"/>
      <c r="L4814" s="9" t="str">
        <f t="shared" si="194"/>
        <v/>
      </c>
    </row>
    <row r="4815" spans="3:12" x14ac:dyDescent="0.2">
      <c r="C4815"/>
      <c r="L4815" s="9" t="str">
        <f t="shared" si="194"/>
        <v/>
      </c>
    </row>
    <row r="4816" spans="3:12" x14ac:dyDescent="0.2">
      <c r="C4816"/>
      <c r="L4816" s="9" t="str">
        <f t="shared" si="194"/>
        <v/>
      </c>
    </row>
    <row r="4817" spans="3:12" x14ac:dyDescent="0.2">
      <c r="C4817"/>
      <c r="L4817" s="9" t="str">
        <f t="shared" si="194"/>
        <v/>
      </c>
    </row>
    <row r="4818" spans="3:12" x14ac:dyDescent="0.2">
      <c r="C4818"/>
      <c r="L4818" s="9" t="str">
        <f t="shared" si="194"/>
        <v/>
      </c>
    </row>
    <row r="4819" spans="3:12" x14ac:dyDescent="0.2">
      <c r="C4819"/>
      <c r="L4819" s="9" t="str">
        <f t="shared" si="194"/>
        <v/>
      </c>
    </row>
    <row r="4820" spans="3:12" x14ac:dyDescent="0.2">
      <c r="C4820"/>
      <c r="L4820" s="9" t="str">
        <f t="shared" si="194"/>
        <v/>
      </c>
    </row>
    <row r="4821" spans="3:12" x14ac:dyDescent="0.2">
      <c r="C4821"/>
      <c r="L4821" s="9" t="str">
        <f t="shared" si="194"/>
        <v/>
      </c>
    </row>
    <row r="4822" spans="3:12" x14ac:dyDescent="0.2">
      <c r="C4822"/>
      <c r="L4822" s="9" t="str">
        <f t="shared" si="194"/>
        <v/>
      </c>
    </row>
    <row r="4823" spans="3:12" x14ac:dyDescent="0.2">
      <c r="C4823"/>
      <c r="L4823" s="9" t="str">
        <f t="shared" si="194"/>
        <v/>
      </c>
    </row>
    <row r="4824" spans="3:12" x14ac:dyDescent="0.2">
      <c r="C4824"/>
      <c r="L4824" s="9" t="str">
        <f t="shared" si="194"/>
        <v/>
      </c>
    </row>
    <row r="4825" spans="3:12" x14ac:dyDescent="0.2">
      <c r="C4825"/>
      <c r="L4825" s="9" t="str">
        <f t="shared" si="194"/>
        <v/>
      </c>
    </row>
    <row r="4826" spans="3:12" x14ac:dyDescent="0.2">
      <c r="C4826"/>
      <c r="L4826" s="9" t="str">
        <f t="shared" si="194"/>
        <v/>
      </c>
    </row>
    <row r="4827" spans="3:12" x14ac:dyDescent="0.2">
      <c r="C4827"/>
      <c r="L4827" s="9" t="str">
        <f t="shared" si="194"/>
        <v/>
      </c>
    </row>
    <row r="4828" spans="3:12" x14ac:dyDescent="0.2">
      <c r="C4828"/>
      <c r="L4828" s="9" t="str">
        <f t="shared" si="194"/>
        <v/>
      </c>
    </row>
    <row r="4829" spans="3:12" x14ac:dyDescent="0.2">
      <c r="C4829"/>
      <c r="L4829" s="9" t="str">
        <f t="shared" si="194"/>
        <v/>
      </c>
    </row>
    <row r="4830" spans="3:12" x14ac:dyDescent="0.2">
      <c r="C4830"/>
      <c r="L4830" s="9" t="str">
        <f t="shared" si="194"/>
        <v/>
      </c>
    </row>
    <row r="4831" spans="3:12" x14ac:dyDescent="0.2">
      <c r="C4831"/>
      <c r="L4831" s="9" t="str">
        <f t="shared" si="194"/>
        <v/>
      </c>
    </row>
    <row r="4832" spans="3:12" x14ac:dyDescent="0.2">
      <c r="C4832"/>
      <c r="L4832" s="9" t="str">
        <f t="shared" si="194"/>
        <v/>
      </c>
    </row>
    <row r="4833" spans="3:12" x14ac:dyDescent="0.2">
      <c r="C4833"/>
      <c r="L4833" s="9" t="str">
        <f t="shared" si="194"/>
        <v/>
      </c>
    </row>
    <row r="4834" spans="3:12" x14ac:dyDescent="0.2">
      <c r="C4834"/>
      <c r="L4834" s="9" t="str">
        <f t="shared" si="194"/>
        <v/>
      </c>
    </row>
    <row r="4835" spans="3:12" x14ac:dyDescent="0.2">
      <c r="C4835"/>
      <c r="L4835" s="9" t="str">
        <f t="shared" si="194"/>
        <v/>
      </c>
    </row>
    <row r="4836" spans="3:12" x14ac:dyDescent="0.2">
      <c r="C4836"/>
      <c r="L4836" s="9" t="str">
        <f t="shared" si="194"/>
        <v/>
      </c>
    </row>
    <row r="4837" spans="3:12" x14ac:dyDescent="0.2">
      <c r="C4837"/>
      <c r="L4837" s="9" t="str">
        <f t="shared" si="194"/>
        <v/>
      </c>
    </row>
    <row r="4838" spans="3:12" x14ac:dyDescent="0.2">
      <c r="C4838"/>
      <c r="L4838" s="9" t="str">
        <f t="shared" si="194"/>
        <v/>
      </c>
    </row>
    <row r="4839" spans="3:12" x14ac:dyDescent="0.2">
      <c r="C4839"/>
      <c r="L4839" s="9" t="str">
        <f t="shared" si="194"/>
        <v/>
      </c>
    </row>
    <row r="4840" spans="3:12" x14ac:dyDescent="0.2">
      <c r="C4840"/>
      <c r="L4840" s="9" t="str">
        <f t="shared" si="194"/>
        <v/>
      </c>
    </row>
    <row r="4841" spans="3:12" x14ac:dyDescent="0.2">
      <c r="C4841"/>
      <c r="L4841" s="9" t="str">
        <f t="shared" si="194"/>
        <v/>
      </c>
    </row>
    <row r="4842" spans="3:12" x14ac:dyDescent="0.2">
      <c r="C4842"/>
      <c r="L4842" s="9" t="str">
        <f t="shared" si="194"/>
        <v/>
      </c>
    </row>
    <row r="4843" spans="3:12" x14ac:dyDescent="0.2">
      <c r="C4843"/>
      <c r="L4843" s="9" t="str">
        <f t="shared" si="194"/>
        <v/>
      </c>
    </row>
    <row r="4844" spans="3:12" x14ac:dyDescent="0.2">
      <c r="C4844"/>
      <c r="L4844" s="9" t="str">
        <f t="shared" si="194"/>
        <v/>
      </c>
    </row>
    <row r="4845" spans="3:12" x14ac:dyDescent="0.2">
      <c r="C4845"/>
      <c r="L4845" s="9" t="str">
        <f t="shared" si="194"/>
        <v/>
      </c>
    </row>
    <row r="4846" spans="3:12" x14ac:dyDescent="0.2">
      <c r="C4846"/>
      <c r="L4846" s="9" t="str">
        <f t="shared" si="194"/>
        <v/>
      </c>
    </row>
    <row r="4847" spans="3:12" x14ac:dyDescent="0.2">
      <c r="C4847"/>
      <c r="L4847" s="9" t="str">
        <f t="shared" si="194"/>
        <v/>
      </c>
    </row>
    <row r="4848" spans="3:12" x14ac:dyDescent="0.2">
      <c r="C4848"/>
      <c r="L4848" s="9" t="str">
        <f t="shared" si="194"/>
        <v/>
      </c>
    </row>
    <row r="4849" spans="3:12" x14ac:dyDescent="0.2">
      <c r="C4849"/>
      <c r="L4849" s="9" t="str">
        <f t="shared" si="194"/>
        <v/>
      </c>
    </row>
    <row r="4850" spans="3:12" x14ac:dyDescent="0.2">
      <c r="C4850"/>
      <c r="L4850" s="9" t="str">
        <f t="shared" si="194"/>
        <v/>
      </c>
    </row>
    <row r="4851" spans="3:12" x14ac:dyDescent="0.2">
      <c r="C4851"/>
      <c r="L4851" s="9" t="str">
        <f t="shared" si="194"/>
        <v/>
      </c>
    </row>
    <row r="4852" spans="3:12" x14ac:dyDescent="0.2">
      <c r="C4852"/>
      <c r="L4852" s="9" t="str">
        <f t="shared" si="194"/>
        <v/>
      </c>
    </row>
    <row r="4853" spans="3:12" x14ac:dyDescent="0.2">
      <c r="C4853"/>
      <c r="L4853" s="9" t="str">
        <f t="shared" si="194"/>
        <v/>
      </c>
    </row>
    <row r="4854" spans="3:12" x14ac:dyDescent="0.2">
      <c r="C4854"/>
      <c r="L4854" s="9" t="str">
        <f t="shared" si="194"/>
        <v/>
      </c>
    </row>
    <row r="4855" spans="3:12" x14ac:dyDescent="0.2">
      <c r="C4855"/>
      <c r="L4855" s="9" t="str">
        <f t="shared" si="194"/>
        <v/>
      </c>
    </row>
    <row r="4856" spans="3:12" x14ac:dyDescent="0.2">
      <c r="C4856"/>
      <c r="L4856" s="9" t="str">
        <f t="shared" si="194"/>
        <v/>
      </c>
    </row>
    <row r="4857" spans="3:12" x14ac:dyDescent="0.2">
      <c r="C4857"/>
      <c r="L4857" s="9" t="str">
        <f t="shared" si="194"/>
        <v/>
      </c>
    </row>
    <row r="4858" spans="3:12" x14ac:dyDescent="0.2">
      <c r="C4858"/>
      <c r="L4858" s="9" t="str">
        <f t="shared" si="194"/>
        <v/>
      </c>
    </row>
    <row r="4859" spans="3:12" x14ac:dyDescent="0.2">
      <c r="C4859"/>
      <c r="L4859" s="9" t="str">
        <f t="shared" si="194"/>
        <v/>
      </c>
    </row>
    <row r="4860" spans="3:12" x14ac:dyDescent="0.2">
      <c r="C4860"/>
      <c r="L4860" s="9" t="str">
        <f t="shared" si="194"/>
        <v/>
      </c>
    </row>
    <row r="4861" spans="3:12" x14ac:dyDescent="0.2">
      <c r="C4861"/>
      <c r="L4861" s="9" t="str">
        <f t="shared" ref="L4861:L4924" si="195">IF(A4861="STOCK",E4861,IF(A4861="SOPTION",G4861,IF(A4861="LOPTION",F4861,"")))</f>
        <v/>
      </c>
    </row>
    <row r="4862" spans="3:12" x14ac:dyDescent="0.2">
      <c r="C4862"/>
      <c r="L4862" s="9" t="str">
        <f t="shared" si="195"/>
        <v/>
      </c>
    </row>
    <row r="4863" spans="3:12" x14ac:dyDescent="0.2">
      <c r="C4863"/>
      <c r="L4863" s="9" t="str">
        <f t="shared" si="195"/>
        <v/>
      </c>
    </row>
    <row r="4864" spans="3:12" x14ac:dyDescent="0.2">
      <c r="C4864"/>
      <c r="L4864" s="9" t="str">
        <f t="shared" si="195"/>
        <v/>
      </c>
    </row>
    <row r="4865" spans="3:12" x14ac:dyDescent="0.2">
      <c r="C4865"/>
      <c r="L4865" s="9" t="str">
        <f t="shared" si="195"/>
        <v/>
      </c>
    </row>
    <row r="4866" spans="3:12" x14ac:dyDescent="0.2">
      <c r="C4866"/>
      <c r="L4866" s="9" t="str">
        <f t="shared" si="195"/>
        <v/>
      </c>
    </row>
    <row r="4867" spans="3:12" x14ac:dyDescent="0.2">
      <c r="C4867"/>
      <c r="L4867" s="9" t="str">
        <f t="shared" si="195"/>
        <v/>
      </c>
    </row>
    <row r="4868" spans="3:12" x14ac:dyDescent="0.2">
      <c r="C4868"/>
      <c r="L4868" s="9" t="str">
        <f t="shared" si="195"/>
        <v/>
      </c>
    </row>
    <row r="4869" spans="3:12" x14ac:dyDescent="0.2">
      <c r="C4869"/>
      <c r="L4869" s="9" t="str">
        <f t="shared" si="195"/>
        <v/>
      </c>
    </row>
    <row r="4870" spans="3:12" x14ac:dyDescent="0.2">
      <c r="C4870"/>
      <c r="L4870" s="9" t="str">
        <f t="shared" si="195"/>
        <v/>
      </c>
    </row>
    <row r="4871" spans="3:12" x14ac:dyDescent="0.2">
      <c r="C4871"/>
      <c r="L4871" s="9" t="str">
        <f t="shared" si="195"/>
        <v/>
      </c>
    </row>
    <row r="4872" spans="3:12" x14ac:dyDescent="0.2">
      <c r="C4872"/>
      <c r="L4872" s="9" t="str">
        <f t="shared" si="195"/>
        <v/>
      </c>
    </row>
    <row r="4873" spans="3:12" x14ac:dyDescent="0.2">
      <c r="C4873"/>
      <c r="L4873" s="9" t="str">
        <f t="shared" si="195"/>
        <v/>
      </c>
    </row>
    <row r="4874" spans="3:12" x14ac:dyDescent="0.2">
      <c r="C4874"/>
      <c r="L4874" s="9" t="str">
        <f t="shared" si="195"/>
        <v/>
      </c>
    </row>
    <row r="4875" spans="3:12" x14ac:dyDescent="0.2">
      <c r="C4875"/>
      <c r="L4875" s="9" t="str">
        <f t="shared" si="195"/>
        <v/>
      </c>
    </row>
    <row r="4876" spans="3:12" x14ac:dyDescent="0.2">
      <c r="C4876"/>
      <c r="L4876" s="9" t="str">
        <f t="shared" si="195"/>
        <v/>
      </c>
    </row>
    <row r="4877" spans="3:12" x14ac:dyDescent="0.2">
      <c r="C4877"/>
      <c r="L4877" s="9" t="str">
        <f t="shared" si="195"/>
        <v/>
      </c>
    </row>
    <row r="4878" spans="3:12" x14ac:dyDescent="0.2">
      <c r="C4878"/>
      <c r="L4878" s="9" t="str">
        <f t="shared" si="195"/>
        <v/>
      </c>
    </row>
    <row r="4879" spans="3:12" x14ac:dyDescent="0.2">
      <c r="C4879"/>
      <c r="L4879" s="9" t="str">
        <f t="shared" si="195"/>
        <v/>
      </c>
    </row>
    <row r="4880" spans="3:12" x14ac:dyDescent="0.2">
      <c r="C4880"/>
      <c r="L4880" s="9" t="str">
        <f t="shared" si="195"/>
        <v/>
      </c>
    </row>
    <row r="4881" spans="3:12" x14ac:dyDescent="0.2">
      <c r="C4881"/>
      <c r="L4881" s="9" t="str">
        <f t="shared" si="195"/>
        <v/>
      </c>
    </row>
    <row r="4882" spans="3:12" x14ac:dyDescent="0.2">
      <c r="C4882"/>
      <c r="L4882" s="9" t="str">
        <f t="shared" si="195"/>
        <v/>
      </c>
    </row>
    <row r="4883" spans="3:12" x14ac:dyDescent="0.2">
      <c r="C4883"/>
      <c r="L4883" s="9" t="str">
        <f t="shared" si="195"/>
        <v/>
      </c>
    </row>
    <row r="4884" spans="3:12" x14ac:dyDescent="0.2">
      <c r="C4884"/>
      <c r="L4884" s="9" t="str">
        <f t="shared" si="195"/>
        <v/>
      </c>
    </row>
    <row r="4885" spans="3:12" x14ac:dyDescent="0.2">
      <c r="C4885"/>
      <c r="L4885" s="9" t="str">
        <f t="shared" si="195"/>
        <v/>
      </c>
    </row>
    <row r="4886" spans="3:12" x14ac:dyDescent="0.2">
      <c r="C4886"/>
      <c r="L4886" s="9" t="str">
        <f t="shared" si="195"/>
        <v/>
      </c>
    </row>
    <row r="4887" spans="3:12" x14ac:dyDescent="0.2">
      <c r="C4887"/>
      <c r="L4887" s="9" t="str">
        <f t="shared" si="195"/>
        <v/>
      </c>
    </row>
    <row r="4888" spans="3:12" x14ac:dyDescent="0.2">
      <c r="C4888"/>
      <c r="L4888" s="9" t="str">
        <f t="shared" si="195"/>
        <v/>
      </c>
    </row>
    <row r="4889" spans="3:12" x14ac:dyDescent="0.2">
      <c r="C4889"/>
      <c r="L4889" s="9" t="str">
        <f t="shared" si="195"/>
        <v/>
      </c>
    </row>
    <row r="4890" spans="3:12" x14ac:dyDescent="0.2">
      <c r="C4890"/>
      <c r="L4890" s="9" t="str">
        <f t="shared" si="195"/>
        <v/>
      </c>
    </row>
    <row r="4891" spans="3:12" x14ac:dyDescent="0.2">
      <c r="C4891"/>
      <c r="L4891" s="9" t="str">
        <f t="shared" si="195"/>
        <v/>
      </c>
    </row>
    <row r="4892" spans="3:12" x14ac:dyDescent="0.2">
      <c r="C4892"/>
      <c r="L4892" s="9" t="str">
        <f t="shared" si="195"/>
        <v/>
      </c>
    </row>
    <row r="4893" spans="3:12" x14ac:dyDescent="0.2">
      <c r="C4893"/>
      <c r="L4893" s="9" t="str">
        <f t="shared" si="195"/>
        <v/>
      </c>
    </row>
    <row r="4894" spans="3:12" x14ac:dyDescent="0.2">
      <c r="C4894"/>
      <c r="L4894" s="9" t="str">
        <f t="shared" si="195"/>
        <v/>
      </c>
    </row>
    <row r="4895" spans="3:12" x14ac:dyDescent="0.2">
      <c r="C4895"/>
      <c r="L4895" s="9" t="str">
        <f t="shared" si="195"/>
        <v/>
      </c>
    </row>
    <row r="4896" spans="3:12" x14ac:dyDescent="0.2">
      <c r="C4896"/>
      <c r="L4896" s="9" t="str">
        <f t="shared" si="195"/>
        <v/>
      </c>
    </row>
    <row r="4897" spans="3:12" x14ac:dyDescent="0.2">
      <c r="C4897"/>
      <c r="L4897" s="9" t="str">
        <f t="shared" si="195"/>
        <v/>
      </c>
    </row>
    <row r="4898" spans="3:12" x14ac:dyDescent="0.2">
      <c r="C4898"/>
      <c r="L4898" s="9" t="str">
        <f t="shared" si="195"/>
        <v/>
      </c>
    </row>
    <row r="4899" spans="3:12" x14ac:dyDescent="0.2">
      <c r="C4899"/>
      <c r="L4899" s="9" t="str">
        <f t="shared" si="195"/>
        <v/>
      </c>
    </row>
    <row r="4900" spans="3:12" x14ac:dyDescent="0.2">
      <c r="C4900"/>
      <c r="L4900" s="9" t="str">
        <f t="shared" si="195"/>
        <v/>
      </c>
    </row>
    <row r="4901" spans="3:12" x14ac:dyDescent="0.2">
      <c r="C4901"/>
      <c r="L4901" s="9" t="str">
        <f t="shared" si="195"/>
        <v/>
      </c>
    </row>
    <row r="4902" spans="3:12" x14ac:dyDescent="0.2">
      <c r="C4902"/>
      <c r="L4902" s="9" t="str">
        <f t="shared" si="195"/>
        <v/>
      </c>
    </row>
    <row r="4903" spans="3:12" x14ac:dyDescent="0.2">
      <c r="C4903"/>
      <c r="L4903" s="9" t="str">
        <f t="shared" si="195"/>
        <v/>
      </c>
    </row>
    <row r="4904" spans="3:12" x14ac:dyDescent="0.2">
      <c r="C4904"/>
      <c r="L4904" s="9" t="str">
        <f t="shared" si="195"/>
        <v/>
      </c>
    </row>
    <row r="4905" spans="3:12" x14ac:dyDescent="0.2">
      <c r="C4905"/>
      <c r="L4905" s="9" t="str">
        <f t="shared" si="195"/>
        <v/>
      </c>
    </row>
    <row r="4906" spans="3:12" x14ac:dyDescent="0.2">
      <c r="C4906"/>
      <c r="L4906" s="9" t="str">
        <f t="shared" si="195"/>
        <v/>
      </c>
    </row>
    <row r="4907" spans="3:12" x14ac:dyDescent="0.2">
      <c r="C4907"/>
      <c r="L4907" s="9" t="str">
        <f t="shared" si="195"/>
        <v/>
      </c>
    </row>
    <row r="4908" spans="3:12" x14ac:dyDescent="0.2">
      <c r="C4908"/>
      <c r="L4908" s="9" t="str">
        <f t="shared" si="195"/>
        <v/>
      </c>
    </row>
    <row r="4909" spans="3:12" x14ac:dyDescent="0.2">
      <c r="C4909"/>
      <c r="L4909" s="9" t="str">
        <f t="shared" si="195"/>
        <v/>
      </c>
    </row>
    <row r="4910" spans="3:12" x14ac:dyDescent="0.2">
      <c r="C4910"/>
      <c r="L4910" s="9" t="str">
        <f t="shared" si="195"/>
        <v/>
      </c>
    </row>
    <row r="4911" spans="3:12" x14ac:dyDescent="0.2">
      <c r="C4911"/>
      <c r="L4911" s="9" t="str">
        <f t="shared" si="195"/>
        <v/>
      </c>
    </row>
    <row r="4912" spans="3:12" x14ac:dyDescent="0.2">
      <c r="C4912"/>
      <c r="L4912" s="9" t="str">
        <f t="shared" si="195"/>
        <v/>
      </c>
    </row>
    <row r="4913" spans="3:12" x14ac:dyDescent="0.2">
      <c r="C4913"/>
      <c r="L4913" s="9" t="str">
        <f t="shared" si="195"/>
        <v/>
      </c>
    </row>
    <row r="4914" spans="3:12" x14ac:dyDescent="0.2">
      <c r="C4914"/>
      <c r="L4914" s="9" t="str">
        <f t="shared" si="195"/>
        <v/>
      </c>
    </row>
    <row r="4915" spans="3:12" x14ac:dyDescent="0.2">
      <c r="C4915"/>
      <c r="L4915" s="9" t="str">
        <f t="shared" si="195"/>
        <v/>
      </c>
    </row>
    <row r="4916" spans="3:12" x14ac:dyDescent="0.2">
      <c r="C4916"/>
      <c r="L4916" s="9" t="str">
        <f t="shared" si="195"/>
        <v/>
      </c>
    </row>
    <row r="4917" spans="3:12" x14ac:dyDescent="0.2">
      <c r="C4917"/>
      <c r="L4917" s="9" t="str">
        <f t="shared" si="195"/>
        <v/>
      </c>
    </row>
    <row r="4918" spans="3:12" x14ac:dyDescent="0.2">
      <c r="C4918"/>
      <c r="L4918" s="9" t="str">
        <f t="shared" si="195"/>
        <v/>
      </c>
    </row>
    <row r="4919" spans="3:12" x14ac:dyDescent="0.2">
      <c r="C4919"/>
      <c r="L4919" s="9" t="str">
        <f t="shared" si="195"/>
        <v/>
      </c>
    </row>
    <row r="4920" spans="3:12" x14ac:dyDescent="0.2">
      <c r="C4920"/>
      <c r="L4920" s="9" t="str">
        <f t="shared" si="195"/>
        <v/>
      </c>
    </row>
    <row r="4921" spans="3:12" x14ac:dyDescent="0.2">
      <c r="C4921"/>
      <c r="L4921" s="9" t="str">
        <f t="shared" si="195"/>
        <v/>
      </c>
    </row>
    <row r="4922" spans="3:12" x14ac:dyDescent="0.2">
      <c r="C4922"/>
      <c r="L4922" s="9" t="str">
        <f t="shared" si="195"/>
        <v/>
      </c>
    </row>
    <row r="4923" spans="3:12" x14ac:dyDescent="0.2">
      <c r="C4923"/>
      <c r="L4923" s="9" t="str">
        <f t="shared" si="195"/>
        <v/>
      </c>
    </row>
    <row r="4924" spans="3:12" x14ac:dyDescent="0.2">
      <c r="C4924"/>
      <c r="L4924" s="9" t="str">
        <f t="shared" si="195"/>
        <v/>
      </c>
    </row>
    <row r="4925" spans="3:12" x14ac:dyDescent="0.2">
      <c r="C4925"/>
      <c r="L4925" s="9" t="str">
        <f t="shared" ref="L4925:L4988" si="196">IF(A4925="STOCK",E4925,IF(A4925="SOPTION",G4925,IF(A4925="LOPTION",F4925,"")))</f>
        <v/>
      </c>
    </row>
    <row r="4926" spans="3:12" x14ac:dyDescent="0.2">
      <c r="C4926"/>
      <c r="L4926" s="9" t="str">
        <f t="shared" si="196"/>
        <v/>
      </c>
    </row>
    <row r="4927" spans="3:12" x14ac:dyDescent="0.2">
      <c r="C4927"/>
      <c r="L4927" s="9" t="str">
        <f t="shared" si="196"/>
        <v/>
      </c>
    </row>
    <row r="4928" spans="3:12" x14ac:dyDescent="0.2">
      <c r="C4928"/>
      <c r="L4928" s="9" t="str">
        <f t="shared" si="196"/>
        <v/>
      </c>
    </row>
    <row r="4929" spans="3:12" x14ac:dyDescent="0.2">
      <c r="C4929"/>
      <c r="L4929" s="9" t="str">
        <f t="shared" si="196"/>
        <v/>
      </c>
    </row>
    <row r="4930" spans="3:12" x14ac:dyDescent="0.2">
      <c r="C4930"/>
      <c r="L4930" s="9" t="str">
        <f t="shared" si="196"/>
        <v/>
      </c>
    </row>
    <row r="4931" spans="3:12" x14ac:dyDescent="0.2">
      <c r="C4931"/>
      <c r="L4931" s="9" t="str">
        <f t="shared" si="196"/>
        <v/>
      </c>
    </row>
    <row r="4932" spans="3:12" x14ac:dyDescent="0.2">
      <c r="C4932"/>
      <c r="L4932" s="9" t="str">
        <f t="shared" si="196"/>
        <v/>
      </c>
    </row>
    <row r="4933" spans="3:12" x14ac:dyDescent="0.2">
      <c r="C4933"/>
      <c r="L4933" s="9" t="str">
        <f t="shared" si="196"/>
        <v/>
      </c>
    </row>
    <row r="4934" spans="3:12" x14ac:dyDescent="0.2">
      <c r="C4934"/>
      <c r="L4934" s="9" t="str">
        <f t="shared" si="196"/>
        <v/>
      </c>
    </row>
    <row r="4935" spans="3:12" x14ac:dyDescent="0.2">
      <c r="C4935"/>
      <c r="L4935" s="9" t="str">
        <f t="shared" si="196"/>
        <v/>
      </c>
    </row>
    <row r="4936" spans="3:12" x14ac:dyDescent="0.2">
      <c r="C4936"/>
      <c r="L4936" s="9" t="str">
        <f t="shared" si="196"/>
        <v/>
      </c>
    </row>
    <row r="4937" spans="3:12" x14ac:dyDescent="0.2">
      <c r="C4937"/>
      <c r="L4937" s="9" t="str">
        <f t="shared" si="196"/>
        <v/>
      </c>
    </row>
    <row r="4938" spans="3:12" x14ac:dyDescent="0.2">
      <c r="C4938"/>
      <c r="L4938" s="9" t="str">
        <f t="shared" si="196"/>
        <v/>
      </c>
    </row>
    <row r="4939" spans="3:12" x14ac:dyDescent="0.2">
      <c r="C4939"/>
      <c r="L4939" s="9" t="str">
        <f t="shared" si="196"/>
        <v/>
      </c>
    </row>
    <row r="4940" spans="3:12" x14ac:dyDescent="0.2">
      <c r="C4940"/>
      <c r="L4940" s="9" t="str">
        <f t="shared" si="196"/>
        <v/>
      </c>
    </row>
    <row r="4941" spans="3:12" x14ac:dyDescent="0.2">
      <c r="C4941"/>
      <c r="L4941" s="9" t="str">
        <f t="shared" si="196"/>
        <v/>
      </c>
    </row>
    <row r="4942" spans="3:12" x14ac:dyDescent="0.2">
      <c r="C4942"/>
      <c r="L4942" s="9" t="str">
        <f t="shared" si="196"/>
        <v/>
      </c>
    </row>
    <row r="4943" spans="3:12" x14ac:dyDescent="0.2">
      <c r="C4943"/>
      <c r="L4943" s="9" t="str">
        <f t="shared" si="196"/>
        <v/>
      </c>
    </row>
    <row r="4944" spans="3:12" x14ac:dyDescent="0.2">
      <c r="C4944"/>
      <c r="L4944" s="9" t="str">
        <f t="shared" si="196"/>
        <v/>
      </c>
    </row>
    <row r="4945" spans="3:12" x14ac:dyDescent="0.2">
      <c r="C4945"/>
      <c r="L4945" s="9" t="str">
        <f t="shared" si="196"/>
        <v/>
      </c>
    </row>
    <row r="4946" spans="3:12" x14ac:dyDescent="0.2">
      <c r="C4946"/>
      <c r="L4946" s="9" t="str">
        <f t="shared" si="196"/>
        <v/>
      </c>
    </row>
    <row r="4947" spans="3:12" x14ac:dyDescent="0.2">
      <c r="C4947"/>
      <c r="L4947" s="9" t="str">
        <f t="shared" si="196"/>
        <v/>
      </c>
    </row>
    <row r="4948" spans="3:12" x14ac:dyDescent="0.2">
      <c r="C4948"/>
      <c r="L4948" s="9" t="str">
        <f t="shared" si="196"/>
        <v/>
      </c>
    </row>
    <row r="4949" spans="3:12" x14ac:dyDescent="0.2">
      <c r="C4949"/>
      <c r="L4949" s="9" t="str">
        <f t="shared" si="196"/>
        <v/>
      </c>
    </row>
    <row r="4950" spans="3:12" x14ac:dyDescent="0.2">
      <c r="C4950"/>
      <c r="L4950" s="9" t="str">
        <f t="shared" si="196"/>
        <v/>
      </c>
    </row>
    <row r="4951" spans="3:12" x14ac:dyDescent="0.2">
      <c r="C4951"/>
      <c r="L4951" s="9" t="str">
        <f t="shared" si="196"/>
        <v/>
      </c>
    </row>
    <row r="4952" spans="3:12" x14ac:dyDescent="0.2">
      <c r="C4952"/>
      <c r="L4952" s="9" t="str">
        <f t="shared" si="196"/>
        <v/>
      </c>
    </row>
    <row r="4953" spans="3:12" x14ac:dyDescent="0.2">
      <c r="C4953"/>
      <c r="L4953" s="9" t="str">
        <f t="shared" si="196"/>
        <v/>
      </c>
    </row>
    <row r="4954" spans="3:12" x14ac:dyDescent="0.2">
      <c r="C4954"/>
      <c r="L4954" s="9" t="str">
        <f t="shared" si="196"/>
        <v/>
      </c>
    </row>
    <row r="4955" spans="3:12" x14ac:dyDescent="0.2">
      <c r="C4955"/>
      <c r="L4955" s="9" t="str">
        <f t="shared" si="196"/>
        <v/>
      </c>
    </row>
    <row r="4956" spans="3:12" x14ac:dyDescent="0.2">
      <c r="C4956"/>
      <c r="L4956" s="9" t="str">
        <f t="shared" si="196"/>
        <v/>
      </c>
    </row>
    <row r="4957" spans="3:12" x14ac:dyDescent="0.2">
      <c r="C4957"/>
      <c r="L4957" s="9" t="str">
        <f t="shared" si="196"/>
        <v/>
      </c>
    </row>
    <row r="4958" spans="3:12" x14ac:dyDescent="0.2">
      <c r="C4958"/>
      <c r="L4958" s="9" t="str">
        <f t="shared" si="196"/>
        <v/>
      </c>
    </row>
    <row r="4959" spans="3:12" x14ac:dyDescent="0.2">
      <c r="C4959"/>
      <c r="L4959" s="9" t="str">
        <f t="shared" si="196"/>
        <v/>
      </c>
    </row>
    <row r="4960" spans="3:12" x14ac:dyDescent="0.2">
      <c r="C4960"/>
      <c r="L4960" s="9" t="str">
        <f t="shared" si="196"/>
        <v/>
      </c>
    </row>
    <row r="4961" spans="3:12" x14ac:dyDescent="0.2">
      <c r="C4961"/>
      <c r="L4961" s="9" t="str">
        <f t="shared" si="196"/>
        <v/>
      </c>
    </row>
    <row r="4962" spans="3:12" x14ac:dyDescent="0.2">
      <c r="C4962"/>
      <c r="L4962" s="9" t="str">
        <f t="shared" si="196"/>
        <v/>
      </c>
    </row>
    <row r="4963" spans="3:12" x14ac:dyDescent="0.2">
      <c r="C4963"/>
      <c r="L4963" s="9" t="str">
        <f t="shared" si="196"/>
        <v/>
      </c>
    </row>
    <row r="4964" spans="3:12" x14ac:dyDescent="0.2">
      <c r="C4964"/>
      <c r="L4964" s="9" t="str">
        <f t="shared" si="196"/>
        <v/>
      </c>
    </row>
    <row r="4965" spans="3:12" x14ac:dyDescent="0.2">
      <c r="C4965"/>
      <c r="L4965" s="9" t="str">
        <f t="shared" si="196"/>
        <v/>
      </c>
    </row>
    <row r="4966" spans="3:12" x14ac:dyDescent="0.2">
      <c r="C4966"/>
      <c r="L4966" s="9" t="str">
        <f t="shared" si="196"/>
        <v/>
      </c>
    </row>
    <row r="4967" spans="3:12" x14ac:dyDescent="0.2">
      <c r="C4967"/>
      <c r="L4967" s="9" t="str">
        <f t="shared" si="196"/>
        <v/>
      </c>
    </row>
    <row r="4968" spans="3:12" x14ac:dyDescent="0.2">
      <c r="C4968"/>
      <c r="L4968" s="9" t="str">
        <f t="shared" si="196"/>
        <v/>
      </c>
    </row>
    <row r="4969" spans="3:12" x14ac:dyDescent="0.2">
      <c r="C4969"/>
      <c r="L4969" s="9" t="str">
        <f t="shared" si="196"/>
        <v/>
      </c>
    </row>
    <row r="4970" spans="3:12" x14ac:dyDescent="0.2">
      <c r="C4970"/>
      <c r="L4970" s="9" t="str">
        <f t="shared" si="196"/>
        <v/>
      </c>
    </row>
    <row r="4971" spans="3:12" x14ac:dyDescent="0.2">
      <c r="C4971"/>
      <c r="L4971" s="9" t="str">
        <f t="shared" si="196"/>
        <v/>
      </c>
    </row>
    <row r="4972" spans="3:12" x14ac:dyDescent="0.2">
      <c r="C4972"/>
      <c r="L4972" s="9" t="str">
        <f t="shared" si="196"/>
        <v/>
      </c>
    </row>
    <row r="4973" spans="3:12" x14ac:dyDescent="0.2">
      <c r="C4973"/>
      <c r="L4973" s="9" t="str">
        <f t="shared" si="196"/>
        <v/>
      </c>
    </row>
    <row r="4974" spans="3:12" x14ac:dyDescent="0.2">
      <c r="C4974"/>
      <c r="L4974" s="9" t="str">
        <f t="shared" si="196"/>
        <v/>
      </c>
    </row>
    <row r="4975" spans="3:12" x14ac:dyDescent="0.2">
      <c r="C4975"/>
      <c r="L4975" s="9" t="str">
        <f t="shared" si="196"/>
        <v/>
      </c>
    </row>
    <row r="4976" spans="3:12" x14ac:dyDescent="0.2">
      <c r="C4976"/>
      <c r="L4976" s="9" t="str">
        <f t="shared" si="196"/>
        <v/>
      </c>
    </row>
    <row r="4977" spans="3:12" x14ac:dyDescent="0.2">
      <c r="C4977"/>
      <c r="L4977" s="9" t="str">
        <f t="shared" si="196"/>
        <v/>
      </c>
    </row>
    <row r="4978" spans="3:12" x14ac:dyDescent="0.2">
      <c r="C4978"/>
      <c r="L4978" s="9" t="str">
        <f t="shared" si="196"/>
        <v/>
      </c>
    </row>
    <row r="4979" spans="3:12" x14ac:dyDescent="0.2">
      <c r="C4979"/>
      <c r="L4979" s="9" t="str">
        <f t="shared" si="196"/>
        <v/>
      </c>
    </row>
    <row r="4980" spans="3:12" x14ac:dyDescent="0.2">
      <c r="C4980"/>
      <c r="L4980" s="9" t="str">
        <f t="shared" si="196"/>
        <v/>
      </c>
    </row>
    <row r="4981" spans="3:12" x14ac:dyDescent="0.2">
      <c r="C4981"/>
      <c r="L4981" s="9" t="str">
        <f t="shared" si="196"/>
        <v/>
      </c>
    </row>
    <row r="4982" spans="3:12" x14ac:dyDescent="0.2">
      <c r="C4982"/>
      <c r="L4982" s="9" t="str">
        <f t="shared" si="196"/>
        <v/>
      </c>
    </row>
    <row r="4983" spans="3:12" x14ac:dyDescent="0.2">
      <c r="C4983"/>
      <c r="L4983" s="9" t="str">
        <f t="shared" si="196"/>
        <v/>
      </c>
    </row>
    <row r="4984" spans="3:12" x14ac:dyDescent="0.2">
      <c r="C4984"/>
      <c r="L4984" s="9" t="str">
        <f t="shared" si="196"/>
        <v/>
      </c>
    </row>
    <row r="4985" spans="3:12" x14ac:dyDescent="0.2">
      <c r="C4985"/>
      <c r="L4985" s="9" t="str">
        <f t="shared" si="196"/>
        <v/>
      </c>
    </row>
    <row r="4986" spans="3:12" x14ac:dyDescent="0.2">
      <c r="C4986"/>
      <c r="L4986" s="9" t="str">
        <f t="shared" si="196"/>
        <v/>
      </c>
    </row>
    <row r="4987" spans="3:12" x14ac:dyDescent="0.2">
      <c r="C4987"/>
      <c r="L4987" s="9" t="str">
        <f t="shared" si="196"/>
        <v/>
      </c>
    </row>
    <row r="4988" spans="3:12" x14ac:dyDescent="0.2">
      <c r="C4988"/>
      <c r="L4988" s="9" t="str">
        <f t="shared" si="196"/>
        <v/>
      </c>
    </row>
    <row r="4989" spans="3:12" x14ac:dyDescent="0.2">
      <c r="C4989"/>
      <c r="L4989" s="9" t="str">
        <f t="shared" ref="L4989:L5052" si="197">IF(A4989="STOCK",E4989,IF(A4989="SOPTION",G4989,IF(A4989="LOPTION",F4989,"")))</f>
        <v/>
      </c>
    </row>
    <row r="4990" spans="3:12" x14ac:dyDescent="0.2">
      <c r="C4990"/>
      <c r="L4990" s="9" t="str">
        <f t="shared" si="197"/>
        <v/>
      </c>
    </row>
    <row r="4991" spans="3:12" x14ac:dyDescent="0.2">
      <c r="C4991"/>
      <c r="L4991" s="9" t="str">
        <f t="shared" si="197"/>
        <v/>
      </c>
    </row>
    <row r="4992" spans="3:12" x14ac:dyDescent="0.2">
      <c r="C4992"/>
      <c r="L4992" s="9" t="str">
        <f t="shared" si="197"/>
        <v/>
      </c>
    </row>
    <row r="4993" spans="3:12" x14ac:dyDescent="0.2">
      <c r="C4993"/>
      <c r="L4993" s="9" t="str">
        <f t="shared" si="197"/>
        <v/>
      </c>
    </row>
    <row r="4994" spans="3:12" x14ac:dyDescent="0.2">
      <c r="C4994"/>
      <c r="L4994" s="9" t="str">
        <f t="shared" si="197"/>
        <v/>
      </c>
    </row>
    <row r="4995" spans="3:12" x14ac:dyDescent="0.2">
      <c r="C4995"/>
      <c r="L4995" s="9" t="str">
        <f t="shared" si="197"/>
        <v/>
      </c>
    </row>
    <row r="4996" spans="3:12" x14ac:dyDescent="0.2">
      <c r="C4996"/>
      <c r="L4996" s="9" t="str">
        <f t="shared" si="197"/>
        <v/>
      </c>
    </row>
    <row r="4997" spans="3:12" x14ac:dyDescent="0.2">
      <c r="C4997"/>
      <c r="L4997" s="9" t="str">
        <f t="shared" si="197"/>
        <v/>
      </c>
    </row>
    <row r="4998" spans="3:12" x14ac:dyDescent="0.2">
      <c r="C4998"/>
      <c r="L4998" s="9" t="str">
        <f t="shared" si="197"/>
        <v/>
      </c>
    </row>
    <row r="4999" spans="3:12" x14ac:dyDescent="0.2">
      <c r="C4999"/>
      <c r="L4999" s="9" t="str">
        <f t="shared" si="197"/>
        <v/>
      </c>
    </row>
    <row r="5000" spans="3:12" x14ac:dyDescent="0.2">
      <c r="C5000"/>
      <c r="L5000" s="9" t="str">
        <f t="shared" si="197"/>
        <v/>
      </c>
    </row>
    <row r="5001" spans="3:12" x14ac:dyDescent="0.2">
      <c r="C5001"/>
      <c r="L5001" s="9" t="str">
        <f t="shared" si="197"/>
        <v/>
      </c>
    </row>
    <row r="5002" spans="3:12" x14ac:dyDescent="0.2">
      <c r="C5002"/>
      <c r="L5002" s="9" t="str">
        <f t="shared" si="197"/>
        <v/>
      </c>
    </row>
    <row r="5003" spans="3:12" x14ac:dyDescent="0.2">
      <c r="C5003"/>
      <c r="L5003" s="9" t="str">
        <f t="shared" si="197"/>
        <v/>
      </c>
    </row>
    <row r="5004" spans="3:12" x14ac:dyDescent="0.2">
      <c r="C5004"/>
      <c r="L5004" s="9" t="str">
        <f t="shared" si="197"/>
        <v/>
      </c>
    </row>
    <row r="5005" spans="3:12" x14ac:dyDescent="0.2">
      <c r="C5005"/>
      <c r="L5005" s="9" t="str">
        <f t="shared" si="197"/>
        <v/>
      </c>
    </row>
    <row r="5006" spans="3:12" x14ac:dyDescent="0.2">
      <c r="C5006"/>
      <c r="L5006" s="9" t="str">
        <f t="shared" si="197"/>
        <v/>
      </c>
    </row>
    <row r="5007" spans="3:12" x14ac:dyDescent="0.2">
      <c r="C5007"/>
      <c r="L5007" s="9" t="str">
        <f t="shared" si="197"/>
        <v/>
      </c>
    </row>
    <row r="5008" spans="3:12" x14ac:dyDescent="0.2">
      <c r="C5008"/>
      <c r="L5008" s="9" t="str">
        <f t="shared" si="197"/>
        <v/>
      </c>
    </row>
    <row r="5009" spans="3:12" x14ac:dyDescent="0.2">
      <c r="C5009"/>
      <c r="L5009" s="9" t="str">
        <f t="shared" si="197"/>
        <v/>
      </c>
    </row>
    <row r="5010" spans="3:12" x14ac:dyDescent="0.2">
      <c r="C5010"/>
      <c r="L5010" s="9" t="str">
        <f t="shared" si="197"/>
        <v/>
      </c>
    </row>
    <row r="5011" spans="3:12" x14ac:dyDescent="0.2">
      <c r="C5011"/>
      <c r="L5011" s="9" t="str">
        <f t="shared" si="197"/>
        <v/>
      </c>
    </row>
    <row r="5012" spans="3:12" x14ac:dyDescent="0.2">
      <c r="C5012"/>
      <c r="L5012" s="9" t="str">
        <f t="shared" si="197"/>
        <v/>
      </c>
    </row>
    <row r="5013" spans="3:12" x14ac:dyDescent="0.2">
      <c r="C5013"/>
      <c r="L5013" s="9" t="str">
        <f t="shared" si="197"/>
        <v/>
      </c>
    </row>
    <row r="5014" spans="3:12" x14ac:dyDescent="0.2">
      <c r="C5014"/>
      <c r="L5014" s="9" t="str">
        <f t="shared" si="197"/>
        <v/>
      </c>
    </row>
    <row r="5015" spans="3:12" x14ac:dyDescent="0.2">
      <c r="C5015"/>
      <c r="L5015" s="9" t="str">
        <f t="shared" si="197"/>
        <v/>
      </c>
    </row>
    <row r="5016" spans="3:12" x14ac:dyDescent="0.2">
      <c r="C5016"/>
      <c r="L5016" s="9" t="str">
        <f t="shared" si="197"/>
        <v/>
      </c>
    </row>
    <row r="5017" spans="3:12" x14ac:dyDescent="0.2">
      <c r="C5017"/>
      <c r="L5017" s="9" t="str">
        <f t="shared" si="197"/>
        <v/>
      </c>
    </row>
    <row r="5018" spans="3:12" x14ac:dyDescent="0.2">
      <c r="C5018"/>
      <c r="L5018" s="9" t="str">
        <f t="shared" si="197"/>
        <v/>
      </c>
    </row>
    <row r="5019" spans="3:12" x14ac:dyDescent="0.2">
      <c r="C5019"/>
      <c r="L5019" s="9" t="str">
        <f t="shared" si="197"/>
        <v/>
      </c>
    </row>
    <row r="5020" spans="3:12" x14ac:dyDescent="0.2">
      <c r="C5020"/>
      <c r="L5020" s="9" t="str">
        <f t="shared" si="197"/>
        <v/>
      </c>
    </row>
    <row r="5021" spans="3:12" x14ac:dyDescent="0.2">
      <c r="C5021"/>
      <c r="L5021" s="9" t="str">
        <f t="shared" si="197"/>
        <v/>
      </c>
    </row>
    <row r="5022" spans="3:12" x14ac:dyDescent="0.2">
      <c r="C5022"/>
      <c r="L5022" s="9" t="str">
        <f t="shared" si="197"/>
        <v/>
      </c>
    </row>
    <row r="5023" spans="3:12" x14ac:dyDescent="0.2">
      <c r="C5023"/>
      <c r="L5023" s="9" t="str">
        <f t="shared" si="197"/>
        <v/>
      </c>
    </row>
    <row r="5024" spans="3:12" x14ac:dyDescent="0.2">
      <c r="C5024"/>
      <c r="L5024" s="9" t="str">
        <f t="shared" si="197"/>
        <v/>
      </c>
    </row>
    <row r="5025" spans="3:12" x14ac:dyDescent="0.2">
      <c r="C5025"/>
      <c r="L5025" s="9" t="str">
        <f t="shared" si="197"/>
        <v/>
      </c>
    </row>
    <row r="5026" spans="3:12" x14ac:dyDescent="0.2">
      <c r="C5026"/>
      <c r="L5026" s="9" t="str">
        <f t="shared" si="197"/>
        <v/>
      </c>
    </row>
    <row r="5027" spans="3:12" x14ac:dyDescent="0.2">
      <c r="C5027"/>
      <c r="L5027" s="9" t="str">
        <f t="shared" si="197"/>
        <v/>
      </c>
    </row>
    <row r="5028" spans="3:12" x14ac:dyDescent="0.2">
      <c r="C5028"/>
      <c r="L5028" s="9" t="str">
        <f t="shared" si="197"/>
        <v/>
      </c>
    </row>
    <row r="5029" spans="3:12" x14ac:dyDescent="0.2">
      <c r="C5029"/>
      <c r="L5029" s="9" t="str">
        <f t="shared" si="197"/>
        <v/>
      </c>
    </row>
    <row r="5030" spans="3:12" x14ac:dyDescent="0.2">
      <c r="C5030"/>
      <c r="L5030" s="9" t="str">
        <f t="shared" si="197"/>
        <v/>
      </c>
    </row>
    <row r="5031" spans="3:12" x14ac:dyDescent="0.2">
      <c r="C5031"/>
      <c r="L5031" s="9" t="str">
        <f t="shared" si="197"/>
        <v/>
      </c>
    </row>
    <row r="5032" spans="3:12" x14ac:dyDescent="0.2">
      <c r="C5032"/>
      <c r="L5032" s="9" t="str">
        <f t="shared" si="197"/>
        <v/>
      </c>
    </row>
    <row r="5033" spans="3:12" x14ac:dyDescent="0.2">
      <c r="C5033"/>
      <c r="L5033" s="9" t="str">
        <f t="shared" si="197"/>
        <v/>
      </c>
    </row>
    <row r="5034" spans="3:12" x14ac:dyDescent="0.2">
      <c r="C5034"/>
      <c r="L5034" s="9" t="str">
        <f t="shared" si="197"/>
        <v/>
      </c>
    </row>
    <row r="5035" spans="3:12" x14ac:dyDescent="0.2">
      <c r="C5035"/>
      <c r="L5035" s="9" t="str">
        <f t="shared" si="197"/>
        <v/>
      </c>
    </row>
    <row r="5036" spans="3:12" x14ac:dyDescent="0.2">
      <c r="C5036"/>
      <c r="L5036" s="9" t="str">
        <f t="shared" si="197"/>
        <v/>
      </c>
    </row>
    <row r="5037" spans="3:12" x14ac:dyDescent="0.2">
      <c r="C5037"/>
      <c r="L5037" s="9" t="str">
        <f t="shared" si="197"/>
        <v/>
      </c>
    </row>
    <row r="5038" spans="3:12" x14ac:dyDescent="0.2">
      <c r="C5038"/>
      <c r="L5038" s="9" t="str">
        <f t="shared" si="197"/>
        <v/>
      </c>
    </row>
    <row r="5039" spans="3:12" x14ac:dyDescent="0.2">
      <c r="C5039"/>
      <c r="L5039" s="9" t="str">
        <f t="shared" si="197"/>
        <v/>
      </c>
    </row>
    <row r="5040" spans="3:12" x14ac:dyDescent="0.2">
      <c r="C5040"/>
      <c r="L5040" s="9" t="str">
        <f t="shared" si="197"/>
        <v/>
      </c>
    </row>
    <row r="5041" spans="3:12" x14ac:dyDescent="0.2">
      <c r="C5041"/>
      <c r="L5041" s="9" t="str">
        <f t="shared" si="197"/>
        <v/>
      </c>
    </row>
    <row r="5042" spans="3:12" x14ac:dyDescent="0.2">
      <c r="C5042"/>
      <c r="L5042" s="9" t="str">
        <f t="shared" si="197"/>
        <v/>
      </c>
    </row>
    <row r="5043" spans="3:12" x14ac:dyDescent="0.2">
      <c r="C5043"/>
      <c r="L5043" s="9" t="str">
        <f t="shared" si="197"/>
        <v/>
      </c>
    </row>
    <row r="5044" spans="3:12" x14ac:dyDescent="0.2">
      <c r="C5044"/>
      <c r="L5044" s="9" t="str">
        <f t="shared" si="197"/>
        <v/>
      </c>
    </row>
    <row r="5045" spans="3:12" x14ac:dyDescent="0.2">
      <c r="C5045"/>
      <c r="L5045" s="9" t="str">
        <f t="shared" si="197"/>
        <v/>
      </c>
    </row>
    <row r="5046" spans="3:12" x14ac:dyDescent="0.2">
      <c r="C5046"/>
      <c r="L5046" s="9" t="str">
        <f t="shared" si="197"/>
        <v/>
      </c>
    </row>
    <row r="5047" spans="3:12" x14ac:dyDescent="0.2">
      <c r="C5047"/>
      <c r="L5047" s="9" t="str">
        <f t="shared" si="197"/>
        <v/>
      </c>
    </row>
    <row r="5048" spans="3:12" x14ac:dyDescent="0.2">
      <c r="C5048"/>
      <c r="L5048" s="9" t="str">
        <f t="shared" si="197"/>
        <v/>
      </c>
    </row>
    <row r="5049" spans="3:12" x14ac:dyDescent="0.2">
      <c r="C5049"/>
      <c r="L5049" s="9" t="str">
        <f t="shared" si="197"/>
        <v/>
      </c>
    </row>
    <row r="5050" spans="3:12" x14ac:dyDescent="0.2">
      <c r="C5050"/>
      <c r="L5050" s="9" t="str">
        <f t="shared" si="197"/>
        <v/>
      </c>
    </row>
    <row r="5051" spans="3:12" x14ac:dyDescent="0.2">
      <c r="C5051"/>
      <c r="L5051" s="9" t="str">
        <f t="shared" si="197"/>
        <v/>
      </c>
    </row>
    <row r="5052" spans="3:12" x14ac:dyDescent="0.2">
      <c r="C5052"/>
      <c r="L5052" s="9" t="str">
        <f t="shared" si="197"/>
        <v/>
      </c>
    </row>
    <row r="5053" spans="3:12" x14ac:dyDescent="0.2">
      <c r="C5053"/>
      <c r="L5053" s="9" t="str">
        <f t="shared" ref="L5053:L5116" si="198">IF(A5053="STOCK",E5053,IF(A5053="SOPTION",G5053,IF(A5053="LOPTION",F5053,"")))</f>
        <v/>
      </c>
    </row>
    <row r="5054" spans="3:12" x14ac:dyDescent="0.2">
      <c r="C5054"/>
      <c r="L5054" s="9" t="str">
        <f t="shared" si="198"/>
        <v/>
      </c>
    </row>
    <row r="5055" spans="3:12" x14ac:dyDescent="0.2">
      <c r="C5055"/>
      <c r="L5055" s="9" t="str">
        <f t="shared" si="198"/>
        <v/>
      </c>
    </row>
    <row r="5056" spans="3:12" x14ac:dyDescent="0.2">
      <c r="C5056"/>
      <c r="L5056" s="9" t="str">
        <f t="shared" si="198"/>
        <v/>
      </c>
    </row>
    <row r="5057" spans="3:12" x14ac:dyDescent="0.2">
      <c r="C5057"/>
      <c r="L5057" s="9" t="str">
        <f t="shared" si="198"/>
        <v/>
      </c>
    </row>
    <row r="5058" spans="3:12" x14ac:dyDescent="0.2">
      <c r="C5058"/>
      <c r="L5058" s="9" t="str">
        <f t="shared" si="198"/>
        <v/>
      </c>
    </row>
    <row r="5059" spans="3:12" x14ac:dyDescent="0.2">
      <c r="C5059"/>
      <c r="L5059" s="9" t="str">
        <f t="shared" si="198"/>
        <v/>
      </c>
    </row>
    <row r="5060" spans="3:12" x14ac:dyDescent="0.2">
      <c r="C5060"/>
      <c r="L5060" s="9" t="str">
        <f t="shared" si="198"/>
        <v/>
      </c>
    </row>
    <row r="5061" spans="3:12" x14ac:dyDescent="0.2">
      <c r="C5061"/>
      <c r="L5061" s="9" t="str">
        <f t="shared" si="198"/>
        <v/>
      </c>
    </row>
    <row r="5062" spans="3:12" x14ac:dyDescent="0.2">
      <c r="C5062"/>
      <c r="L5062" s="9" t="str">
        <f t="shared" si="198"/>
        <v/>
      </c>
    </row>
    <row r="5063" spans="3:12" x14ac:dyDescent="0.2">
      <c r="C5063"/>
      <c r="L5063" s="9" t="str">
        <f t="shared" si="198"/>
        <v/>
      </c>
    </row>
    <row r="5064" spans="3:12" x14ac:dyDescent="0.2">
      <c r="C5064"/>
      <c r="L5064" s="9" t="str">
        <f t="shared" si="198"/>
        <v/>
      </c>
    </row>
    <row r="5065" spans="3:12" x14ac:dyDescent="0.2">
      <c r="C5065"/>
      <c r="L5065" s="9" t="str">
        <f t="shared" si="198"/>
        <v/>
      </c>
    </row>
    <row r="5066" spans="3:12" x14ac:dyDescent="0.2">
      <c r="C5066"/>
      <c r="L5066" s="9" t="str">
        <f t="shared" si="198"/>
        <v/>
      </c>
    </row>
    <row r="5067" spans="3:12" x14ac:dyDescent="0.2">
      <c r="C5067"/>
      <c r="L5067" s="9" t="str">
        <f t="shared" si="198"/>
        <v/>
      </c>
    </row>
    <row r="5068" spans="3:12" x14ac:dyDescent="0.2">
      <c r="C5068"/>
      <c r="L5068" s="9" t="str">
        <f t="shared" si="198"/>
        <v/>
      </c>
    </row>
    <row r="5069" spans="3:12" x14ac:dyDescent="0.2">
      <c r="C5069"/>
      <c r="L5069" s="9" t="str">
        <f t="shared" si="198"/>
        <v/>
      </c>
    </row>
    <row r="5070" spans="3:12" x14ac:dyDescent="0.2">
      <c r="C5070"/>
      <c r="L5070" s="9" t="str">
        <f t="shared" si="198"/>
        <v/>
      </c>
    </row>
    <row r="5071" spans="3:12" x14ac:dyDescent="0.2">
      <c r="C5071"/>
      <c r="L5071" s="9" t="str">
        <f t="shared" si="198"/>
        <v/>
      </c>
    </row>
    <row r="5072" spans="3:12" x14ac:dyDescent="0.2">
      <c r="C5072"/>
      <c r="L5072" s="9" t="str">
        <f t="shared" si="198"/>
        <v/>
      </c>
    </row>
    <row r="5073" spans="3:12" x14ac:dyDescent="0.2">
      <c r="C5073"/>
      <c r="L5073" s="9" t="str">
        <f t="shared" si="198"/>
        <v/>
      </c>
    </row>
    <row r="5074" spans="3:12" x14ac:dyDescent="0.2">
      <c r="C5074"/>
      <c r="L5074" s="9" t="str">
        <f t="shared" si="198"/>
        <v/>
      </c>
    </row>
    <row r="5075" spans="3:12" x14ac:dyDescent="0.2">
      <c r="C5075"/>
      <c r="L5075" s="9" t="str">
        <f t="shared" si="198"/>
        <v/>
      </c>
    </row>
    <row r="5076" spans="3:12" x14ac:dyDescent="0.2">
      <c r="C5076"/>
      <c r="L5076" s="9" t="str">
        <f t="shared" si="198"/>
        <v/>
      </c>
    </row>
    <row r="5077" spans="3:12" x14ac:dyDescent="0.2">
      <c r="C5077"/>
      <c r="L5077" s="9" t="str">
        <f t="shared" si="198"/>
        <v/>
      </c>
    </row>
    <row r="5078" spans="3:12" x14ac:dyDescent="0.2">
      <c r="C5078"/>
      <c r="L5078" s="9" t="str">
        <f t="shared" si="198"/>
        <v/>
      </c>
    </row>
    <row r="5079" spans="3:12" x14ac:dyDescent="0.2">
      <c r="C5079"/>
      <c r="L5079" s="9" t="str">
        <f t="shared" si="198"/>
        <v/>
      </c>
    </row>
    <row r="5080" spans="3:12" x14ac:dyDescent="0.2">
      <c r="C5080"/>
      <c r="L5080" s="9" t="str">
        <f t="shared" si="198"/>
        <v/>
      </c>
    </row>
    <row r="5081" spans="3:12" x14ac:dyDescent="0.2">
      <c r="C5081"/>
      <c r="L5081" s="9" t="str">
        <f t="shared" si="198"/>
        <v/>
      </c>
    </row>
    <row r="5082" spans="3:12" x14ac:dyDescent="0.2">
      <c r="C5082"/>
      <c r="L5082" s="9" t="str">
        <f t="shared" si="198"/>
        <v/>
      </c>
    </row>
    <row r="5083" spans="3:12" x14ac:dyDescent="0.2">
      <c r="C5083"/>
      <c r="L5083" s="9" t="str">
        <f t="shared" si="198"/>
        <v/>
      </c>
    </row>
    <row r="5084" spans="3:12" x14ac:dyDescent="0.2">
      <c r="C5084"/>
      <c r="L5084" s="9" t="str">
        <f t="shared" si="198"/>
        <v/>
      </c>
    </row>
    <row r="5085" spans="3:12" x14ac:dyDescent="0.2">
      <c r="C5085"/>
      <c r="L5085" s="9" t="str">
        <f t="shared" si="198"/>
        <v/>
      </c>
    </row>
    <row r="5086" spans="3:12" x14ac:dyDescent="0.2">
      <c r="C5086"/>
      <c r="L5086" s="9" t="str">
        <f t="shared" si="198"/>
        <v/>
      </c>
    </row>
    <row r="5087" spans="3:12" x14ac:dyDescent="0.2">
      <c r="C5087"/>
      <c r="L5087" s="9" t="str">
        <f t="shared" si="198"/>
        <v/>
      </c>
    </row>
    <row r="5088" spans="3:12" x14ac:dyDescent="0.2">
      <c r="C5088"/>
      <c r="L5088" s="9" t="str">
        <f t="shared" si="198"/>
        <v/>
      </c>
    </row>
    <row r="5089" spans="3:12" x14ac:dyDescent="0.2">
      <c r="C5089"/>
      <c r="L5089" s="9" t="str">
        <f t="shared" si="198"/>
        <v/>
      </c>
    </row>
    <row r="5090" spans="3:12" x14ac:dyDescent="0.2">
      <c r="C5090"/>
      <c r="L5090" s="9" t="str">
        <f t="shared" si="198"/>
        <v/>
      </c>
    </row>
    <row r="5091" spans="3:12" x14ac:dyDescent="0.2">
      <c r="C5091"/>
      <c r="L5091" s="9" t="str">
        <f t="shared" si="198"/>
        <v/>
      </c>
    </row>
    <row r="5092" spans="3:12" x14ac:dyDescent="0.2">
      <c r="C5092"/>
      <c r="L5092" s="9" t="str">
        <f t="shared" si="198"/>
        <v/>
      </c>
    </row>
    <row r="5093" spans="3:12" x14ac:dyDescent="0.2">
      <c r="C5093"/>
      <c r="L5093" s="9" t="str">
        <f t="shared" si="198"/>
        <v/>
      </c>
    </row>
    <row r="5094" spans="3:12" x14ac:dyDescent="0.2">
      <c r="C5094"/>
      <c r="L5094" s="9" t="str">
        <f t="shared" si="198"/>
        <v/>
      </c>
    </row>
    <row r="5095" spans="3:12" x14ac:dyDescent="0.2">
      <c r="C5095"/>
      <c r="L5095" s="9" t="str">
        <f t="shared" si="198"/>
        <v/>
      </c>
    </row>
    <row r="5096" spans="3:12" x14ac:dyDescent="0.2">
      <c r="C5096"/>
      <c r="L5096" s="9" t="str">
        <f t="shared" si="198"/>
        <v/>
      </c>
    </row>
    <row r="5097" spans="3:12" x14ac:dyDescent="0.2">
      <c r="C5097"/>
      <c r="L5097" s="9" t="str">
        <f t="shared" si="198"/>
        <v/>
      </c>
    </row>
    <row r="5098" spans="3:12" x14ac:dyDescent="0.2">
      <c r="C5098"/>
      <c r="L5098" s="9" t="str">
        <f t="shared" si="198"/>
        <v/>
      </c>
    </row>
    <row r="5099" spans="3:12" x14ac:dyDescent="0.2">
      <c r="C5099"/>
      <c r="L5099" s="9" t="str">
        <f t="shared" si="198"/>
        <v/>
      </c>
    </row>
    <row r="5100" spans="3:12" x14ac:dyDescent="0.2">
      <c r="C5100"/>
      <c r="L5100" s="9" t="str">
        <f t="shared" si="198"/>
        <v/>
      </c>
    </row>
    <row r="5101" spans="3:12" x14ac:dyDescent="0.2">
      <c r="C5101"/>
      <c r="L5101" s="9" t="str">
        <f t="shared" si="198"/>
        <v/>
      </c>
    </row>
    <row r="5102" spans="3:12" x14ac:dyDescent="0.2">
      <c r="C5102"/>
      <c r="L5102" s="9" t="str">
        <f t="shared" si="198"/>
        <v/>
      </c>
    </row>
    <row r="5103" spans="3:12" x14ac:dyDescent="0.2">
      <c r="C5103"/>
      <c r="L5103" s="9" t="str">
        <f t="shared" si="198"/>
        <v/>
      </c>
    </row>
    <row r="5104" spans="3:12" x14ac:dyDescent="0.2">
      <c r="C5104"/>
      <c r="L5104" s="9" t="str">
        <f t="shared" si="198"/>
        <v/>
      </c>
    </row>
    <row r="5105" spans="3:12" x14ac:dyDescent="0.2">
      <c r="C5105"/>
      <c r="L5105" s="9" t="str">
        <f t="shared" si="198"/>
        <v/>
      </c>
    </row>
    <row r="5106" spans="3:12" x14ac:dyDescent="0.2">
      <c r="C5106"/>
      <c r="L5106" s="9" t="str">
        <f t="shared" si="198"/>
        <v/>
      </c>
    </row>
    <row r="5107" spans="3:12" x14ac:dyDescent="0.2">
      <c r="C5107"/>
      <c r="L5107" s="9" t="str">
        <f t="shared" si="198"/>
        <v/>
      </c>
    </row>
    <row r="5108" spans="3:12" x14ac:dyDescent="0.2">
      <c r="C5108"/>
      <c r="L5108" s="9" t="str">
        <f t="shared" si="198"/>
        <v/>
      </c>
    </row>
    <row r="5109" spans="3:12" x14ac:dyDescent="0.2">
      <c r="C5109"/>
      <c r="L5109" s="9" t="str">
        <f t="shared" si="198"/>
        <v/>
      </c>
    </row>
    <row r="5110" spans="3:12" x14ac:dyDescent="0.2">
      <c r="C5110"/>
      <c r="L5110" s="9" t="str">
        <f t="shared" si="198"/>
        <v/>
      </c>
    </row>
    <row r="5111" spans="3:12" x14ac:dyDescent="0.2">
      <c r="C5111"/>
      <c r="L5111" s="9" t="str">
        <f t="shared" si="198"/>
        <v/>
      </c>
    </row>
    <row r="5112" spans="3:12" x14ac:dyDescent="0.2">
      <c r="C5112"/>
      <c r="L5112" s="9" t="str">
        <f t="shared" si="198"/>
        <v/>
      </c>
    </row>
    <row r="5113" spans="3:12" x14ac:dyDescent="0.2">
      <c r="C5113"/>
      <c r="L5113" s="9" t="str">
        <f t="shared" si="198"/>
        <v/>
      </c>
    </row>
    <row r="5114" spans="3:12" x14ac:dyDescent="0.2">
      <c r="C5114"/>
      <c r="L5114" s="9" t="str">
        <f t="shared" si="198"/>
        <v/>
      </c>
    </row>
    <row r="5115" spans="3:12" x14ac:dyDescent="0.2">
      <c r="C5115"/>
      <c r="L5115" s="9" t="str">
        <f t="shared" si="198"/>
        <v/>
      </c>
    </row>
    <row r="5116" spans="3:12" x14ac:dyDescent="0.2">
      <c r="C5116"/>
      <c r="L5116" s="9" t="str">
        <f t="shared" si="198"/>
        <v/>
      </c>
    </row>
    <row r="5117" spans="3:12" x14ac:dyDescent="0.2">
      <c r="C5117"/>
      <c r="L5117" s="9" t="str">
        <f t="shared" ref="L5117:L5180" si="199">IF(A5117="STOCK",E5117,IF(A5117="SOPTION",G5117,IF(A5117="LOPTION",F5117,"")))</f>
        <v/>
      </c>
    </row>
    <row r="5118" spans="3:12" x14ac:dyDescent="0.2">
      <c r="C5118"/>
      <c r="L5118" s="9" t="str">
        <f t="shared" si="199"/>
        <v/>
      </c>
    </row>
    <row r="5119" spans="3:12" x14ac:dyDescent="0.2">
      <c r="C5119"/>
      <c r="L5119" s="9" t="str">
        <f t="shared" si="199"/>
        <v/>
      </c>
    </row>
    <row r="5120" spans="3:12" x14ac:dyDescent="0.2">
      <c r="C5120"/>
      <c r="L5120" s="9" t="str">
        <f t="shared" si="199"/>
        <v/>
      </c>
    </row>
    <row r="5121" spans="3:12" x14ac:dyDescent="0.2">
      <c r="C5121"/>
      <c r="L5121" s="9" t="str">
        <f t="shared" si="199"/>
        <v/>
      </c>
    </row>
    <row r="5122" spans="3:12" x14ac:dyDescent="0.2">
      <c r="C5122"/>
      <c r="L5122" s="9" t="str">
        <f t="shared" si="199"/>
        <v/>
      </c>
    </row>
    <row r="5123" spans="3:12" x14ac:dyDescent="0.2">
      <c r="C5123"/>
      <c r="L5123" s="9" t="str">
        <f t="shared" si="199"/>
        <v/>
      </c>
    </row>
    <row r="5124" spans="3:12" x14ac:dyDescent="0.2">
      <c r="C5124"/>
      <c r="L5124" s="9" t="str">
        <f t="shared" si="199"/>
        <v/>
      </c>
    </row>
    <row r="5125" spans="3:12" x14ac:dyDescent="0.2">
      <c r="C5125"/>
      <c r="L5125" s="9" t="str">
        <f t="shared" si="199"/>
        <v/>
      </c>
    </row>
    <row r="5126" spans="3:12" x14ac:dyDescent="0.2">
      <c r="C5126"/>
      <c r="L5126" s="9" t="str">
        <f t="shared" si="199"/>
        <v/>
      </c>
    </row>
    <row r="5127" spans="3:12" x14ac:dyDescent="0.2">
      <c r="C5127"/>
      <c r="L5127" s="9" t="str">
        <f t="shared" si="199"/>
        <v/>
      </c>
    </row>
    <row r="5128" spans="3:12" x14ac:dyDescent="0.2">
      <c r="C5128"/>
      <c r="L5128" s="9" t="str">
        <f t="shared" si="199"/>
        <v/>
      </c>
    </row>
    <row r="5129" spans="3:12" x14ac:dyDescent="0.2">
      <c r="C5129"/>
      <c r="L5129" s="9" t="str">
        <f t="shared" si="199"/>
        <v/>
      </c>
    </row>
    <row r="5130" spans="3:12" x14ac:dyDescent="0.2">
      <c r="C5130"/>
      <c r="L5130" s="9" t="str">
        <f t="shared" si="199"/>
        <v/>
      </c>
    </row>
    <row r="5131" spans="3:12" x14ac:dyDescent="0.2">
      <c r="C5131"/>
      <c r="L5131" s="9" t="str">
        <f t="shared" si="199"/>
        <v/>
      </c>
    </row>
    <row r="5132" spans="3:12" x14ac:dyDescent="0.2">
      <c r="C5132"/>
      <c r="L5132" s="9" t="str">
        <f t="shared" si="199"/>
        <v/>
      </c>
    </row>
    <row r="5133" spans="3:12" x14ac:dyDescent="0.2">
      <c r="C5133"/>
      <c r="L5133" s="9" t="str">
        <f t="shared" si="199"/>
        <v/>
      </c>
    </row>
    <row r="5134" spans="3:12" x14ac:dyDescent="0.2">
      <c r="C5134"/>
      <c r="L5134" s="9" t="str">
        <f t="shared" si="199"/>
        <v/>
      </c>
    </row>
    <row r="5135" spans="3:12" x14ac:dyDescent="0.2">
      <c r="C5135"/>
      <c r="L5135" s="9" t="str">
        <f t="shared" si="199"/>
        <v/>
      </c>
    </row>
    <row r="5136" spans="3:12" x14ac:dyDescent="0.2">
      <c r="C5136"/>
      <c r="L5136" s="9" t="str">
        <f t="shared" si="199"/>
        <v/>
      </c>
    </row>
    <row r="5137" spans="3:12" x14ac:dyDescent="0.2">
      <c r="C5137"/>
      <c r="L5137" s="9" t="str">
        <f t="shared" si="199"/>
        <v/>
      </c>
    </row>
    <row r="5138" spans="3:12" x14ac:dyDescent="0.2">
      <c r="C5138"/>
      <c r="L5138" s="9" t="str">
        <f t="shared" si="199"/>
        <v/>
      </c>
    </row>
    <row r="5139" spans="3:12" x14ac:dyDescent="0.2">
      <c r="C5139"/>
      <c r="L5139" s="9" t="str">
        <f t="shared" si="199"/>
        <v/>
      </c>
    </row>
    <row r="5140" spans="3:12" x14ac:dyDescent="0.2">
      <c r="C5140"/>
      <c r="L5140" s="9" t="str">
        <f t="shared" si="199"/>
        <v/>
      </c>
    </row>
    <row r="5141" spans="3:12" x14ac:dyDescent="0.2">
      <c r="C5141"/>
      <c r="L5141" s="9" t="str">
        <f t="shared" si="199"/>
        <v/>
      </c>
    </row>
    <row r="5142" spans="3:12" x14ac:dyDescent="0.2">
      <c r="C5142"/>
      <c r="L5142" s="9" t="str">
        <f t="shared" si="199"/>
        <v/>
      </c>
    </row>
    <row r="5143" spans="3:12" x14ac:dyDescent="0.2">
      <c r="C5143"/>
      <c r="L5143" s="9" t="str">
        <f t="shared" si="199"/>
        <v/>
      </c>
    </row>
    <row r="5144" spans="3:12" x14ac:dyDescent="0.2">
      <c r="C5144"/>
      <c r="L5144" s="9" t="str">
        <f t="shared" si="199"/>
        <v/>
      </c>
    </row>
    <row r="5145" spans="3:12" x14ac:dyDescent="0.2">
      <c r="C5145"/>
      <c r="L5145" s="9" t="str">
        <f t="shared" si="199"/>
        <v/>
      </c>
    </row>
    <row r="5146" spans="3:12" x14ac:dyDescent="0.2">
      <c r="C5146"/>
      <c r="L5146" s="9" t="str">
        <f t="shared" si="199"/>
        <v/>
      </c>
    </row>
    <row r="5147" spans="3:12" x14ac:dyDescent="0.2">
      <c r="C5147"/>
      <c r="L5147" s="9" t="str">
        <f t="shared" si="199"/>
        <v/>
      </c>
    </row>
    <row r="5148" spans="3:12" x14ac:dyDescent="0.2">
      <c r="C5148"/>
      <c r="L5148" s="9" t="str">
        <f t="shared" si="199"/>
        <v/>
      </c>
    </row>
    <row r="5149" spans="3:12" x14ac:dyDescent="0.2">
      <c r="C5149"/>
      <c r="L5149" s="9" t="str">
        <f t="shared" si="199"/>
        <v/>
      </c>
    </row>
    <row r="5150" spans="3:12" x14ac:dyDescent="0.2">
      <c r="C5150"/>
      <c r="L5150" s="9" t="str">
        <f t="shared" si="199"/>
        <v/>
      </c>
    </row>
    <row r="5151" spans="3:12" x14ac:dyDescent="0.2">
      <c r="C5151"/>
      <c r="L5151" s="9" t="str">
        <f t="shared" si="199"/>
        <v/>
      </c>
    </row>
    <row r="5152" spans="3:12" x14ac:dyDescent="0.2">
      <c r="C5152"/>
      <c r="L5152" s="9" t="str">
        <f t="shared" si="199"/>
        <v/>
      </c>
    </row>
    <row r="5153" spans="3:12" x14ac:dyDescent="0.2">
      <c r="C5153"/>
      <c r="L5153" s="9" t="str">
        <f t="shared" si="199"/>
        <v/>
      </c>
    </row>
    <row r="5154" spans="3:12" x14ac:dyDescent="0.2">
      <c r="C5154"/>
      <c r="L5154" s="9" t="str">
        <f t="shared" si="199"/>
        <v/>
      </c>
    </row>
    <row r="5155" spans="3:12" x14ac:dyDescent="0.2">
      <c r="C5155"/>
      <c r="L5155" s="9" t="str">
        <f t="shared" si="199"/>
        <v/>
      </c>
    </row>
    <row r="5156" spans="3:12" x14ac:dyDescent="0.2">
      <c r="C5156"/>
      <c r="L5156" s="9" t="str">
        <f t="shared" si="199"/>
        <v/>
      </c>
    </row>
    <row r="5157" spans="3:12" x14ac:dyDescent="0.2">
      <c r="C5157"/>
      <c r="L5157" s="9" t="str">
        <f t="shared" si="199"/>
        <v/>
      </c>
    </row>
    <row r="5158" spans="3:12" x14ac:dyDescent="0.2">
      <c r="C5158"/>
      <c r="L5158" s="9" t="str">
        <f t="shared" si="199"/>
        <v/>
      </c>
    </row>
    <row r="5159" spans="3:12" x14ac:dyDescent="0.2">
      <c r="C5159"/>
      <c r="L5159" s="9" t="str">
        <f t="shared" si="199"/>
        <v/>
      </c>
    </row>
    <row r="5160" spans="3:12" x14ac:dyDescent="0.2">
      <c r="C5160"/>
      <c r="L5160" s="9" t="str">
        <f t="shared" si="199"/>
        <v/>
      </c>
    </row>
    <row r="5161" spans="3:12" x14ac:dyDescent="0.2">
      <c r="C5161"/>
      <c r="L5161" s="9" t="str">
        <f t="shared" si="199"/>
        <v/>
      </c>
    </row>
    <row r="5162" spans="3:12" x14ac:dyDescent="0.2">
      <c r="C5162"/>
      <c r="L5162" s="9" t="str">
        <f t="shared" si="199"/>
        <v/>
      </c>
    </row>
    <row r="5163" spans="3:12" x14ac:dyDescent="0.2">
      <c r="C5163"/>
      <c r="L5163" s="9" t="str">
        <f t="shared" si="199"/>
        <v/>
      </c>
    </row>
    <row r="5164" spans="3:12" x14ac:dyDescent="0.2">
      <c r="C5164"/>
      <c r="L5164" s="9" t="str">
        <f t="shared" si="199"/>
        <v/>
      </c>
    </row>
    <row r="5165" spans="3:12" x14ac:dyDescent="0.2">
      <c r="C5165"/>
      <c r="L5165" s="9" t="str">
        <f t="shared" si="199"/>
        <v/>
      </c>
    </row>
    <row r="5166" spans="3:12" x14ac:dyDescent="0.2">
      <c r="C5166"/>
      <c r="L5166" s="9" t="str">
        <f t="shared" si="199"/>
        <v/>
      </c>
    </row>
    <row r="5167" spans="3:12" x14ac:dyDescent="0.2">
      <c r="C5167"/>
      <c r="L5167" s="9" t="str">
        <f t="shared" si="199"/>
        <v/>
      </c>
    </row>
    <row r="5168" spans="3:12" x14ac:dyDescent="0.2">
      <c r="C5168"/>
      <c r="L5168" s="9" t="str">
        <f t="shared" si="199"/>
        <v/>
      </c>
    </row>
    <row r="5169" spans="3:12" x14ac:dyDescent="0.2">
      <c r="C5169"/>
      <c r="L5169" s="9" t="str">
        <f t="shared" si="199"/>
        <v/>
      </c>
    </row>
    <row r="5170" spans="3:12" x14ac:dyDescent="0.2">
      <c r="C5170"/>
      <c r="L5170" s="9" t="str">
        <f t="shared" si="199"/>
        <v/>
      </c>
    </row>
    <row r="5171" spans="3:12" x14ac:dyDescent="0.2">
      <c r="C5171"/>
      <c r="L5171" s="9" t="str">
        <f t="shared" si="199"/>
        <v/>
      </c>
    </row>
    <row r="5172" spans="3:12" x14ac:dyDescent="0.2">
      <c r="C5172"/>
      <c r="L5172" s="9" t="str">
        <f t="shared" si="199"/>
        <v/>
      </c>
    </row>
    <row r="5173" spans="3:12" x14ac:dyDescent="0.2">
      <c r="C5173"/>
      <c r="L5173" s="9" t="str">
        <f t="shared" si="199"/>
        <v/>
      </c>
    </row>
    <row r="5174" spans="3:12" x14ac:dyDescent="0.2">
      <c r="C5174"/>
      <c r="L5174" s="9" t="str">
        <f t="shared" si="199"/>
        <v/>
      </c>
    </row>
    <row r="5175" spans="3:12" x14ac:dyDescent="0.2">
      <c r="C5175"/>
      <c r="L5175" s="9" t="str">
        <f t="shared" si="199"/>
        <v/>
      </c>
    </row>
    <row r="5176" spans="3:12" x14ac:dyDescent="0.2">
      <c r="C5176"/>
      <c r="L5176" s="9" t="str">
        <f t="shared" si="199"/>
        <v/>
      </c>
    </row>
    <row r="5177" spans="3:12" x14ac:dyDescent="0.2">
      <c r="C5177"/>
      <c r="L5177" s="9" t="str">
        <f t="shared" si="199"/>
        <v/>
      </c>
    </row>
    <row r="5178" spans="3:12" x14ac:dyDescent="0.2">
      <c r="C5178"/>
      <c r="L5178" s="9" t="str">
        <f t="shared" si="199"/>
        <v/>
      </c>
    </row>
    <row r="5179" spans="3:12" x14ac:dyDescent="0.2">
      <c r="C5179"/>
      <c r="L5179" s="9" t="str">
        <f t="shared" si="199"/>
        <v/>
      </c>
    </row>
    <row r="5180" spans="3:12" x14ac:dyDescent="0.2">
      <c r="C5180"/>
      <c r="L5180" s="9" t="str">
        <f t="shared" si="199"/>
        <v/>
      </c>
    </row>
    <row r="5181" spans="3:12" x14ac:dyDescent="0.2">
      <c r="C5181"/>
      <c r="L5181" s="9" t="str">
        <f t="shared" ref="L5181:L5244" si="200">IF(A5181="STOCK",E5181,IF(A5181="SOPTION",G5181,IF(A5181="LOPTION",F5181,"")))</f>
        <v/>
      </c>
    </row>
    <row r="5182" spans="3:12" x14ac:dyDescent="0.2">
      <c r="C5182"/>
      <c r="L5182" s="9" t="str">
        <f t="shared" si="200"/>
        <v/>
      </c>
    </row>
    <row r="5183" spans="3:12" x14ac:dyDescent="0.2">
      <c r="C5183"/>
      <c r="L5183" s="9" t="str">
        <f t="shared" si="200"/>
        <v/>
      </c>
    </row>
    <row r="5184" spans="3:12" x14ac:dyDescent="0.2">
      <c r="C5184"/>
      <c r="L5184" s="9" t="str">
        <f t="shared" si="200"/>
        <v/>
      </c>
    </row>
    <row r="5185" spans="3:12" x14ac:dyDescent="0.2">
      <c r="C5185"/>
      <c r="L5185" s="9" t="str">
        <f t="shared" si="200"/>
        <v/>
      </c>
    </row>
    <row r="5186" spans="3:12" x14ac:dyDescent="0.2">
      <c r="C5186"/>
      <c r="L5186" s="9" t="str">
        <f t="shared" si="200"/>
        <v/>
      </c>
    </row>
    <row r="5187" spans="3:12" x14ac:dyDescent="0.2">
      <c r="C5187"/>
      <c r="L5187" s="9" t="str">
        <f t="shared" si="200"/>
        <v/>
      </c>
    </row>
    <row r="5188" spans="3:12" x14ac:dyDescent="0.2">
      <c r="C5188"/>
      <c r="L5188" s="9" t="str">
        <f t="shared" si="200"/>
        <v/>
      </c>
    </row>
    <row r="5189" spans="3:12" x14ac:dyDescent="0.2">
      <c r="C5189"/>
      <c r="L5189" s="9" t="str">
        <f t="shared" si="200"/>
        <v/>
      </c>
    </row>
    <row r="5190" spans="3:12" x14ac:dyDescent="0.2">
      <c r="C5190"/>
      <c r="L5190" s="9" t="str">
        <f t="shared" si="200"/>
        <v/>
      </c>
    </row>
    <row r="5191" spans="3:12" x14ac:dyDescent="0.2">
      <c r="C5191"/>
      <c r="L5191" s="9" t="str">
        <f t="shared" si="200"/>
        <v/>
      </c>
    </row>
    <row r="5192" spans="3:12" x14ac:dyDescent="0.2">
      <c r="C5192"/>
      <c r="L5192" s="9" t="str">
        <f t="shared" si="200"/>
        <v/>
      </c>
    </row>
    <row r="5193" spans="3:12" x14ac:dyDescent="0.2">
      <c r="C5193"/>
      <c r="L5193" s="9" t="str">
        <f t="shared" si="200"/>
        <v/>
      </c>
    </row>
    <row r="5194" spans="3:12" x14ac:dyDescent="0.2">
      <c r="C5194"/>
      <c r="L5194" s="9" t="str">
        <f t="shared" si="200"/>
        <v/>
      </c>
    </row>
    <row r="5195" spans="3:12" x14ac:dyDescent="0.2">
      <c r="C5195"/>
      <c r="L5195" s="9" t="str">
        <f t="shared" si="200"/>
        <v/>
      </c>
    </row>
    <row r="5196" spans="3:12" x14ac:dyDescent="0.2">
      <c r="C5196"/>
      <c r="L5196" s="9" t="str">
        <f t="shared" si="200"/>
        <v/>
      </c>
    </row>
    <row r="5197" spans="3:12" x14ac:dyDescent="0.2">
      <c r="C5197"/>
      <c r="L5197" s="9" t="str">
        <f t="shared" si="200"/>
        <v/>
      </c>
    </row>
    <row r="5198" spans="3:12" x14ac:dyDescent="0.2">
      <c r="C5198"/>
      <c r="L5198" s="9" t="str">
        <f t="shared" si="200"/>
        <v/>
      </c>
    </row>
    <row r="5199" spans="3:12" x14ac:dyDescent="0.2">
      <c r="C5199"/>
      <c r="L5199" s="9" t="str">
        <f t="shared" si="200"/>
        <v/>
      </c>
    </row>
    <row r="5200" spans="3:12" x14ac:dyDescent="0.2">
      <c r="C5200"/>
      <c r="L5200" s="9" t="str">
        <f t="shared" si="200"/>
        <v/>
      </c>
    </row>
    <row r="5201" spans="3:12" x14ac:dyDescent="0.2">
      <c r="C5201"/>
      <c r="L5201" s="9" t="str">
        <f t="shared" si="200"/>
        <v/>
      </c>
    </row>
    <row r="5202" spans="3:12" x14ac:dyDescent="0.2">
      <c r="C5202"/>
      <c r="L5202" s="9" t="str">
        <f t="shared" si="200"/>
        <v/>
      </c>
    </row>
    <row r="5203" spans="3:12" x14ac:dyDescent="0.2">
      <c r="C5203"/>
      <c r="L5203" s="9" t="str">
        <f t="shared" si="200"/>
        <v/>
      </c>
    </row>
    <row r="5204" spans="3:12" x14ac:dyDescent="0.2">
      <c r="C5204"/>
      <c r="L5204" s="9" t="str">
        <f t="shared" si="200"/>
        <v/>
      </c>
    </row>
    <row r="5205" spans="3:12" x14ac:dyDescent="0.2">
      <c r="C5205"/>
      <c r="L5205" s="9" t="str">
        <f t="shared" si="200"/>
        <v/>
      </c>
    </row>
    <row r="5206" spans="3:12" x14ac:dyDescent="0.2">
      <c r="C5206"/>
      <c r="L5206" s="9" t="str">
        <f t="shared" si="200"/>
        <v/>
      </c>
    </row>
    <row r="5207" spans="3:12" x14ac:dyDescent="0.2">
      <c r="C5207"/>
      <c r="L5207" s="9" t="str">
        <f t="shared" si="200"/>
        <v/>
      </c>
    </row>
    <row r="5208" spans="3:12" x14ac:dyDescent="0.2">
      <c r="C5208"/>
      <c r="L5208" s="9" t="str">
        <f t="shared" si="200"/>
        <v/>
      </c>
    </row>
    <row r="5209" spans="3:12" x14ac:dyDescent="0.2">
      <c r="C5209"/>
      <c r="L5209" s="9" t="str">
        <f t="shared" si="200"/>
        <v/>
      </c>
    </row>
    <row r="5210" spans="3:12" x14ac:dyDescent="0.2">
      <c r="C5210"/>
      <c r="L5210" s="9" t="str">
        <f t="shared" si="200"/>
        <v/>
      </c>
    </row>
    <row r="5211" spans="3:12" x14ac:dyDescent="0.2">
      <c r="C5211"/>
      <c r="L5211" s="9" t="str">
        <f t="shared" si="200"/>
        <v/>
      </c>
    </row>
    <row r="5212" spans="3:12" x14ac:dyDescent="0.2">
      <c r="C5212"/>
      <c r="L5212" s="9" t="str">
        <f t="shared" si="200"/>
        <v/>
      </c>
    </row>
    <row r="5213" spans="3:12" x14ac:dyDescent="0.2">
      <c r="C5213"/>
      <c r="L5213" s="9" t="str">
        <f t="shared" si="200"/>
        <v/>
      </c>
    </row>
    <row r="5214" spans="3:12" x14ac:dyDescent="0.2">
      <c r="C5214"/>
      <c r="L5214" s="9" t="str">
        <f t="shared" si="200"/>
        <v/>
      </c>
    </row>
    <row r="5215" spans="3:12" x14ac:dyDescent="0.2">
      <c r="C5215"/>
      <c r="L5215" s="9" t="str">
        <f t="shared" si="200"/>
        <v/>
      </c>
    </row>
    <row r="5216" spans="3:12" x14ac:dyDescent="0.2">
      <c r="C5216"/>
      <c r="L5216" s="9" t="str">
        <f t="shared" si="200"/>
        <v/>
      </c>
    </row>
    <row r="5217" spans="3:12" x14ac:dyDescent="0.2">
      <c r="C5217"/>
      <c r="L5217" s="9" t="str">
        <f t="shared" si="200"/>
        <v/>
      </c>
    </row>
    <row r="5218" spans="3:12" x14ac:dyDescent="0.2">
      <c r="C5218"/>
      <c r="L5218" s="9" t="str">
        <f t="shared" si="200"/>
        <v/>
      </c>
    </row>
    <row r="5219" spans="3:12" x14ac:dyDescent="0.2">
      <c r="C5219"/>
      <c r="L5219" s="9" t="str">
        <f t="shared" si="200"/>
        <v/>
      </c>
    </row>
    <row r="5220" spans="3:12" x14ac:dyDescent="0.2">
      <c r="C5220"/>
      <c r="L5220" s="9" t="str">
        <f t="shared" si="200"/>
        <v/>
      </c>
    </row>
    <row r="5221" spans="3:12" x14ac:dyDescent="0.2">
      <c r="C5221"/>
      <c r="L5221" s="9" t="str">
        <f t="shared" si="200"/>
        <v/>
      </c>
    </row>
    <row r="5222" spans="3:12" x14ac:dyDescent="0.2">
      <c r="C5222"/>
      <c r="L5222" s="9" t="str">
        <f t="shared" si="200"/>
        <v/>
      </c>
    </row>
    <row r="5223" spans="3:12" x14ac:dyDescent="0.2">
      <c r="C5223"/>
      <c r="L5223" s="9" t="str">
        <f t="shared" si="200"/>
        <v/>
      </c>
    </row>
    <row r="5224" spans="3:12" x14ac:dyDescent="0.2">
      <c r="C5224"/>
      <c r="L5224" s="9" t="str">
        <f t="shared" si="200"/>
        <v/>
      </c>
    </row>
    <row r="5225" spans="3:12" x14ac:dyDescent="0.2">
      <c r="C5225"/>
      <c r="L5225" s="9" t="str">
        <f t="shared" si="200"/>
        <v/>
      </c>
    </row>
    <row r="5226" spans="3:12" x14ac:dyDescent="0.2">
      <c r="C5226"/>
      <c r="L5226" s="9" t="str">
        <f t="shared" si="200"/>
        <v/>
      </c>
    </row>
    <row r="5227" spans="3:12" x14ac:dyDescent="0.2">
      <c r="C5227"/>
      <c r="L5227" s="9" t="str">
        <f t="shared" si="200"/>
        <v/>
      </c>
    </row>
    <row r="5228" spans="3:12" x14ac:dyDescent="0.2">
      <c r="C5228"/>
      <c r="L5228" s="9" t="str">
        <f t="shared" si="200"/>
        <v/>
      </c>
    </row>
    <row r="5229" spans="3:12" x14ac:dyDescent="0.2">
      <c r="C5229"/>
      <c r="L5229" s="9" t="str">
        <f t="shared" si="200"/>
        <v/>
      </c>
    </row>
    <row r="5230" spans="3:12" x14ac:dyDescent="0.2">
      <c r="C5230"/>
      <c r="L5230" s="9" t="str">
        <f t="shared" si="200"/>
        <v/>
      </c>
    </row>
    <row r="5231" spans="3:12" x14ac:dyDescent="0.2">
      <c r="C5231"/>
      <c r="L5231" s="9" t="str">
        <f t="shared" si="200"/>
        <v/>
      </c>
    </row>
    <row r="5232" spans="3:12" x14ac:dyDescent="0.2">
      <c r="C5232"/>
      <c r="L5232" s="9" t="str">
        <f t="shared" si="200"/>
        <v/>
      </c>
    </row>
    <row r="5233" spans="3:12" x14ac:dyDescent="0.2">
      <c r="C5233"/>
      <c r="L5233" s="9" t="str">
        <f t="shared" si="200"/>
        <v/>
      </c>
    </row>
    <row r="5234" spans="3:12" x14ac:dyDescent="0.2">
      <c r="C5234"/>
      <c r="L5234" s="9" t="str">
        <f t="shared" si="200"/>
        <v/>
      </c>
    </row>
    <row r="5235" spans="3:12" x14ac:dyDescent="0.2">
      <c r="C5235"/>
      <c r="L5235" s="9" t="str">
        <f t="shared" si="200"/>
        <v/>
      </c>
    </row>
    <row r="5236" spans="3:12" x14ac:dyDescent="0.2">
      <c r="C5236"/>
      <c r="L5236" s="9" t="str">
        <f t="shared" si="200"/>
        <v/>
      </c>
    </row>
    <row r="5237" spans="3:12" x14ac:dyDescent="0.2">
      <c r="C5237"/>
      <c r="L5237" s="9" t="str">
        <f t="shared" si="200"/>
        <v/>
      </c>
    </row>
    <row r="5238" spans="3:12" x14ac:dyDescent="0.2">
      <c r="C5238"/>
      <c r="L5238" s="9" t="str">
        <f t="shared" si="200"/>
        <v/>
      </c>
    </row>
    <row r="5239" spans="3:12" x14ac:dyDescent="0.2">
      <c r="C5239"/>
      <c r="L5239" s="9" t="str">
        <f t="shared" si="200"/>
        <v/>
      </c>
    </row>
    <row r="5240" spans="3:12" x14ac:dyDescent="0.2">
      <c r="C5240"/>
      <c r="L5240" s="9" t="str">
        <f t="shared" si="200"/>
        <v/>
      </c>
    </row>
    <row r="5241" spans="3:12" x14ac:dyDescent="0.2">
      <c r="C5241"/>
      <c r="L5241" s="9" t="str">
        <f t="shared" si="200"/>
        <v/>
      </c>
    </row>
    <row r="5242" spans="3:12" x14ac:dyDescent="0.2">
      <c r="C5242"/>
      <c r="L5242" s="9" t="str">
        <f t="shared" si="200"/>
        <v/>
      </c>
    </row>
    <row r="5243" spans="3:12" x14ac:dyDescent="0.2">
      <c r="C5243"/>
      <c r="L5243" s="9" t="str">
        <f t="shared" si="200"/>
        <v/>
      </c>
    </row>
    <row r="5244" spans="3:12" x14ac:dyDescent="0.2">
      <c r="C5244"/>
      <c r="L5244" s="9" t="str">
        <f t="shared" si="200"/>
        <v/>
      </c>
    </row>
    <row r="5245" spans="3:12" x14ac:dyDescent="0.2">
      <c r="C5245"/>
      <c r="L5245" s="9" t="str">
        <f t="shared" ref="L5245:L5308" si="201">IF(A5245="STOCK",E5245,IF(A5245="SOPTION",G5245,IF(A5245="LOPTION",F5245,"")))</f>
        <v/>
      </c>
    </row>
    <row r="5246" spans="3:12" x14ac:dyDescent="0.2">
      <c r="C5246"/>
      <c r="L5246" s="9" t="str">
        <f t="shared" si="201"/>
        <v/>
      </c>
    </row>
    <row r="5247" spans="3:12" x14ac:dyDescent="0.2">
      <c r="C5247"/>
      <c r="L5247" s="9" t="str">
        <f t="shared" si="201"/>
        <v/>
      </c>
    </row>
    <row r="5248" spans="3:12" x14ac:dyDescent="0.2">
      <c r="C5248"/>
      <c r="L5248" s="9" t="str">
        <f t="shared" si="201"/>
        <v/>
      </c>
    </row>
    <row r="5249" spans="3:12" x14ac:dyDescent="0.2">
      <c r="C5249"/>
      <c r="L5249" s="9" t="str">
        <f t="shared" si="201"/>
        <v/>
      </c>
    </row>
    <row r="5250" spans="3:12" x14ac:dyDescent="0.2">
      <c r="C5250"/>
      <c r="L5250" s="9" t="str">
        <f t="shared" si="201"/>
        <v/>
      </c>
    </row>
    <row r="5251" spans="3:12" x14ac:dyDescent="0.2">
      <c r="C5251"/>
      <c r="L5251" s="9" t="str">
        <f t="shared" si="201"/>
        <v/>
      </c>
    </row>
    <row r="5252" spans="3:12" x14ac:dyDescent="0.2">
      <c r="C5252"/>
      <c r="L5252" s="9" t="str">
        <f t="shared" si="201"/>
        <v/>
      </c>
    </row>
    <row r="5253" spans="3:12" x14ac:dyDescent="0.2">
      <c r="C5253"/>
      <c r="L5253" s="9" t="str">
        <f t="shared" si="201"/>
        <v/>
      </c>
    </row>
    <row r="5254" spans="3:12" x14ac:dyDescent="0.2">
      <c r="C5254"/>
      <c r="L5254" s="9" t="str">
        <f t="shared" si="201"/>
        <v/>
      </c>
    </row>
    <row r="5255" spans="3:12" x14ac:dyDescent="0.2">
      <c r="C5255"/>
      <c r="L5255" s="9" t="str">
        <f t="shared" si="201"/>
        <v/>
      </c>
    </row>
    <row r="5256" spans="3:12" x14ac:dyDescent="0.2">
      <c r="C5256"/>
      <c r="L5256" s="9" t="str">
        <f t="shared" si="201"/>
        <v/>
      </c>
    </row>
    <row r="5257" spans="3:12" x14ac:dyDescent="0.2">
      <c r="C5257"/>
      <c r="L5257" s="9" t="str">
        <f t="shared" si="201"/>
        <v/>
      </c>
    </row>
    <row r="5258" spans="3:12" x14ac:dyDescent="0.2">
      <c r="C5258"/>
      <c r="L5258" s="9" t="str">
        <f t="shared" si="201"/>
        <v/>
      </c>
    </row>
    <row r="5259" spans="3:12" x14ac:dyDescent="0.2">
      <c r="C5259"/>
      <c r="L5259" s="9" t="str">
        <f t="shared" si="201"/>
        <v/>
      </c>
    </row>
    <row r="5260" spans="3:12" x14ac:dyDescent="0.2">
      <c r="C5260"/>
      <c r="L5260" s="9" t="str">
        <f t="shared" si="201"/>
        <v/>
      </c>
    </row>
    <row r="5261" spans="3:12" x14ac:dyDescent="0.2">
      <c r="C5261"/>
      <c r="L5261" s="9" t="str">
        <f t="shared" si="201"/>
        <v/>
      </c>
    </row>
    <row r="5262" spans="3:12" x14ac:dyDescent="0.2">
      <c r="C5262"/>
      <c r="L5262" s="9" t="str">
        <f t="shared" si="201"/>
        <v/>
      </c>
    </row>
    <row r="5263" spans="3:12" x14ac:dyDescent="0.2">
      <c r="C5263"/>
      <c r="L5263" s="9" t="str">
        <f t="shared" si="201"/>
        <v/>
      </c>
    </row>
    <row r="5264" spans="3:12" x14ac:dyDescent="0.2">
      <c r="C5264"/>
      <c r="L5264" s="9" t="str">
        <f t="shared" si="201"/>
        <v/>
      </c>
    </row>
    <row r="5265" spans="3:12" x14ac:dyDescent="0.2">
      <c r="C5265"/>
      <c r="L5265" s="9" t="str">
        <f t="shared" si="201"/>
        <v/>
      </c>
    </row>
    <row r="5266" spans="3:12" x14ac:dyDescent="0.2">
      <c r="C5266"/>
      <c r="L5266" s="9" t="str">
        <f t="shared" si="201"/>
        <v/>
      </c>
    </row>
    <row r="5267" spans="3:12" x14ac:dyDescent="0.2">
      <c r="C5267"/>
      <c r="L5267" s="9" t="str">
        <f t="shared" si="201"/>
        <v/>
      </c>
    </row>
    <row r="5268" spans="3:12" x14ac:dyDescent="0.2">
      <c r="C5268"/>
      <c r="L5268" s="9" t="str">
        <f t="shared" si="201"/>
        <v/>
      </c>
    </row>
    <row r="5269" spans="3:12" x14ac:dyDescent="0.2">
      <c r="C5269"/>
      <c r="L5269" s="9" t="str">
        <f t="shared" si="201"/>
        <v/>
      </c>
    </row>
    <row r="5270" spans="3:12" x14ac:dyDescent="0.2">
      <c r="C5270"/>
      <c r="L5270" s="9" t="str">
        <f t="shared" si="201"/>
        <v/>
      </c>
    </row>
    <row r="5271" spans="3:12" x14ac:dyDescent="0.2">
      <c r="C5271"/>
      <c r="L5271" s="9" t="str">
        <f t="shared" si="201"/>
        <v/>
      </c>
    </row>
    <row r="5272" spans="3:12" x14ac:dyDescent="0.2">
      <c r="C5272"/>
      <c r="L5272" s="9" t="str">
        <f t="shared" si="201"/>
        <v/>
      </c>
    </row>
    <row r="5273" spans="3:12" x14ac:dyDescent="0.2">
      <c r="C5273"/>
      <c r="L5273" s="9" t="str">
        <f t="shared" si="201"/>
        <v/>
      </c>
    </row>
    <row r="5274" spans="3:12" x14ac:dyDescent="0.2">
      <c r="C5274"/>
      <c r="L5274" s="9" t="str">
        <f t="shared" si="201"/>
        <v/>
      </c>
    </row>
    <row r="5275" spans="3:12" x14ac:dyDescent="0.2">
      <c r="C5275"/>
      <c r="L5275" s="9" t="str">
        <f t="shared" si="201"/>
        <v/>
      </c>
    </row>
    <row r="5276" spans="3:12" x14ac:dyDescent="0.2">
      <c r="C5276"/>
      <c r="L5276" s="9" t="str">
        <f t="shared" si="201"/>
        <v/>
      </c>
    </row>
    <row r="5277" spans="3:12" x14ac:dyDescent="0.2">
      <c r="C5277"/>
      <c r="L5277" s="9" t="str">
        <f t="shared" si="201"/>
        <v/>
      </c>
    </row>
    <row r="5278" spans="3:12" x14ac:dyDescent="0.2">
      <c r="C5278"/>
      <c r="L5278" s="9" t="str">
        <f t="shared" si="201"/>
        <v/>
      </c>
    </row>
    <row r="5279" spans="3:12" x14ac:dyDescent="0.2">
      <c r="C5279"/>
      <c r="L5279" s="9" t="str">
        <f t="shared" si="201"/>
        <v/>
      </c>
    </row>
    <row r="5280" spans="3:12" x14ac:dyDescent="0.2">
      <c r="C5280"/>
      <c r="L5280" s="9" t="str">
        <f t="shared" si="201"/>
        <v/>
      </c>
    </row>
    <row r="5281" spans="3:12" x14ac:dyDescent="0.2">
      <c r="C5281"/>
      <c r="L5281" s="9" t="str">
        <f t="shared" si="201"/>
        <v/>
      </c>
    </row>
    <row r="5282" spans="3:12" x14ac:dyDescent="0.2">
      <c r="C5282"/>
      <c r="L5282" s="9" t="str">
        <f t="shared" si="201"/>
        <v/>
      </c>
    </row>
    <row r="5283" spans="3:12" x14ac:dyDescent="0.2">
      <c r="C5283"/>
      <c r="L5283" s="9" t="str">
        <f t="shared" si="201"/>
        <v/>
      </c>
    </row>
    <row r="5284" spans="3:12" x14ac:dyDescent="0.2">
      <c r="C5284"/>
      <c r="L5284" s="9" t="str">
        <f t="shared" si="201"/>
        <v/>
      </c>
    </row>
    <row r="5285" spans="3:12" x14ac:dyDescent="0.2">
      <c r="C5285"/>
      <c r="L5285" s="9" t="str">
        <f t="shared" si="201"/>
        <v/>
      </c>
    </row>
    <row r="5286" spans="3:12" x14ac:dyDescent="0.2">
      <c r="C5286"/>
      <c r="L5286" s="9" t="str">
        <f t="shared" si="201"/>
        <v/>
      </c>
    </row>
    <row r="5287" spans="3:12" x14ac:dyDescent="0.2">
      <c r="C5287"/>
      <c r="L5287" s="9" t="str">
        <f t="shared" si="201"/>
        <v/>
      </c>
    </row>
    <row r="5288" spans="3:12" x14ac:dyDescent="0.2">
      <c r="C5288"/>
      <c r="L5288" s="9" t="str">
        <f t="shared" si="201"/>
        <v/>
      </c>
    </row>
    <row r="5289" spans="3:12" x14ac:dyDescent="0.2">
      <c r="C5289"/>
      <c r="L5289" s="9" t="str">
        <f t="shared" si="201"/>
        <v/>
      </c>
    </row>
    <row r="5290" spans="3:12" x14ac:dyDescent="0.2">
      <c r="C5290"/>
      <c r="L5290" s="9" t="str">
        <f t="shared" si="201"/>
        <v/>
      </c>
    </row>
    <row r="5291" spans="3:12" x14ac:dyDescent="0.2">
      <c r="C5291"/>
      <c r="L5291" s="9" t="str">
        <f t="shared" si="201"/>
        <v/>
      </c>
    </row>
    <row r="5292" spans="3:12" x14ac:dyDescent="0.2">
      <c r="C5292"/>
      <c r="L5292" s="9" t="str">
        <f t="shared" si="201"/>
        <v/>
      </c>
    </row>
    <row r="5293" spans="3:12" x14ac:dyDescent="0.2">
      <c r="C5293"/>
      <c r="L5293" s="9" t="str">
        <f t="shared" si="201"/>
        <v/>
      </c>
    </row>
    <row r="5294" spans="3:12" x14ac:dyDescent="0.2">
      <c r="C5294"/>
      <c r="L5294" s="9" t="str">
        <f t="shared" si="201"/>
        <v/>
      </c>
    </row>
    <row r="5295" spans="3:12" x14ac:dyDescent="0.2">
      <c r="C5295"/>
      <c r="L5295" s="9" t="str">
        <f t="shared" si="201"/>
        <v/>
      </c>
    </row>
    <row r="5296" spans="3:12" x14ac:dyDescent="0.2">
      <c r="C5296"/>
      <c r="L5296" s="9" t="str">
        <f t="shared" si="201"/>
        <v/>
      </c>
    </row>
    <row r="5297" spans="3:12" x14ac:dyDescent="0.2">
      <c r="C5297"/>
      <c r="L5297" s="9" t="str">
        <f t="shared" si="201"/>
        <v/>
      </c>
    </row>
    <row r="5298" spans="3:12" x14ac:dyDescent="0.2">
      <c r="C5298"/>
      <c r="L5298" s="9" t="str">
        <f t="shared" si="201"/>
        <v/>
      </c>
    </row>
    <row r="5299" spans="3:12" x14ac:dyDescent="0.2">
      <c r="C5299"/>
      <c r="L5299" s="9" t="str">
        <f t="shared" si="201"/>
        <v/>
      </c>
    </row>
    <row r="5300" spans="3:12" x14ac:dyDescent="0.2">
      <c r="C5300"/>
      <c r="L5300" s="9" t="str">
        <f t="shared" si="201"/>
        <v/>
      </c>
    </row>
    <row r="5301" spans="3:12" x14ac:dyDescent="0.2">
      <c r="C5301"/>
      <c r="L5301" s="9" t="str">
        <f t="shared" si="201"/>
        <v/>
      </c>
    </row>
    <row r="5302" spans="3:12" x14ac:dyDescent="0.2">
      <c r="C5302"/>
      <c r="L5302" s="9" t="str">
        <f t="shared" si="201"/>
        <v/>
      </c>
    </row>
    <row r="5303" spans="3:12" x14ac:dyDescent="0.2">
      <c r="C5303"/>
      <c r="L5303" s="9" t="str">
        <f t="shared" si="201"/>
        <v/>
      </c>
    </row>
    <row r="5304" spans="3:12" x14ac:dyDescent="0.2">
      <c r="C5304"/>
      <c r="L5304" s="9" t="str">
        <f t="shared" si="201"/>
        <v/>
      </c>
    </row>
    <row r="5305" spans="3:12" x14ac:dyDescent="0.2">
      <c r="C5305"/>
      <c r="L5305" s="9" t="str">
        <f t="shared" si="201"/>
        <v/>
      </c>
    </row>
    <row r="5306" spans="3:12" x14ac:dyDescent="0.2">
      <c r="C5306"/>
      <c r="L5306" s="9" t="str">
        <f t="shared" si="201"/>
        <v/>
      </c>
    </row>
    <row r="5307" spans="3:12" x14ac:dyDescent="0.2">
      <c r="C5307"/>
      <c r="L5307" s="9" t="str">
        <f t="shared" si="201"/>
        <v/>
      </c>
    </row>
    <row r="5308" spans="3:12" x14ac:dyDescent="0.2">
      <c r="C5308"/>
      <c r="L5308" s="9" t="str">
        <f t="shared" si="201"/>
        <v/>
      </c>
    </row>
    <row r="5309" spans="3:12" x14ac:dyDescent="0.2">
      <c r="C5309"/>
      <c r="L5309" s="9" t="str">
        <f t="shared" ref="L5309:L5372" si="202">IF(A5309="STOCK",E5309,IF(A5309="SOPTION",G5309,IF(A5309="LOPTION",F5309,"")))</f>
        <v/>
      </c>
    </row>
    <row r="5310" spans="3:12" x14ac:dyDescent="0.2">
      <c r="C5310"/>
      <c r="L5310" s="9" t="str">
        <f t="shared" si="202"/>
        <v/>
      </c>
    </row>
    <row r="5311" spans="3:12" x14ac:dyDescent="0.2">
      <c r="C5311"/>
      <c r="L5311" s="9" t="str">
        <f t="shared" si="202"/>
        <v/>
      </c>
    </row>
    <row r="5312" spans="3:12" x14ac:dyDescent="0.2">
      <c r="C5312"/>
      <c r="L5312" s="9" t="str">
        <f t="shared" si="202"/>
        <v/>
      </c>
    </row>
    <row r="5313" spans="3:12" x14ac:dyDescent="0.2">
      <c r="C5313"/>
      <c r="L5313" s="9" t="str">
        <f t="shared" si="202"/>
        <v/>
      </c>
    </row>
    <row r="5314" spans="3:12" x14ac:dyDescent="0.2">
      <c r="C5314"/>
      <c r="L5314" s="9" t="str">
        <f t="shared" si="202"/>
        <v/>
      </c>
    </row>
    <row r="5315" spans="3:12" x14ac:dyDescent="0.2">
      <c r="C5315"/>
      <c r="L5315" s="9" t="str">
        <f t="shared" si="202"/>
        <v/>
      </c>
    </row>
    <row r="5316" spans="3:12" x14ac:dyDescent="0.2">
      <c r="C5316"/>
      <c r="L5316" s="9" t="str">
        <f t="shared" si="202"/>
        <v/>
      </c>
    </row>
    <row r="5317" spans="3:12" x14ac:dyDescent="0.2">
      <c r="C5317"/>
      <c r="L5317" s="9" t="str">
        <f t="shared" si="202"/>
        <v/>
      </c>
    </row>
    <row r="5318" spans="3:12" x14ac:dyDescent="0.2">
      <c r="C5318"/>
      <c r="L5318" s="9" t="str">
        <f t="shared" si="202"/>
        <v/>
      </c>
    </row>
    <row r="5319" spans="3:12" x14ac:dyDescent="0.2">
      <c r="C5319"/>
      <c r="L5319" s="9" t="str">
        <f t="shared" si="202"/>
        <v/>
      </c>
    </row>
    <row r="5320" spans="3:12" x14ac:dyDescent="0.2">
      <c r="C5320"/>
      <c r="L5320" s="9" t="str">
        <f t="shared" si="202"/>
        <v/>
      </c>
    </row>
    <row r="5321" spans="3:12" x14ac:dyDescent="0.2">
      <c r="C5321"/>
      <c r="L5321" s="9" t="str">
        <f t="shared" si="202"/>
        <v/>
      </c>
    </row>
    <row r="5322" spans="3:12" x14ac:dyDescent="0.2">
      <c r="C5322"/>
      <c r="L5322" s="9" t="str">
        <f t="shared" si="202"/>
        <v/>
      </c>
    </row>
    <row r="5323" spans="3:12" x14ac:dyDescent="0.2">
      <c r="C5323"/>
      <c r="L5323" s="9" t="str">
        <f t="shared" si="202"/>
        <v/>
      </c>
    </row>
    <row r="5324" spans="3:12" x14ac:dyDescent="0.2">
      <c r="C5324"/>
      <c r="L5324" s="9" t="str">
        <f t="shared" si="202"/>
        <v/>
      </c>
    </row>
    <row r="5325" spans="3:12" x14ac:dyDescent="0.2">
      <c r="C5325"/>
      <c r="L5325" s="9" t="str">
        <f t="shared" si="202"/>
        <v/>
      </c>
    </row>
    <row r="5326" spans="3:12" x14ac:dyDescent="0.2">
      <c r="C5326"/>
      <c r="L5326" s="9" t="str">
        <f t="shared" si="202"/>
        <v/>
      </c>
    </row>
    <row r="5327" spans="3:12" x14ac:dyDescent="0.2">
      <c r="C5327"/>
      <c r="L5327" s="9" t="str">
        <f t="shared" si="202"/>
        <v/>
      </c>
    </row>
    <row r="5328" spans="3:12" x14ac:dyDescent="0.2">
      <c r="C5328"/>
      <c r="L5328" s="9" t="str">
        <f t="shared" si="202"/>
        <v/>
      </c>
    </row>
    <row r="5329" spans="3:12" x14ac:dyDescent="0.2">
      <c r="C5329"/>
      <c r="L5329" s="9" t="str">
        <f t="shared" si="202"/>
        <v/>
      </c>
    </row>
    <row r="5330" spans="3:12" x14ac:dyDescent="0.2">
      <c r="C5330"/>
      <c r="L5330" s="9" t="str">
        <f t="shared" si="202"/>
        <v/>
      </c>
    </row>
    <row r="5331" spans="3:12" x14ac:dyDescent="0.2">
      <c r="C5331"/>
      <c r="L5331" s="9" t="str">
        <f t="shared" si="202"/>
        <v/>
      </c>
    </row>
    <row r="5332" spans="3:12" x14ac:dyDescent="0.2">
      <c r="C5332"/>
      <c r="L5332" s="9" t="str">
        <f t="shared" si="202"/>
        <v/>
      </c>
    </row>
    <row r="5333" spans="3:12" x14ac:dyDescent="0.2">
      <c r="C5333"/>
      <c r="L5333" s="9" t="str">
        <f t="shared" si="202"/>
        <v/>
      </c>
    </row>
    <row r="5334" spans="3:12" x14ac:dyDescent="0.2">
      <c r="C5334"/>
      <c r="L5334" s="9" t="str">
        <f t="shared" si="202"/>
        <v/>
      </c>
    </row>
    <row r="5335" spans="3:12" x14ac:dyDescent="0.2">
      <c r="C5335"/>
      <c r="L5335" s="9" t="str">
        <f t="shared" si="202"/>
        <v/>
      </c>
    </row>
    <row r="5336" spans="3:12" x14ac:dyDescent="0.2">
      <c r="C5336"/>
      <c r="L5336" s="9" t="str">
        <f t="shared" si="202"/>
        <v/>
      </c>
    </row>
    <row r="5337" spans="3:12" x14ac:dyDescent="0.2">
      <c r="C5337"/>
      <c r="L5337" s="9" t="str">
        <f t="shared" si="202"/>
        <v/>
      </c>
    </row>
    <row r="5338" spans="3:12" x14ac:dyDescent="0.2">
      <c r="C5338"/>
      <c r="L5338" s="9" t="str">
        <f t="shared" si="202"/>
        <v/>
      </c>
    </row>
    <row r="5339" spans="3:12" x14ac:dyDescent="0.2">
      <c r="C5339"/>
      <c r="L5339" s="9" t="str">
        <f t="shared" si="202"/>
        <v/>
      </c>
    </row>
    <row r="5340" spans="3:12" x14ac:dyDescent="0.2">
      <c r="C5340"/>
      <c r="L5340" s="9" t="str">
        <f t="shared" si="202"/>
        <v/>
      </c>
    </row>
    <row r="5341" spans="3:12" x14ac:dyDescent="0.2">
      <c r="C5341"/>
      <c r="L5341" s="9" t="str">
        <f t="shared" si="202"/>
        <v/>
      </c>
    </row>
    <row r="5342" spans="3:12" x14ac:dyDescent="0.2">
      <c r="C5342"/>
      <c r="L5342" s="9" t="str">
        <f t="shared" si="202"/>
        <v/>
      </c>
    </row>
    <row r="5343" spans="3:12" x14ac:dyDescent="0.2">
      <c r="C5343"/>
      <c r="L5343" s="9" t="str">
        <f t="shared" si="202"/>
        <v/>
      </c>
    </row>
    <row r="5344" spans="3:12" x14ac:dyDescent="0.2">
      <c r="C5344"/>
      <c r="L5344" s="9" t="str">
        <f t="shared" si="202"/>
        <v/>
      </c>
    </row>
    <row r="5345" spans="3:12" x14ac:dyDescent="0.2">
      <c r="C5345"/>
      <c r="L5345" s="9" t="str">
        <f t="shared" si="202"/>
        <v/>
      </c>
    </row>
    <row r="5346" spans="3:12" x14ac:dyDescent="0.2">
      <c r="C5346"/>
      <c r="L5346" s="9" t="str">
        <f t="shared" si="202"/>
        <v/>
      </c>
    </row>
    <row r="5347" spans="3:12" x14ac:dyDescent="0.2">
      <c r="C5347"/>
      <c r="L5347" s="9" t="str">
        <f t="shared" si="202"/>
        <v/>
      </c>
    </row>
    <row r="5348" spans="3:12" x14ac:dyDescent="0.2">
      <c r="C5348"/>
      <c r="L5348" s="9" t="str">
        <f t="shared" si="202"/>
        <v/>
      </c>
    </row>
    <row r="5349" spans="3:12" x14ac:dyDescent="0.2">
      <c r="C5349"/>
      <c r="L5349" s="9" t="str">
        <f t="shared" si="202"/>
        <v/>
      </c>
    </row>
    <row r="5350" spans="3:12" x14ac:dyDescent="0.2">
      <c r="C5350"/>
      <c r="L5350" s="9" t="str">
        <f t="shared" si="202"/>
        <v/>
      </c>
    </row>
    <row r="5351" spans="3:12" x14ac:dyDescent="0.2">
      <c r="C5351"/>
      <c r="L5351" s="9" t="str">
        <f t="shared" si="202"/>
        <v/>
      </c>
    </row>
    <row r="5352" spans="3:12" x14ac:dyDescent="0.2">
      <c r="C5352"/>
      <c r="L5352" s="9" t="str">
        <f t="shared" si="202"/>
        <v/>
      </c>
    </row>
    <row r="5353" spans="3:12" x14ac:dyDescent="0.2">
      <c r="C5353"/>
      <c r="L5353" s="9" t="str">
        <f t="shared" si="202"/>
        <v/>
      </c>
    </row>
    <row r="5354" spans="3:12" x14ac:dyDescent="0.2">
      <c r="C5354"/>
      <c r="L5354" s="9" t="str">
        <f t="shared" si="202"/>
        <v/>
      </c>
    </row>
    <row r="5355" spans="3:12" x14ac:dyDescent="0.2">
      <c r="C5355"/>
      <c r="L5355" s="9" t="str">
        <f t="shared" si="202"/>
        <v/>
      </c>
    </row>
    <row r="5356" spans="3:12" x14ac:dyDescent="0.2">
      <c r="C5356"/>
      <c r="L5356" s="9" t="str">
        <f t="shared" si="202"/>
        <v/>
      </c>
    </row>
    <row r="5357" spans="3:12" x14ac:dyDescent="0.2">
      <c r="C5357"/>
      <c r="L5357" s="9" t="str">
        <f t="shared" si="202"/>
        <v/>
      </c>
    </row>
    <row r="5358" spans="3:12" x14ac:dyDescent="0.2">
      <c r="C5358"/>
      <c r="L5358" s="9" t="str">
        <f t="shared" si="202"/>
        <v/>
      </c>
    </row>
    <row r="5359" spans="3:12" x14ac:dyDescent="0.2">
      <c r="C5359"/>
      <c r="L5359" s="9" t="str">
        <f t="shared" si="202"/>
        <v/>
      </c>
    </row>
    <row r="5360" spans="3:12" x14ac:dyDescent="0.2">
      <c r="C5360"/>
      <c r="L5360" s="9" t="str">
        <f t="shared" si="202"/>
        <v/>
      </c>
    </row>
    <row r="5361" spans="3:12" x14ac:dyDescent="0.2">
      <c r="C5361"/>
      <c r="L5361" s="9" t="str">
        <f t="shared" si="202"/>
        <v/>
      </c>
    </row>
    <row r="5362" spans="3:12" x14ac:dyDescent="0.2">
      <c r="C5362"/>
      <c r="L5362" s="9" t="str">
        <f t="shared" si="202"/>
        <v/>
      </c>
    </row>
    <row r="5363" spans="3:12" x14ac:dyDescent="0.2">
      <c r="C5363"/>
      <c r="L5363" s="9" t="str">
        <f t="shared" si="202"/>
        <v/>
      </c>
    </row>
    <row r="5364" spans="3:12" x14ac:dyDescent="0.2">
      <c r="C5364"/>
      <c r="L5364" s="9" t="str">
        <f t="shared" si="202"/>
        <v/>
      </c>
    </row>
    <row r="5365" spans="3:12" x14ac:dyDescent="0.2">
      <c r="C5365"/>
      <c r="L5365" s="9" t="str">
        <f t="shared" si="202"/>
        <v/>
      </c>
    </row>
    <row r="5366" spans="3:12" x14ac:dyDescent="0.2">
      <c r="C5366"/>
      <c r="L5366" s="9" t="str">
        <f t="shared" si="202"/>
        <v/>
      </c>
    </row>
    <row r="5367" spans="3:12" x14ac:dyDescent="0.2">
      <c r="C5367"/>
      <c r="L5367" s="9" t="str">
        <f t="shared" si="202"/>
        <v/>
      </c>
    </row>
    <row r="5368" spans="3:12" x14ac:dyDescent="0.2">
      <c r="C5368"/>
      <c r="L5368" s="9" t="str">
        <f t="shared" si="202"/>
        <v/>
      </c>
    </row>
    <row r="5369" spans="3:12" x14ac:dyDescent="0.2">
      <c r="C5369"/>
      <c r="L5369" s="9" t="str">
        <f t="shared" si="202"/>
        <v/>
      </c>
    </row>
    <row r="5370" spans="3:12" x14ac:dyDescent="0.2">
      <c r="C5370"/>
      <c r="L5370" s="9" t="str">
        <f t="shared" si="202"/>
        <v/>
      </c>
    </row>
    <row r="5371" spans="3:12" x14ac:dyDescent="0.2">
      <c r="C5371"/>
      <c r="L5371" s="9" t="str">
        <f t="shared" si="202"/>
        <v/>
      </c>
    </row>
    <row r="5372" spans="3:12" x14ac:dyDescent="0.2">
      <c r="C5372"/>
      <c r="L5372" s="9" t="str">
        <f t="shared" si="202"/>
        <v/>
      </c>
    </row>
    <row r="5373" spans="3:12" x14ac:dyDescent="0.2">
      <c r="C5373"/>
      <c r="L5373" s="9" t="str">
        <f t="shared" ref="L5373:L5376" si="203">IF(A5373="STOCK",E5373,IF(A5373="SOPTION",G5373,IF(A5373="LOPTION",F5373,"")))</f>
        <v/>
      </c>
    </row>
    <row r="5374" spans="3:12" x14ac:dyDescent="0.2">
      <c r="C5374"/>
      <c r="L5374" s="9" t="str">
        <f t="shared" si="203"/>
        <v/>
      </c>
    </row>
    <row r="5375" spans="3:12" x14ac:dyDescent="0.2">
      <c r="C5375"/>
      <c r="L5375" s="9" t="str">
        <f t="shared" si="203"/>
        <v/>
      </c>
    </row>
    <row r="5376" spans="3:12" x14ac:dyDescent="0.2">
      <c r="C5376"/>
      <c r="L5376" s="9" t="str">
        <f t="shared" si="203"/>
        <v/>
      </c>
    </row>
  </sheetData>
  <sortState ref="A891:H961">
    <sortCondition ref="E891:E961"/>
  </sortState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TotalReturnPricing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</dc:creator>
  <cp:lastModifiedBy>Bloomberg</cp:lastModifiedBy>
  <cp:lastPrinted>2017-09-21T20:24:55Z</cp:lastPrinted>
  <dcterms:created xsi:type="dcterms:W3CDTF">2010-03-09T12:55:25Z</dcterms:created>
  <dcterms:modified xsi:type="dcterms:W3CDTF">2020-03-16T20:56:01Z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{5335F88A-9263-4730-BE04-6FD4DFA45016}</vt:lpwstr>
  </property>
</Properties>
</file>