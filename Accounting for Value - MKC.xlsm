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jathar\Desktop\parcap-github\python-academy\"/>
    </mc:Choice>
  </mc:AlternateContent>
  <bookViews>
    <workbookView xWindow="-120" yWindow="-120" windowWidth="38640" windowHeight="23640" activeTab="5"/>
  </bookViews>
  <sheets>
    <sheet name="MKC" sheetId="5" r:id="rId1"/>
    <sheet name="IS" sheetId="11" r:id="rId2"/>
    <sheet name="BS" sheetId="9" r:id="rId3"/>
    <sheet name="CF" sheetId="12" r:id="rId4"/>
    <sheet name="BloombergCodes" sheetId="10" r:id="rId5"/>
    <sheet name="AnnualSummary" sheetId="8" r:id="rId6"/>
  </sheets>
  <calcPr calcId="162913" iterate="1" iterateCount="50" iterateDelta="1.0000000000000001E-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9" i="9" l="1"/>
  <c r="K9" i="9"/>
  <c r="J9" i="9"/>
  <c r="I9" i="9"/>
  <c r="H9" i="9"/>
  <c r="G9" i="9"/>
  <c r="F9" i="9"/>
  <c r="E9" i="9"/>
  <c r="D9" i="9"/>
  <c r="C9" i="9"/>
  <c r="B9" i="9"/>
  <c r="P17" i="5"/>
  <c r="O17" i="5"/>
  <c r="N19" i="5"/>
  <c r="M19" i="5"/>
  <c r="L19" i="5"/>
  <c r="K19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D7" i="5" s="1"/>
  <c r="AI43" i="5"/>
  <c r="AH43" i="5"/>
  <c r="AG43" i="5"/>
  <c r="AF43" i="5"/>
  <c r="AE43" i="5"/>
  <c r="AD43" i="5"/>
  <c r="AC43" i="5"/>
  <c r="AC3" i="5"/>
  <c r="AD3" i="5" s="1"/>
  <c r="AE3" i="5" s="1"/>
  <c r="AF3" i="5" s="1"/>
  <c r="AG3" i="5" s="1"/>
  <c r="AH3" i="5" s="1"/>
  <c r="AI3" i="5" s="1"/>
  <c r="AC2" i="5"/>
  <c r="AD2" i="5" s="1"/>
  <c r="E2" i="5"/>
  <c r="F2" i="5" s="1"/>
  <c r="D2" i="5"/>
  <c r="F3" i="5"/>
  <c r="G3" i="5" s="1"/>
  <c r="H3" i="5" s="1"/>
  <c r="I3" i="5" s="1"/>
  <c r="J3" i="5" s="1"/>
  <c r="K3" i="5" s="1"/>
  <c r="L3" i="5" s="1"/>
  <c r="M3" i="5" s="1"/>
  <c r="N3" i="5" s="1"/>
  <c r="O3" i="5" s="1"/>
  <c r="P3" i="5" s="1"/>
  <c r="Q3" i="5" s="1"/>
  <c r="R3" i="5" s="1"/>
  <c r="S3" i="5" s="1"/>
  <c r="T3" i="5" s="1"/>
  <c r="U3" i="5" s="1"/>
  <c r="V3" i="5" s="1"/>
  <c r="W3" i="5" s="1"/>
  <c r="X3" i="5" s="1"/>
  <c r="Y3" i="5" s="1"/>
  <c r="Z3" i="5" s="1"/>
  <c r="AA3" i="5" s="1"/>
  <c r="AB3" i="5" s="1"/>
  <c r="G15" i="5"/>
  <c r="I15" i="5"/>
  <c r="K15" i="5"/>
  <c r="M15" i="5"/>
  <c r="O15" i="5"/>
  <c r="Q15" i="5"/>
  <c r="S15" i="5"/>
  <c r="U15" i="5"/>
  <c r="W15" i="5"/>
  <c r="Y15" i="5"/>
  <c r="AA15" i="5"/>
  <c r="F43" i="5"/>
  <c r="G43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W43" i="5"/>
  <c r="X43" i="5"/>
  <c r="Y43" i="5"/>
  <c r="Z43" i="5"/>
  <c r="AA43" i="5"/>
  <c r="AB43" i="5"/>
  <c r="E7" i="5" l="1"/>
  <c r="AD20" i="5"/>
  <c r="AE2" i="5"/>
  <c r="AD34" i="5"/>
  <c r="AC34" i="5"/>
  <c r="AC20" i="5"/>
  <c r="F34" i="5"/>
  <c r="F20" i="5"/>
  <c r="G2" i="5"/>
  <c r="C17" i="5"/>
  <c r="E43" i="5"/>
  <c r="D43" i="5"/>
  <c r="E34" i="5"/>
  <c r="D34" i="5"/>
  <c r="C34" i="5"/>
  <c r="D30" i="5"/>
  <c r="D37" i="5" s="1"/>
  <c r="C27" i="5"/>
  <c r="C21" i="5"/>
  <c r="D22" i="5" s="1"/>
  <c r="E20" i="5"/>
  <c r="D20" i="5"/>
  <c r="C20" i="5"/>
  <c r="C18" i="5"/>
  <c r="E15" i="5"/>
  <c r="D10" i="5"/>
  <c r="E10" i="5" s="1"/>
  <c r="F10" i="5" s="1"/>
  <c r="D3" i="5"/>
  <c r="E3" i="5" s="1"/>
  <c r="F7" i="5" l="1"/>
  <c r="F21" i="5"/>
  <c r="G22" i="5" s="1"/>
  <c r="G10" i="5"/>
  <c r="F27" i="5"/>
  <c r="AF2" i="5"/>
  <c r="AE34" i="5"/>
  <c r="AE20" i="5"/>
  <c r="H2" i="5"/>
  <c r="G34" i="5"/>
  <c r="G20" i="5"/>
  <c r="D38" i="5"/>
  <c r="D9" i="5"/>
  <c r="D29" i="5"/>
  <c r="D35" i="5" s="1"/>
  <c r="D36" i="5" s="1"/>
  <c r="D21" i="5"/>
  <c r="E22" i="5" s="1"/>
  <c r="D27" i="5"/>
  <c r="E21" i="5"/>
  <c r="F22" i="5" s="1"/>
  <c r="E27" i="5"/>
  <c r="E29" i="5"/>
  <c r="D11" i="5"/>
  <c r="D12" i="5" s="1"/>
  <c r="D24" i="5" s="1"/>
  <c r="G7" i="5" l="1"/>
  <c r="G27" i="5"/>
  <c r="H10" i="5"/>
  <c r="G21" i="5"/>
  <c r="H22" i="5" s="1"/>
  <c r="AG2" i="5"/>
  <c r="AF34" i="5"/>
  <c r="AF20" i="5"/>
  <c r="H20" i="5"/>
  <c r="H34" i="5"/>
  <c r="I2" i="5"/>
  <c r="E11" i="5"/>
  <c r="E12" i="5" s="1"/>
  <c r="E24" i="5" s="1"/>
  <c r="E25" i="5" s="1"/>
  <c r="E9" i="5"/>
  <c r="D26" i="5"/>
  <c r="D44" i="5" s="1"/>
  <c r="D45" i="5" s="1"/>
  <c r="D28" i="5"/>
  <c r="D31" i="5" s="1"/>
  <c r="D25" i="5"/>
  <c r="E35" i="5"/>
  <c r="E36" i="5" s="1"/>
  <c r="H7" i="5" l="1"/>
  <c r="H27" i="5"/>
  <c r="I10" i="5"/>
  <c r="H21" i="5"/>
  <c r="I22" i="5" s="1"/>
  <c r="AG20" i="5"/>
  <c r="AH2" i="5"/>
  <c r="AG34" i="5"/>
  <c r="F9" i="5"/>
  <c r="F29" i="5"/>
  <c r="F11" i="5"/>
  <c r="F12" i="5" s="1"/>
  <c r="F24" i="5" s="1"/>
  <c r="F30" i="5"/>
  <c r="F37" i="5" s="1"/>
  <c r="F38" i="5" s="1"/>
  <c r="I34" i="5"/>
  <c r="J2" i="5"/>
  <c r="I20" i="5"/>
  <c r="E26" i="5"/>
  <c r="E28" i="5"/>
  <c r="E31" i="5" s="1"/>
  <c r="E39" i="5" s="1"/>
  <c r="E40" i="5" s="1"/>
  <c r="E13" i="5"/>
  <c r="E14" i="5" s="1"/>
  <c r="E30" i="5"/>
  <c r="D39" i="5"/>
  <c r="D32" i="5"/>
  <c r="I7" i="5" l="1"/>
  <c r="J10" i="5"/>
  <c r="I21" i="5"/>
  <c r="J22" i="5" s="1"/>
  <c r="I27" i="5"/>
  <c r="AH20" i="5"/>
  <c r="AH34" i="5"/>
  <c r="AI2" i="5"/>
  <c r="F35" i="5"/>
  <c r="F36" i="5" s="1"/>
  <c r="G29" i="5"/>
  <c r="G9" i="5"/>
  <c r="G11" i="5"/>
  <c r="G12" i="5" s="1"/>
  <c r="F28" i="5"/>
  <c r="F31" i="5" s="1"/>
  <c r="F39" i="5" s="1"/>
  <c r="F26" i="5"/>
  <c r="F25" i="5"/>
  <c r="J20" i="5"/>
  <c r="J34" i="5"/>
  <c r="K2" i="5"/>
  <c r="D40" i="5"/>
  <c r="D41" i="5"/>
  <c r="D42" i="5" s="1"/>
  <c r="E37" i="5"/>
  <c r="E32" i="5"/>
  <c r="F44" i="5" l="1"/>
  <c r="F45" i="5" s="1"/>
  <c r="J27" i="5"/>
  <c r="K10" i="5"/>
  <c r="J21" i="5"/>
  <c r="K22" i="5" s="1"/>
  <c r="AI34" i="5"/>
  <c r="AI20" i="5"/>
  <c r="G30" i="5"/>
  <c r="G37" i="5" s="1"/>
  <c r="G38" i="5" s="1"/>
  <c r="F40" i="5"/>
  <c r="F41" i="5"/>
  <c r="F42" i="5" s="1"/>
  <c r="G24" i="5"/>
  <c r="G13" i="5"/>
  <c r="G14" i="5" s="1"/>
  <c r="H11" i="5"/>
  <c r="H12" i="5" s="1"/>
  <c r="H24" i="5" s="1"/>
  <c r="H9" i="5"/>
  <c r="H29" i="5"/>
  <c r="F32" i="5"/>
  <c r="G35" i="5"/>
  <c r="G36" i="5" s="1"/>
  <c r="K20" i="5"/>
  <c r="K34" i="5"/>
  <c r="L2" i="5"/>
  <c r="E38" i="5"/>
  <c r="E44" i="5"/>
  <c r="E45" i="5" s="1"/>
  <c r="E41" i="5"/>
  <c r="E42" i="5" s="1"/>
  <c r="J7" i="5" l="1"/>
  <c r="L10" i="5"/>
  <c r="K27" i="5"/>
  <c r="K21" i="5"/>
  <c r="L22" i="5" s="1"/>
  <c r="H26" i="5"/>
  <c r="H25" i="5"/>
  <c r="H28" i="5"/>
  <c r="H31" i="5" s="1"/>
  <c r="H39" i="5" s="1"/>
  <c r="I11" i="5"/>
  <c r="I12" i="5" s="1"/>
  <c r="I9" i="5"/>
  <c r="H35" i="5"/>
  <c r="H36" i="5" s="1"/>
  <c r="I29" i="5"/>
  <c r="G25" i="5"/>
  <c r="G28" i="5"/>
  <c r="G31" i="5" s="1"/>
  <c r="G26" i="5"/>
  <c r="G44" i="5" s="1"/>
  <c r="G45" i="5" s="1"/>
  <c r="L20" i="5"/>
  <c r="M2" i="5"/>
  <c r="L34" i="5"/>
  <c r="K7" i="5" l="1"/>
  <c r="L27" i="5"/>
  <c r="M10" i="5"/>
  <c r="L21" i="5"/>
  <c r="M22" i="5" s="1"/>
  <c r="G39" i="5"/>
  <c r="G32" i="5"/>
  <c r="I35" i="5"/>
  <c r="I36" i="5" s="1"/>
  <c r="J9" i="5"/>
  <c r="J29" i="5"/>
  <c r="J11" i="5"/>
  <c r="J12" i="5" s="1"/>
  <c r="J24" i="5" s="1"/>
  <c r="I24" i="5"/>
  <c r="I13" i="5"/>
  <c r="I14" i="5" s="1"/>
  <c r="H30" i="5"/>
  <c r="I30" i="5"/>
  <c r="I37" i="5" s="1"/>
  <c r="I38" i="5" s="1"/>
  <c r="H40" i="5"/>
  <c r="M20" i="5"/>
  <c r="N2" i="5"/>
  <c r="M34" i="5"/>
  <c r="L7" i="5" l="1"/>
  <c r="M27" i="5"/>
  <c r="N10" i="5"/>
  <c r="M21" i="5"/>
  <c r="N22" i="5" s="1"/>
  <c r="H37" i="5"/>
  <c r="H32" i="5"/>
  <c r="J28" i="5"/>
  <c r="J31" i="5" s="1"/>
  <c r="J39" i="5" s="1"/>
  <c r="J26" i="5"/>
  <c r="J25" i="5"/>
  <c r="J35" i="5"/>
  <c r="J36" i="5" s="1"/>
  <c r="K29" i="5"/>
  <c r="I26" i="5"/>
  <c r="I44" i="5" s="1"/>
  <c r="I45" i="5" s="1"/>
  <c r="I25" i="5"/>
  <c r="I28" i="5"/>
  <c r="I31" i="5" s="1"/>
  <c r="I39" i="5" s="1"/>
  <c r="K9" i="5"/>
  <c r="K11" i="5"/>
  <c r="K12" i="5" s="1"/>
  <c r="G40" i="5"/>
  <c r="G41" i="5"/>
  <c r="G42" i="5" s="1"/>
  <c r="N20" i="5"/>
  <c r="O2" i="5"/>
  <c r="N34" i="5"/>
  <c r="M7" i="5" l="1"/>
  <c r="N27" i="5"/>
  <c r="O10" i="5"/>
  <c r="N21" i="5"/>
  <c r="O22" i="5" s="1"/>
  <c r="L29" i="5"/>
  <c r="L11" i="5"/>
  <c r="L12" i="5" s="1"/>
  <c r="L24" i="5" s="1"/>
  <c r="L9" i="5"/>
  <c r="I41" i="5"/>
  <c r="I42" i="5" s="1"/>
  <c r="I40" i="5"/>
  <c r="J30" i="5"/>
  <c r="K30" i="5"/>
  <c r="K37" i="5" s="1"/>
  <c r="K38" i="5" s="1"/>
  <c r="K35" i="5"/>
  <c r="K36" i="5" s="1"/>
  <c r="K13" i="5"/>
  <c r="K14" i="5" s="1"/>
  <c r="K24" i="5"/>
  <c r="J40" i="5"/>
  <c r="I32" i="5"/>
  <c r="H38" i="5"/>
  <c r="H41" i="5"/>
  <c r="H42" i="5" s="1"/>
  <c r="H44" i="5"/>
  <c r="H45" i="5" s="1"/>
  <c r="P2" i="5"/>
  <c r="O20" i="5"/>
  <c r="O34" i="5"/>
  <c r="N7" i="5" l="1"/>
  <c r="O27" i="5"/>
  <c r="O21" i="5"/>
  <c r="P22" i="5" s="1"/>
  <c r="P10" i="5"/>
  <c r="K25" i="5"/>
  <c r="K28" i="5"/>
  <c r="K31" i="5" s="1"/>
  <c r="K26" i="5"/>
  <c r="K44" i="5" s="1"/>
  <c r="K45" i="5" s="1"/>
  <c r="M11" i="5"/>
  <c r="M12" i="5" s="1"/>
  <c r="M9" i="5"/>
  <c r="L25" i="5"/>
  <c r="L28" i="5"/>
  <c r="L31" i="5" s="1"/>
  <c r="L39" i="5" s="1"/>
  <c r="L26" i="5"/>
  <c r="J37" i="5"/>
  <c r="J32" i="5"/>
  <c r="M29" i="5"/>
  <c r="L35" i="5"/>
  <c r="L36" i="5" s="1"/>
  <c r="P34" i="5"/>
  <c r="P20" i="5"/>
  <c r="Q2" i="5"/>
  <c r="O7" i="5" l="1"/>
  <c r="P21" i="5"/>
  <c r="Q22" i="5" s="1"/>
  <c r="P27" i="5"/>
  <c r="Q10" i="5"/>
  <c r="L40" i="5"/>
  <c r="K39" i="5"/>
  <c r="K32" i="5"/>
  <c r="J38" i="5"/>
  <c r="J41" i="5"/>
  <c r="J42" i="5" s="1"/>
  <c r="J44" i="5"/>
  <c r="J45" i="5" s="1"/>
  <c r="L30" i="5"/>
  <c r="M30" i="5"/>
  <c r="M37" i="5" s="1"/>
  <c r="M38" i="5" s="1"/>
  <c r="N29" i="5"/>
  <c r="N9" i="5"/>
  <c r="N11" i="5"/>
  <c r="N12" i="5" s="1"/>
  <c r="N24" i="5" s="1"/>
  <c r="M24" i="5"/>
  <c r="M13" i="5"/>
  <c r="M14" i="5" s="1"/>
  <c r="M35" i="5"/>
  <c r="M36" i="5" s="1"/>
  <c r="Q20" i="5"/>
  <c r="R2" i="5"/>
  <c r="Q34" i="5"/>
  <c r="P7" i="5" l="1"/>
  <c r="Q27" i="5"/>
  <c r="Q21" i="5"/>
  <c r="R22" i="5" s="1"/>
  <c r="R10" i="5"/>
  <c r="L37" i="5"/>
  <c r="L32" i="5"/>
  <c r="O29" i="5"/>
  <c r="N35" i="5"/>
  <c r="N36" i="5" s="1"/>
  <c r="M25" i="5"/>
  <c r="M26" i="5"/>
  <c r="M44" i="5" s="1"/>
  <c r="M45" i="5" s="1"/>
  <c r="M28" i="5"/>
  <c r="M31" i="5" s="1"/>
  <c r="M39" i="5" s="1"/>
  <c r="N28" i="5"/>
  <c r="N31" i="5" s="1"/>
  <c r="N39" i="5" s="1"/>
  <c r="N26" i="5"/>
  <c r="N25" i="5"/>
  <c r="O11" i="5"/>
  <c r="O12" i="5" s="1"/>
  <c r="O9" i="5"/>
  <c r="K40" i="5"/>
  <c r="K41" i="5"/>
  <c r="K42" i="5" s="1"/>
  <c r="R34" i="5"/>
  <c r="R20" i="5"/>
  <c r="S2" i="5"/>
  <c r="Q7" i="5" l="1"/>
  <c r="R21" i="5"/>
  <c r="S22" i="5" s="1"/>
  <c r="R27" i="5"/>
  <c r="S10" i="5"/>
  <c r="M40" i="5"/>
  <c r="M41" i="5"/>
  <c r="M42" i="5" s="1"/>
  <c r="O13" i="5"/>
  <c r="O14" i="5" s="1"/>
  <c r="O24" i="5"/>
  <c r="N40" i="5"/>
  <c r="M32" i="5"/>
  <c r="O35" i="5"/>
  <c r="O36" i="5" s="1"/>
  <c r="N30" i="5"/>
  <c r="O30" i="5"/>
  <c r="O37" i="5" s="1"/>
  <c r="O38" i="5" s="1"/>
  <c r="P29" i="5"/>
  <c r="P11" i="5"/>
  <c r="P12" i="5" s="1"/>
  <c r="P24" i="5" s="1"/>
  <c r="P9" i="5"/>
  <c r="L38" i="5"/>
  <c r="L41" i="5"/>
  <c r="L42" i="5" s="1"/>
  <c r="L44" i="5"/>
  <c r="L45" i="5" s="1"/>
  <c r="S34" i="5"/>
  <c r="S20" i="5"/>
  <c r="T2" i="5"/>
  <c r="R7" i="5" l="1"/>
  <c r="S21" i="5"/>
  <c r="T22" i="5" s="1"/>
  <c r="S27" i="5"/>
  <c r="T10" i="5"/>
  <c r="N37" i="5"/>
  <c r="N32" i="5"/>
  <c r="Q11" i="5"/>
  <c r="Q12" i="5" s="1"/>
  <c r="Q9" i="5"/>
  <c r="P25" i="5"/>
  <c r="P28" i="5"/>
  <c r="P31" i="5" s="1"/>
  <c r="P39" i="5" s="1"/>
  <c r="P26" i="5"/>
  <c r="O28" i="5"/>
  <c r="O31" i="5" s="1"/>
  <c r="O39" i="5" s="1"/>
  <c r="O26" i="5"/>
  <c r="O44" i="5" s="1"/>
  <c r="O45" i="5" s="1"/>
  <c r="O25" i="5"/>
  <c r="P35" i="5"/>
  <c r="P36" i="5" s="1"/>
  <c r="Q29" i="5"/>
  <c r="T20" i="5"/>
  <c r="U2" i="5"/>
  <c r="T34" i="5"/>
  <c r="S7" i="5" l="1"/>
  <c r="U10" i="5"/>
  <c r="T21" i="5"/>
  <c r="U22" i="5" s="1"/>
  <c r="T27" i="5"/>
  <c r="Q30" i="5"/>
  <c r="Q37" i="5" s="1"/>
  <c r="Q38" i="5" s="1"/>
  <c r="P30" i="5"/>
  <c r="Q24" i="5"/>
  <c r="Q13" i="5"/>
  <c r="Q14" i="5" s="1"/>
  <c r="R9" i="5"/>
  <c r="R29" i="5"/>
  <c r="R11" i="5"/>
  <c r="R12" i="5" s="1"/>
  <c r="R24" i="5" s="1"/>
  <c r="O32" i="5"/>
  <c r="O41" i="5"/>
  <c r="O42" i="5" s="1"/>
  <c r="O40" i="5"/>
  <c r="Q35" i="5"/>
  <c r="Q36" i="5" s="1"/>
  <c r="P40" i="5"/>
  <c r="N38" i="5"/>
  <c r="N44" i="5"/>
  <c r="N45" i="5" s="1"/>
  <c r="N41" i="5"/>
  <c r="N42" i="5" s="1"/>
  <c r="U34" i="5"/>
  <c r="V2" i="5"/>
  <c r="U20" i="5"/>
  <c r="T7" i="5" l="1"/>
  <c r="V10" i="5"/>
  <c r="U21" i="5"/>
  <c r="V22" i="5" s="1"/>
  <c r="U27" i="5"/>
  <c r="R35" i="5"/>
  <c r="R36" i="5" s="1"/>
  <c r="S29" i="5"/>
  <c r="Q25" i="5"/>
  <c r="R30" i="5" s="1"/>
  <c r="R37" i="5" s="1"/>
  <c r="R38" i="5" s="1"/>
  <c r="Q28" i="5"/>
  <c r="Q31" i="5" s="1"/>
  <c r="Q26" i="5"/>
  <c r="Q44" i="5" s="1"/>
  <c r="Q45" i="5" s="1"/>
  <c r="P37" i="5"/>
  <c r="P32" i="5"/>
  <c r="R25" i="5"/>
  <c r="R28" i="5"/>
  <c r="R31" i="5" s="1"/>
  <c r="R39" i="5" s="1"/>
  <c r="R26" i="5"/>
  <c r="S11" i="5"/>
  <c r="S12" i="5" s="1"/>
  <c r="S9" i="5"/>
  <c r="V34" i="5"/>
  <c r="W2" i="5"/>
  <c r="V20" i="5"/>
  <c r="U7" i="5" l="1"/>
  <c r="S30" i="5"/>
  <c r="S37" i="5" s="1"/>
  <c r="S38" i="5" s="1"/>
  <c r="R44" i="5"/>
  <c r="R45" i="5" s="1"/>
  <c r="V21" i="5"/>
  <c r="W22" i="5" s="1"/>
  <c r="V27" i="5"/>
  <c r="W10" i="5"/>
  <c r="T29" i="5"/>
  <c r="T11" i="5"/>
  <c r="T12" i="5" s="1"/>
  <c r="T24" i="5" s="1"/>
  <c r="T9" i="5"/>
  <c r="R32" i="5"/>
  <c r="R40" i="5"/>
  <c r="R41" i="5"/>
  <c r="R42" i="5" s="1"/>
  <c r="Q39" i="5"/>
  <c r="Q32" i="5"/>
  <c r="S35" i="5"/>
  <c r="S36" i="5" s="1"/>
  <c r="P38" i="5"/>
  <c r="P41" i="5"/>
  <c r="P42" i="5" s="1"/>
  <c r="P44" i="5"/>
  <c r="P45" i="5" s="1"/>
  <c r="S24" i="5"/>
  <c r="S13" i="5"/>
  <c r="S14" i="5" s="1"/>
  <c r="W34" i="5"/>
  <c r="W20" i="5"/>
  <c r="X2" i="5"/>
  <c r="V7" i="5" l="1"/>
  <c r="W27" i="5"/>
  <c r="X10" i="5"/>
  <c r="W21" i="5"/>
  <c r="X22" i="5" s="1"/>
  <c r="S28" i="5"/>
  <c r="S31" i="5" s="1"/>
  <c r="S25" i="5"/>
  <c r="T30" i="5" s="1"/>
  <c r="T37" i="5" s="1"/>
  <c r="T38" i="5" s="1"/>
  <c r="S26" i="5"/>
  <c r="S44" i="5" s="1"/>
  <c r="S45" i="5" s="1"/>
  <c r="T25" i="5"/>
  <c r="U30" i="5" s="1"/>
  <c r="U37" i="5" s="1"/>
  <c r="U38" i="5" s="1"/>
  <c r="T28" i="5"/>
  <c r="T31" i="5" s="1"/>
  <c r="T39" i="5" s="1"/>
  <c r="T26" i="5"/>
  <c r="Q40" i="5"/>
  <c r="Q41" i="5"/>
  <c r="Q42" i="5" s="1"/>
  <c r="T35" i="5"/>
  <c r="T36" i="5" s="1"/>
  <c r="U29" i="5"/>
  <c r="U9" i="5"/>
  <c r="U11" i="5"/>
  <c r="U12" i="5" s="1"/>
  <c r="Y2" i="5"/>
  <c r="X34" i="5"/>
  <c r="X20" i="5"/>
  <c r="W7" i="5" l="1"/>
  <c r="X21" i="5"/>
  <c r="Y22" i="5" s="1"/>
  <c r="X27" i="5"/>
  <c r="Y10" i="5"/>
  <c r="T32" i="5"/>
  <c r="U35" i="5"/>
  <c r="U36" i="5" s="1"/>
  <c r="T44" i="5"/>
  <c r="T45" i="5" s="1"/>
  <c r="T41" i="5"/>
  <c r="T42" i="5" s="1"/>
  <c r="T40" i="5"/>
  <c r="U24" i="5"/>
  <c r="U13" i="5"/>
  <c r="U14" i="5" s="1"/>
  <c r="V29" i="5"/>
  <c r="V11" i="5"/>
  <c r="V12" i="5" s="1"/>
  <c r="V24" i="5" s="1"/>
  <c r="V9" i="5"/>
  <c r="S39" i="5"/>
  <c r="S32" i="5"/>
  <c r="Z2" i="5"/>
  <c r="Y20" i="5"/>
  <c r="Y34" i="5"/>
  <c r="X7" i="5" l="1"/>
  <c r="Y21" i="5"/>
  <c r="Z22" i="5" s="1"/>
  <c r="Z10" i="5"/>
  <c r="Y27" i="5"/>
  <c r="V26" i="5"/>
  <c r="V25" i="5"/>
  <c r="V28" i="5"/>
  <c r="V31" i="5" s="1"/>
  <c r="V39" i="5" s="1"/>
  <c r="V35" i="5"/>
  <c r="V36" i="5" s="1"/>
  <c r="W29" i="5"/>
  <c r="W9" i="5"/>
  <c r="W11" i="5"/>
  <c r="W12" i="5" s="1"/>
  <c r="S40" i="5"/>
  <c r="S41" i="5"/>
  <c r="S42" i="5" s="1"/>
  <c r="U25" i="5"/>
  <c r="V30" i="5" s="1"/>
  <c r="V37" i="5" s="1"/>
  <c r="V38" i="5" s="1"/>
  <c r="U28" i="5"/>
  <c r="U31" i="5" s="1"/>
  <c r="U26" i="5"/>
  <c r="U44" i="5" s="1"/>
  <c r="U45" i="5" s="1"/>
  <c r="Z20" i="5"/>
  <c r="AA2" i="5"/>
  <c r="Z34" i="5"/>
  <c r="Y7" i="5" l="1"/>
  <c r="Z27" i="5"/>
  <c r="AA10" i="5"/>
  <c r="Z21" i="5"/>
  <c r="AA22" i="5" s="1"/>
  <c r="V40" i="5"/>
  <c r="V41" i="5"/>
  <c r="V42" i="5" s="1"/>
  <c r="W24" i="5"/>
  <c r="W13" i="5"/>
  <c r="W14" i="5" s="1"/>
  <c r="V32" i="5"/>
  <c r="W35" i="5"/>
  <c r="W36" i="5" s="1"/>
  <c r="U39" i="5"/>
  <c r="U32" i="5"/>
  <c r="W30" i="5"/>
  <c r="W37" i="5" s="1"/>
  <c r="W38" i="5" s="1"/>
  <c r="X29" i="5"/>
  <c r="X11" i="5"/>
  <c r="X12" i="5" s="1"/>
  <c r="X24" i="5" s="1"/>
  <c r="X9" i="5"/>
  <c r="V44" i="5"/>
  <c r="V45" i="5" s="1"/>
  <c r="AB2" i="5"/>
  <c r="AA20" i="5"/>
  <c r="AA34" i="5"/>
  <c r="Z7" i="5" l="1"/>
  <c r="AB10" i="5"/>
  <c r="AA27" i="5"/>
  <c r="AA21" i="5"/>
  <c r="AB22" i="5" s="1"/>
  <c r="W26" i="5"/>
  <c r="W44" i="5" s="1"/>
  <c r="W45" i="5" s="1"/>
  <c r="W28" i="5"/>
  <c r="W31" i="5" s="1"/>
  <c r="W39" i="5" s="1"/>
  <c r="W25" i="5"/>
  <c r="X30" i="5" s="1"/>
  <c r="X37" i="5" s="1"/>
  <c r="X38" i="5" s="1"/>
  <c r="U40" i="5"/>
  <c r="U41" i="5"/>
  <c r="U42" i="5" s="1"/>
  <c r="X25" i="5"/>
  <c r="X26" i="5"/>
  <c r="X28" i="5"/>
  <c r="X31" i="5" s="1"/>
  <c r="X39" i="5" s="1"/>
  <c r="Y29" i="5"/>
  <c r="X35" i="5"/>
  <c r="X36" i="5" s="1"/>
  <c r="Y11" i="5"/>
  <c r="Y12" i="5" s="1"/>
  <c r="Y9" i="5"/>
  <c r="AB20" i="5"/>
  <c r="AB34" i="5"/>
  <c r="AA7" i="5" l="1"/>
  <c r="W32" i="5"/>
  <c r="Y30" i="5"/>
  <c r="Y37" i="5" s="1"/>
  <c r="Y38" i="5" s="1"/>
  <c r="AC10" i="5"/>
  <c r="AB21" i="5"/>
  <c r="AC22" i="5" s="1"/>
  <c r="AB27" i="5"/>
  <c r="X32" i="5"/>
  <c r="Y35" i="5"/>
  <c r="Y36" i="5" s="1"/>
  <c r="X41" i="5"/>
  <c r="X42" i="5" s="1"/>
  <c r="X40" i="5"/>
  <c r="W40" i="5"/>
  <c r="W41" i="5"/>
  <c r="W42" i="5" s="1"/>
  <c r="X44" i="5"/>
  <c r="X45" i="5" s="1"/>
  <c r="Z11" i="5"/>
  <c r="Z12" i="5" s="1"/>
  <c r="Z24" i="5" s="1"/>
  <c r="Z29" i="5"/>
  <c r="Z9" i="5"/>
  <c r="Y24" i="5"/>
  <c r="Y13" i="5"/>
  <c r="Y14" i="5" s="1"/>
  <c r="AB7" i="5" l="1"/>
  <c r="AC27" i="5"/>
  <c r="AD10" i="5"/>
  <c r="AC21" i="5"/>
  <c r="AD22" i="5" s="1"/>
  <c r="Y25" i="5"/>
  <c r="Z30" i="5" s="1"/>
  <c r="Z37" i="5" s="1"/>
  <c r="Z38" i="5" s="1"/>
  <c r="Y28" i="5"/>
  <c r="Y31" i="5" s="1"/>
  <c r="Y26" i="5"/>
  <c r="Y44" i="5" s="1"/>
  <c r="Y45" i="5" s="1"/>
  <c r="AA29" i="5"/>
  <c r="Z35" i="5"/>
  <c r="Z36" i="5" s="1"/>
  <c r="AA11" i="5"/>
  <c r="AA12" i="5" s="1"/>
  <c r="AA9" i="5"/>
  <c r="Z26" i="5"/>
  <c r="Z25" i="5"/>
  <c r="Z28" i="5"/>
  <c r="Z31" i="5" s="1"/>
  <c r="Z39" i="5" s="1"/>
  <c r="AC7" i="5" l="1"/>
  <c r="Z44" i="5"/>
  <c r="Z45" i="5" s="1"/>
  <c r="AE10" i="5"/>
  <c r="AD27" i="5"/>
  <c r="AD21" i="5"/>
  <c r="AE22" i="5" s="1"/>
  <c r="AA30" i="5"/>
  <c r="AA37" i="5" s="1"/>
  <c r="AA38" i="5" s="1"/>
  <c r="Z32" i="5"/>
  <c r="AB11" i="5"/>
  <c r="AB12" i="5" s="1"/>
  <c r="AB24" i="5" s="1"/>
  <c r="AB29" i="5"/>
  <c r="AB9" i="5"/>
  <c r="AA13" i="5"/>
  <c r="AA14" i="5" s="1"/>
  <c r="AA24" i="5"/>
  <c r="AA35" i="5"/>
  <c r="AA36" i="5" s="1"/>
  <c r="Y39" i="5"/>
  <c r="Y32" i="5"/>
  <c r="Z41" i="5"/>
  <c r="Z42" i="5" s="1"/>
  <c r="Z40" i="5"/>
  <c r="AD7" i="5" l="1"/>
  <c r="AE21" i="5"/>
  <c r="AF22" i="5" s="1"/>
  <c r="AF10" i="5"/>
  <c r="AE27" i="5"/>
  <c r="AA25" i="5"/>
  <c r="AB30" i="5" s="1"/>
  <c r="AB37" i="5" s="1"/>
  <c r="AB38" i="5" s="1"/>
  <c r="AA26" i="5"/>
  <c r="AA44" i="5" s="1"/>
  <c r="AA45" i="5" s="1"/>
  <c r="AA28" i="5"/>
  <c r="AA31" i="5" s="1"/>
  <c r="AC29" i="5"/>
  <c r="AC9" i="5"/>
  <c r="AC11" i="5"/>
  <c r="AC12" i="5" s="1"/>
  <c r="AC24" i="5" s="1"/>
  <c r="Y40" i="5"/>
  <c r="Y41" i="5"/>
  <c r="Y42" i="5" s="1"/>
  <c r="AB35" i="5"/>
  <c r="AB36" i="5" s="1"/>
  <c r="AB25" i="5"/>
  <c r="AB28" i="5"/>
  <c r="AB31" i="5" s="1"/>
  <c r="AB39" i="5" s="1"/>
  <c r="AB26" i="5"/>
  <c r="AE7" i="5" l="1"/>
  <c r="AC30" i="5"/>
  <c r="AC37" i="5" s="1"/>
  <c r="AC38" i="5" s="1"/>
  <c r="AF27" i="5"/>
  <c r="AF21" i="5"/>
  <c r="AG22" i="5" s="1"/>
  <c r="AG10" i="5"/>
  <c r="AB32" i="5"/>
  <c r="AC25" i="5"/>
  <c r="AD30" i="5" s="1"/>
  <c r="AD37" i="5" s="1"/>
  <c r="AD38" i="5" s="1"/>
  <c r="AC28" i="5"/>
  <c r="AC31" i="5" s="1"/>
  <c r="AC39" i="5" s="1"/>
  <c r="AC26" i="5"/>
  <c r="AA39" i="5"/>
  <c r="AA32" i="5"/>
  <c r="AD9" i="5"/>
  <c r="AD29" i="5"/>
  <c r="AD11" i="5"/>
  <c r="AD12" i="5" s="1"/>
  <c r="AD24" i="5" s="1"/>
  <c r="AC35" i="5"/>
  <c r="AC36" i="5" s="1"/>
  <c r="AB44" i="5"/>
  <c r="AB45" i="5" s="1"/>
  <c r="AB40" i="5"/>
  <c r="AB41" i="5"/>
  <c r="AB42" i="5" s="1"/>
  <c r="AF7" i="5" l="1"/>
  <c r="AG7" i="5" s="1"/>
  <c r="AC32" i="5"/>
  <c r="AH10" i="5"/>
  <c r="AG27" i="5"/>
  <c r="AG21" i="5"/>
  <c r="AH22" i="5" s="1"/>
  <c r="AE9" i="5"/>
  <c r="AE29" i="5"/>
  <c r="AE11" i="5"/>
  <c r="AE12" i="5" s="1"/>
  <c r="AE24" i="5" s="1"/>
  <c r="AC44" i="5"/>
  <c r="AC45" i="5" s="1"/>
  <c r="AD35" i="5"/>
  <c r="AD36" i="5" s="1"/>
  <c r="AA40" i="5"/>
  <c r="AA41" i="5"/>
  <c r="AA42" i="5" s="1"/>
  <c r="AC41" i="5"/>
  <c r="AC42" i="5" s="1"/>
  <c r="AC40" i="5"/>
  <c r="AD28" i="5"/>
  <c r="AD31" i="5" s="1"/>
  <c r="AD39" i="5" s="1"/>
  <c r="AD25" i="5"/>
  <c r="AE30" i="5" s="1"/>
  <c r="AE37" i="5" s="1"/>
  <c r="AE38" i="5" s="1"/>
  <c r="AD26" i="5"/>
  <c r="AH7" i="5" l="1"/>
  <c r="AH21" i="5"/>
  <c r="AI22" i="5" s="1"/>
  <c r="AH27" i="5"/>
  <c r="AI10" i="5"/>
  <c r="AD32" i="5"/>
  <c r="AE26" i="5"/>
  <c r="AE25" i="5"/>
  <c r="AF30" i="5" s="1"/>
  <c r="AF37" i="5" s="1"/>
  <c r="AF38" i="5" s="1"/>
  <c r="AE28" i="5"/>
  <c r="AE31" i="5" s="1"/>
  <c r="AE39" i="5" s="1"/>
  <c r="AD44" i="5"/>
  <c r="AD45" i="5" s="1"/>
  <c r="AE35" i="5"/>
  <c r="AE36" i="5" s="1"/>
  <c r="AD40" i="5"/>
  <c r="AD41" i="5"/>
  <c r="AD42" i="5" s="1"/>
  <c r="AF29" i="5"/>
  <c r="AF9" i="5"/>
  <c r="AF11" i="5"/>
  <c r="AF12" i="5" s="1"/>
  <c r="AF24" i="5" s="1"/>
  <c r="AI7" i="5" l="1"/>
  <c r="AI27" i="5"/>
  <c r="AI21" i="5"/>
  <c r="AE32" i="5"/>
  <c r="AG11" i="5"/>
  <c r="AG12" i="5" s="1"/>
  <c r="AG24" i="5" s="1"/>
  <c r="AG9" i="5"/>
  <c r="AG29" i="5"/>
  <c r="AF35" i="5"/>
  <c r="AF36" i="5" s="1"/>
  <c r="AF28" i="5"/>
  <c r="AF31" i="5" s="1"/>
  <c r="AF39" i="5" s="1"/>
  <c r="AF25" i="5"/>
  <c r="AG30" i="5" s="1"/>
  <c r="AG37" i="5" s="1"/>
  <c r="AG38" i="5" s="1"/>
  <c r="AF26" i="5"/>
  <c r="AF44" i="5" s="1"/>
  <c r="AF45" i="5" s="1"/>
  <c r="AE40" i="5"/>
  <c r="AE41" i="5"/>
  <c r="AE42" i="5" s="1"/>
  <c r="AE44" i="5"/>
  <c r="AE45" i="5" s="1"/>
  <c r="AF41" i="5" l="1"/>
  <c r="AF42" i="5" s="1"/>
  <c r="AF40" i="5"/>
  <c r="AF32" i="5"/>
  <c r="AH9" i="5"/>
  <c r="AH29" i="5"/>
  <c r="AH11" i="5"/>
  <c r="AH12" i="5" s="1"/>
  <c r="AH24" i="5" s="1"/>
  <c r="AG35" i="5"/>
  <c r="AG36" i="5" s="1"/>
  <c r="AG28" i="5"/>
  <c r="AG31" i="5" s="1"/>
  <c r="AG39" i="5" s="1"/>
  <c r="AG26" i="5"/>
  <c r="AG44" i="5" s="1"/>
  <c r="AG45" i="5" s="1"/>
  <c r="AG25" i="5"/>
  <c r="AH30" i="5" s="1"/>
  <c r="AH37" i="5" s="1"/>
  <c r="AH38" i="5" s="1"/>
  <c r="AG32" i="5" l="1"/>
  <c r="AH26" i="5"/>
  <c r="AH25" i="5"/>
  <c r="AI30" i="5" s="1"/>
  <c r="AI37" i="5" s="1"/>
  <c r="AI38" i="5" s="1"/>
  <c r="AH28" i="5"/>
  <c r="AH31" i="5" s="1"/>
  <c r="AH39" i="5" s="1"/>
  <c r="AH35" i="5"/>
  <c r="AH36" i="5" s="1"/>
  <c r="AG40" i="5"/>
  <c r="AG41" i="5"/>
  <c r="AG42" i="5" s="1"/>
  <c r="AI29" i="5"/>
  <c r="AI9" i="5"/>
  <c r="AI11" i="5"/>
  <c r="AI12" i="5" s="1"/>
  <c r="AI24" i="5" s="1"/>
  <c r="AH32" i="5" l="1"/>
  <c r="AI28" i="5"/>
  <c r="AI31" i="5" s="1"/>
  <c r="AI39" i="5" s="1"/>
  <c r="AI25" i="5"/>
  <c r="AI26" i="5"/>
  <c r="AH41" i="5"/>
  <c r="AH42" i="5" s="1"/>
  <c r="AH40" i="5"/>
  <c r="AH44" i="5"/>
  <c r="AH45" i="5" s="1"/>
  <c r="AI35" i="5"/>
  <c r="AI36" i="5" s="1"/>
  <c r="AI32" i="5"/>
  <c r="AI44" i="5" l="1"/>
  <c r="AI45" i="5" s="1"/>
  <c r="AI41" i="5"/>
  <c r="AI42" i="5" s="1"/>
  <c r="AI40" i="5"/>
</calcChain>
</file>

<file path=xl/comments1.xml><?xml version="1.0" encoding="utf-8"?>
<comments xmlns="http://schemas.openxmlformats.org/spreadsheetml/2006/main">
  <authors>
    <author>Nick Jathar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Nick Jathar:</t>
        </r>
        <r>
          <rPr>
            <sz val="9"/>
            <color indexed="81"/>
            <rFont val="Tahoma"/>
            <charset val="1"/>
          </rPr>
          <t xml:space="preserve">
Fiscal year ends 11/30</t>
        </r>
      </text>
    </comment>
  </commentList>
</comments>
</file>

<file path=xl/sharedStrings.xml><?xml version="1.0" encoding="utf-8"?>
<sst xmlns="http://schemas.openxmlformats.org/spreadsheetml/2006/main" count="1989" uniqueCount="781">
  <si>
    <t>Discount factor</t>
  </si>
  <si>
    <t>Book value today</t>
  </si>
  <si>
    <t>Charge against book value</t>
  </si>
  <si>
    <t>Residual earnings</t>
  </si>
  <si>
    <t>Change in residual earnings</t>
  </si>
  <si>
    <t>Required rate-of-return</t>
  </si>
  <si>
    <t>Earnings per share</t>
  </si>
  <si>
    <t>Book value per share</t>
  </si>
  <si>
    <t>Growth in residual earnings</t>
  </si>
  <si>
    <t>Market price</t>
  </si>
  <si>
    <t>No growth capitalization factor</t>
  </si>
  <si>
    <t>Dividends per share</t>
  </si>
  <si>
    <t>One year lagged discount factor</t>
  </si>
  <si>
    <t>Price-to-book ratio</t>
  </si>
  <si>
    <t>Forward price-to-earnings ratio</t>
  </si>
  <si>
    <t>Book value rate-of-return</t>
  </si>
  <si>
    <t>Growth in earnings per share</t>
  </si>
  <si>
    <t>Long-run residual earnings growth</t>
  </si>
  <si>
    <t>Present value of residual earnings</t>
  </si>
  <si>
    <t>One year lagged cumulative present value of residual earnings</t>
  </si>
  <si>
    <t>Capitalized terminal no growth residual earnings</t>
  </si>
  <si>
    <t>Present value of capitalizated terminal no growth residual earnings</t>
  </si>
  <si>
    <t>Value of equity today</t>
  </si>
  <si>
    <t>Valuing equity excluding speculative growth</t>
  </si>
  <si>
    <t>Financial metrics</t>
  </si>
  <si>
    <t>% of market price</t>
  </si>
  <si>
    <t>Value contribution to market price</t>
  </si>
  <si>
    <t>Interim pro forma residual earnings</t>
  </si>
  <si>
    <t>Imputed value from speculative growth</t>
  </si>
  <si>
    <t>Capitalized terminal no growth pro forma residual earnings</t>
  </si>
  <si>
    <t>Present value of residual earnings with one year lagged discount factor</t>
  </si>
  <si>
    <t>Market's implied residual earnings growth rate</t>
  </si>
  <si>
    <t>Elapsed forecast years</t>
  </si>
  <si>
    <t>Market's implied EPS growth rate for next year</t>
  </si>
  <si>
    <t>FY 2009</t>
  </si>
  <si>
    <t>FY 2010</t>
  </si>
  <si>
    <t>FY 2011</t>
  </si>
  <si>
    <t>FY 2012</t>
  </si>
  <si>
    <t>FY 2013</t>
  </si>
  <si>
    <t>FY 2014</t>
  </si>
  <si>
    <t>FY 2015</t>
  </si>
  <si>
    <t>FY 2016</t>
  </si>
  <si>
    <t>FY 2017</t>
  </si>
  <si>
    <t>FY 2018</t>
  </si>
  <si>
    <t>FY 2019</t>
  </si>
  <si>
    <t>Total Assets</t>
  </si>
  <si>
    <t>—</t>
  </si>
  <si>
    <t>Total Current Assets</t>
  </si>
  <si>
    <t>Total Current Liabilities</t>
  </si>
  <si>
    <t>Total Liabilities</t>
  </si>
  <si>
    <t>Reference Items</t>
  </si>
  <si>
    <t>Shares Outstanding</t>
  </si>
  <si>
    <t>Future Minimum Operating Lease Obligations</t>
  </si>
  <si>
    <t>Options Granted During Period</t>
  </si>
  <si>
    <t>Source: Bloomberg</t>
  </si>
  <si>
    <t>Right click to show data transparency (not supported for all values)</t>
  </si>
  <si>
    <t>Gross Profit</t>
  </si>
  <si>
    <t>Total Cash Common Dividends</t>
  </si>
  <si>
    <t>Depreciation Expense</t>
  </si>
  <si>
    <t>EPS</t>
  </si>
  <si>
    <t>DPS</t>
  </si>
  <si>
    <t>BPS</t>
  </si>
  <si>
    <t>Date</t>
  </si>
  <si>
    <t>Close</t>
  </si>
  <si>
    <t>Clean surplus per share reconcilation</t>
  </si>
  <si>
    <t>Book value per share reported</t>
  </si>
  <si>
    <t>In $M (except per share)</t>
  </si>
  <si>
    <t>Bloomberg Code</t>
  </si>
  <si>
    <t>Description</t>
  </si>
  <si>
    <t>Inventories</t>
  </si>
  <si>
    <t>Raw Materials</t>
  </si>
  <si>
    <t>Finished Goods</t>
  </si>
  <si>
    <t>Accumulated Depreciation</t>
  </si>
  <si>
    <t>Goodwill</t>
  </si>
  <si>
    <t>Other Intangible Assets</t>
  </si>
  <si>
    <t>Common Stock</t>
  </si>
  <si>
    <t>Cash and Equivalents</t>
  </si>
  <si>
    <t>ARD_CASH_AND_EQUIVALENTS</t>
  </si>
  <si>
    <t>Accounts Receivable - Trade</t>
  </si>
  <si>
    <t>ARD_ACCTS_RECEIVABLE_TRADE</t>
  </si>
  <si>
    <t>ARD_INVENTORY</t>
  </si>
  <si>
    <t>Prepaid Expenses and Other</t>
  </si>
  <si>
    <t>ARD_PREPAID_EXP_AND_OTHER</t>
  </si>
  <si>
    <t>Allowance For Doubtful Accounts</t>
  </si>
  <si>
    <t>ARD_ALLOW_FOR_DOUBTFUL_ACCTS</t>
  </si>
  <si>
    <t>ARD_TOTAL_CUR_ASSETS</t>
  </si>
  <si>
    <t>Long Term Investments</t>
  </si>
  <si>
    <t>ARD_LT_INVEST</t>
  </si>
  <si>
    <t>Property Plant &amp; Equipment - Net</t>
  </si>
  <si>
    <t>ARD_PROPERTY_PLANT_EQUIP_NET</t>
  </si>
  <si>
    <t>ARD_OTHER_INTANGIBLE_ASSET</t>
  </si>
  <si>
    <t>ARD_GOODWLL</t>
  </si>
  <si>
    <t>Other Noncurrent Assets</t>
  </si>
  <si>
    <t>ARD_OTHER_NONCURRENT_ASSET</t>
  </si>
  <si>
    <t>Prepaid Expenses (Long-Term)</t>
  </si>
  <si>
    <t>ARD_PREPAID_EXPENSES_LT</t>
  </si>
  <si>
    <t>ARD_TOT_ASSETS</t>
  </si>
  <si>
    <t>Accounts Payable - Trade</t>
  </si>
  <si>
    <t>ARD_ACCOUNTS_PAYABLE_TRADE</t>
  </si>
  <si>
    <t>Current Portion of Long-Term Debt</t>
  </si>
  <si>
    <t>ARD_CURRENT_PORTION_OF_LT_DEBT</t>
  </si>
  <si>
    <t>Short-Term Borrowings</t>
  </si>
  <si>
    <t>ARD_ST_BORROW</t>
  </si>
  <si>
    <t>Accrued Expenses</t>
  </si>
  <si>
    <t>ARD_ACCRUED_EXPENSES</t>
  </si>
  <si>
    <t>ARD_TOTAL_CURRENT_LIABILITIES</t>
  </si>
  <si>
    <t>Long Term Debt</t>
  </si>
  <si>
    <t>ARD_LT_DEBT</t>
  </si>
  <si>
    <t>Deferred Income Taxes (Liabilities)</t>
  </si>
  <si>
    <t>ARD_DEFERRED_INCOME_TAXES_LIAB</t>
  </si>
  <si>
    <t>Pension/Postretirement Liabilities</t>
  </si>
  <si>
    <t>ARD_PENSION_POSTRETIREMNT_LIAB</t>
  </si>
  <si>
    <t>Other Noncurrent Liabilities</t>
  </si>
  <si>
    <t>ARD_OTH_NONCURRENT_LIABILITIES</t>
  </si>
  <si>
    <t>ARD_TOT_LIABILITIES</t>
  </si>
  <si>
    <t>Minority/Non Controlling Int (Stckhldrs Eqty)</t>
  </si>
  <si>
    <t>ARD_MIN_NONCONTROL_INT_SE</t>
  </si>
  <si>
    <t>ARD_COMMON_STOCK</t>
  </si>
  <si>
    <t>Accumulated Other Comprehensive Income</t>
  </si>
  <si>
    <t>ARD_ACC_OTH_COMPREHENSIVE_INC</t>
  </si>
  <si>
    <t>Retained Earnings (Accumulated Deficit)</t>
  </si>
  <si>
    <t>ARD_RETAINED_EARN_ACC_DEFICIT</t>
  </si>
  <si>
    <t>ARD_SHARES_OUTSTANDING</t>
  </si>
  <si>
    <t>Common Stock &amp; APIC</t>
  </si>
  <si>
    <t>ARD_COMMON_STOCK_AND_APIC</t>
  </si>
  <si>
    <t>Total Shareholders Equity</t>
  </si>
  <si>
    <t>ARD_TOTAL_SHAREHOLDERS_EQUITY</t>
  </si>
  <si>
    <t>Shares Authorized</t>
  </si>
  <si>
    <t>ARD_SHARES_AUTHORIZED</t>
  </si>
  <si>
    <t>Total Liabilities and Shareholders Equity</t>
  </si>
  <si>
    <t>ARD_TOT_LIAB_AND_SHAREHOLDER_EQY</t>
  </si>
  <si>
    <t xml:space="preserve">  Reference Items</t>
  </si>
  <si>
    <t>ARDR_INVENTORY</t>
  </si>
  <si>
    <t>Prepaid Expenses (ST)</t>
  </si>
  <si>
    <t>ARDR_PREPAID_EXPENSES_ST</t>
  </si>
  <si>
    <t>ARDR_LT_INVEST</t>
  </si>
  <si>
    <t>Land</t>
  </si>
  <si>
    <t>ARDR_LAND</t>
  </si>
  <si>
    <t>Buildings</t>
  </si>
  <si>
    <t>ARDR_BUILDING</t>
  </si>
  <si>
    <t>Construction In Progress</t>
  </si>
  <si>
    <t>ARDR_CONSTRUCTION_IN_PROGRESS</t>
  </si>
  <si>
    <t>Furniture/Machinery/Equipment</t>
  </si>
  <si>
    <t>ARDR_FURNITURE_MACHINERY_EQUIP</t>
  </si>
  <si>
    <t>ARDR_ACCUMULATED_DEPREC</t>
  </si>
  <si>
    <t>ARDR_PROPERTY_PLANT_EQUIP_NET</t>
  </si>
  <si>
    <t>Deferred Income Tax Asset (LT)</t>
  </si>
  <si>
    <t>ARDR_DEFERRED_INC_TAX_ASSET_LT</t>
  </si>
  <si>
    <t>ARDR_OTHER_INTANGIBLE_ASSET</t>
  </si>
  <si>
    <t>Investment In Affiliates/Joint Ventures</t>
  </si>
  <si>
    <t>ARDR_INVESTMENT_IN_AFFILIATE_JV</t>
  </si>
  <si>
    <t>Prepaid Pensions/Postretirement Benefits</t>
  </si>
  <si>
    <t>ARDR_PREPAID_PEN_POSTRETIRE_BEN</t>
  </si>
  <si>
    <t>ARDR_GOODWLL</t>
  </si>
  <si>
    <t>Patents/Trademarks/Copyrights</t>
  </si>
  <si>
    <t>ARDR_PATENTS_TRADEMRK_COPYRIGHT</t>
  </si>
  <si>
    <t>ARDR_CURRENT_PORTION_OF_LT_DEBT</t>
  </si>
  <si>
    <t>ARDR_DEFERRED_INCOME_TAXES_LIAB</t>
  </si>
  <si>
    <t>ARDR_PENSION_POSTRETIREMNT_LIAB</t>
  </si>
  <si>
    <t>Min/Non Cntrlling Int(Stckhldrs Eqty)</t>
  </si>
  <si>
    <t>ARDR_MIN_NONCONTROL_INT_SE</t>
  </si>
  <si>
    <t>ARDR_COMMON_STOCK</t>
  </si>
  <si>
    <t>ARDR_ACC_OTH_COMPREHENSIVE_INC</t>
  </si>
  <si>
    <t>ARDR_RETAINED_EARN_ACC_DEFICIT</t>
  </si>
  <si>
    <t>ARDR_SHARES_OUTSTANDING</t>
  </si>
  <si>
    <t>ARDR_RAW_MATERIAL</t>
  </si>
  <si>
    <t>ARDR_FINISHED_GOOD</t>
  </si>
  <si>
    <t>ARDR_COMMON_STOCK_AND_APIC</t>
  </si>
  <si>
    <t>Variable Rate Debt</t>
  </si>
  <si>
    <t>ARDR_VARIABLE_RATE_DEBT</t>
  </si>
  <si>
    <t>Fixed Rate Debt</t>
  </si>
  <si>
    <t>ARDR_FIXED_RATE_DEBT</t>
  </si>
  <si>
    <t>Total Line of Credit</t>
  </si>
  <si>
    <t>ARDR_TOTAL_LINE_OF_CREDIT</t>
  </si>
  <si>
    <t>Total Available Line of Credit</t>
  </si>
  <si>
    <t>ARDR_TOTAL_AVAIL_LINE_OF_CREDIT</t>
  </si>
  <si>
    <t>ARDR_FUT_MIN_OPER_LEASE_OBLIG</t>
  </si>
  <si>
    <t>Current Rental Expense</t>
  </si>
  <si>
    <t>ARDR_CURRENT_RENTAL_EXP</t>
  </si>
  <si>
    <t>Rental Expense - Year 1</t>
  </si>
  <si>
    <t>ARDR_RENTAL_EXP_YR1</t>
  </si>
  <si>
    <t>Rental Expense - Year 2</t>
  </si>
  <si>
    <t>ARDR_RENTAL_EXP_YR2</t>
  </si>
  <si>
    <t>Rental Expense - Year 3</t>
  </si>
  <si>
    <t>ARDR_RENTAL_EXP_YR3</t>
  </si>
  <si>
    <t>Rental Expense - Year 4</t>
  </si>
  <si>
    <t>ARDR_RENTAL_EXP_YR4</t>
  </si>
  <si>
    <t>Rental Expense - Year 5</t>
  </si>
  <si>
    <t>ARDR_RENTAL_EXP_YR5</t>
  </si>
  <si>
    <t>Rental Expense - Beyond Year 5</t>
  </si>
  <si>
    <t>ARDR_RENTAL_EXP_BEYOND_YR5</t>
  </si>
  <si>
    <t>ARDR_ALLOW_FOR_DOUBTFUL_ACCTS</t>
  </si>
  <si>
    <t>ARDR_TOTAL_SHAREHOLDERS_EQUITY</t>
  </si>
  <si>
    <t>Capitalized Software - Gross</t>
  </si>
  <si>
    <t>ARDR_CAPITALIZED_SOFTWARE_GROSS</t>
  </si>
  <si>
    <t>Derivative Assets Short-Term</t>
  </si>
  <si>
    <t>ARDR_DERIVATIVE_ASSET_ST</t>
  </si>
  <si>
    <t>Commercial Paper Outstanding</t>
  </si>
  <si>
    <t>ARDR_COMMERCIAL_PAPER</t>
  </si>
  <si>
    <t>Derivative Liabilities</t>
  </si>
  <si>
    <t>ARDR_DERIVATIVE_LIABILITIES</t>
  </si>
  <si>
    <t>Derivative Assets (Long-Term)</t>
  </si>
  <si>
    <t>ARDR_DERIVATIVE_ASSET_LT</t>
  </si>
  <si>
    <t>Letters of Credit</t>
  </si>
  <si>
    <t>ARDR_LETTERS_OF_CREDIT</t>
  </si>
  <si>
    <t>Derivative Liabilities (Long-Term)</t>
  </si>
  <si>
    <t>ARDR_DERIVATIVE_LIABILITIES_LT</t>
  </si>
  <si>
    <t>Shares Outstanding From The Front Cover</t>
  </si>
  <si>
    <t>ARDR_SHARE_OUT_FROM_FRONT_COVER</t>
  </si>
  <si>
    <t>Accumulated Amortization Intangible Assets</t>
  </si>
  <si>
    <t>ARDR_ACCCUM_AMORT_INTANG_ASSET</t>
  </si>
  <si>
    <t>Total Contingent Payable</t>
  </si>
  <si>
    <t>ARDR_TOTAL_CONTIGENT_PAYABLE</t>
  </si>
  <si>
    <t>Guarantees</t>
  </si>
  <si>
    <t>ARDR_GUARANTEES</t>
  </si>
  <si>
    <t>ARDR_OPTIONS_GRANTED_DURING_PER</t>
  </si>
  <si>
    <t>Options Outstanding End Period</t>
  </si>
  <si>
    <t>ARDR_OPTIONS_OUTSTANDING_END_PER</t>
  </si>
  <si>
    <t>Options Exercised During the Period</t>
  </si>
  <si>
    <t>ARDR_OPTIONS_EXERCISED_DUR_PER</t>
  </si>
  <si>
    <t>Total Credit Utilized</t>
  </si>
  <si>
    <t>ARDR_TOTAL_CREDIT_UTILIZED</t>
  </si>
  <si>
    <t>Purchase Obligations</t>
  </si>
  <si>
    <t>ARDR_PURCHASE_OBLIGATIONS</t>
  </si>
  <si>
    <t>Debt Schedule In Yr 1</t>
  </si>
  <si>
    <t>ARDR_DEBT_SCHEDULE_IN_YR1</t>
  </si>
  <si>
    <t>Debt Schedule In Yr 2</t>
  </si>
  <si>
    <t>ARDR_DEBT_SCHEDULE_IN_YR2</t>
  </si>
  <si>
    <t>Debt Schedule In Yr 3</t>
  </si>
  <si>
    <t>ARDR_DEBT_SCHEDULE_IN_YR3</t>
  </si>
  <si>
    <t>Debt Schedule In Yr 4</t>
  </si>
  <si>
    <t>ARDR_DEBT_SCHEDULE_IN_YR4</t>
  </si>
  <si>
    <t>Debt Schedule In Yr 5</t>
  </si>
  <si>
    <t>ARDR_DEBT_SCHEDULE_IN_YR5</t>
  </si>
  <si>
    <t>Debt Schedule Thereafter</t>
  </si>
  <si>
    <t>ARDR_DEBT_SCHEDULE_THEREAFTER</t>
  </si>
  <si>
    <t>Debt Schedule - Total Debt</t>
  </si>
  <si>
    <t>ARDR_DEBT_SCHEDULE_TOTAL_DEBT</t>
  </si>
  <si>
    <t>Debt Schedule - Total Long Term Debt</t>
  </si>
  <si>
    <t>ARDR_DEBT_SCHEDULE_TOTAL_LT_DEBT</t>
  </si>
  <si>
    <t>Number of Common Shares Repurchased</t>
  </si>
  <si>
    <t>ARDR_COMMON_SHARES_REPURCHASED</t>
  </si>
  <si>
    <t>Value of Common Shares Repurchased</t>
  </si>
  <si>
    <t>ARDR_VAL_COMMON_SHRS_REPURCHASED</t>
  </si>
  <si>
    <t>Weighted Average Interest Rate of ST Debt</t>
  </si>
  <si>
    <t>ARDR_WTD_AVG_INT_RATE_ST_DEBT</t>
  </si>
  <si>
    <t>Fair Value Assets Recur - Level 1</t>
  </si>
  <si>
    <t>ARDR_FV_ASSETS_REC_LEVEL_1</t>
  </si>
  <si>
    <t>Fair Value Assets Recur - Level 2</t>
  </si>
  <si>
    <t>ARDR_FV_ASSETS_REC_LEVEL_2</t>
  </si>
  <si>
    <t>Fair Value Assets Recur - Level 3</t>
  </si>
  <si>
    <t>ARDR_FV_ASSETS_REC_LEVEL_3</t>
  </si>
  <si>
    <t>Fair Value Assets Recur - Total</t>
  </si>
  <si>
    <t>ARDR_FV_ASSETS_REC_TOTAL</t>
  </si>
  <si>
    <t>Fair Value Liab Recur - Level 1</t>
  </si>
  <si>
    <t>ARDR_FV_LIAB_REC_LEVEL_1</t>
  </si>
  <si>
    <t>Fair Value Liab Recur - Level 2</t>
  </si>
  <si>
    <t>ARDR_FV_LIAB_REC_LEVEL_2</t>
  </si>
  <si>
    <t>Fair Value Liab Recur - Level 3</t>
  </si>
  <si>
    <t>ARDR_FV_LIAB_REC_LEVEL_3</t>
  </si>
  <si>
    <t>Fair Value Liab Recur - Total</t>
  </si>
  <si>
    <t>ARDR_FV_LIAB_REC_TOTAL</t>
  </si>
  <si>
    <t>ARDR Options Cancelled or Forfeited</t>
  </si>
  <si>
    <t>ARDR_OPTIONS_CANCELLED_FORFEITED</t>
  </si>
  <si>
    <t>Contractual Obligations - Year 1</t>
  </si>
  <si>
    <t>ARDR_CONTRACTUAL_OBLIG_YEAR_1</t>
  </si>
  <si>
    <t>Contractual Obligations Years - 2 &amp; 3</t>
  </si>
  <si>
    <t>ARDR_CONTRACTUAL_OBLIG_YEAR_2_3</t>
  </si>
  <si>
    <t>Contractual Obligations Years - 4 &amp; 5</t>
  </si>
  <si>
    <t>ARDR_CONTRACTUAL_OBLIG_YEAR_4_5</t>
  </si>
  <si>
    <t>Contractual Obligations  - Beyond Year 5</t>
  </si>
  <si>
    <t>ARDR_CONT_OBLIG_BEYOND_YEAR_5</t>
  </si>
  <si>
    <t>Total Contractual Obligations</t>
  </si>
  <si>
    <t>ARDR_CONTRACTUAL_OBLIG_TOTAL</t>
  </si>
  <si>
    <t>Rental Expense - Years 2 - 3</t>
  </si>
  <si>
    <t>ARDR_RENTAL_EXPENSE_YEARS_2_3</t>
  </si>
  <si>
    <t>Rental Expense - Years 4 - 5</t>
  </si>
  <si>
    <t>ARDR_RENTAL_EXPENSE_YEARS_4_5</t>
  </si>
  <si>
    <t>Debt Schedule - Years 2 - 3</t>
  </si>
  <si>
    <t>ARDR_DEBT_SCHEDULE_YR_2_3</t>
  </si>
  <si>
    <t>Debt Schedule - Years 4 - 5</t>
  </si>
  <si>
    <t>ARDR_DEBT_SCHEDULE_YR_4_5</t>
  </si>
  <si>
    <t>Pension &amp; Post Retirement Assets (Current)</t>
  </si>
  <si>
    <t>ARDR_PENSION_PR_ASSETS_CURRENT</t>
  </si>
  <si>
    <t>Weighted Average Cost of Options Granted</t>
  </si>
  <si>
    <t>ARDR_WEI_AVG_COST_OPTIONS_GRANT</t>
  </si>
  <si>
    <t>Stock Opt Valuation - Risk Free Rate (%)</t>
  </si>
  <si>
    <t>ARDR_STOCK_OPTION_VAL_RFR</t>
  </si>
  <si>
    <t>Stock Opt Valuation - Expected Life (Yrs)</t>
  </si>
  <si>
    <t>ARDR_STOCK_OPTION_VAL_EXP_LIFE</t>
  </si>
  <si>
    <t>Stock Opt Valuation - Expected Volatil (%)</t>
  </si>
  <si>
    <t>ARDR_STOCK_OPTION_VAL_EXP_VOL</t>
  </si>
  <si>
    <t>Stock Opt Valuation - Dividend Yield (%)</t>
  </si>
  <si>
    <t>ARDR_STOCK_OPTION_VAL_DVD_YLD</t>
  </si>
  <si>
    <t>Avg Exercise Price (Options Exercisable)</t>
  </si>
  <si>
    <t>ARDR_AVG_EXER_PX_OPT_EXERCISABLE</t>
  </si>
  <si>
    <t>Avg Exercise Price (Options Outstanding)</t>
  </si>
  <si>
    <t>ARDR_AVG_EXER_PX_OPT_OUTSTANDING</t>
  </si>
  <si>
    <t>Options Exercisable End of Period</t>
  </si>
  <si>
    <t>ARDR_OPTIONS_EXERCISABLE</t>
  </si>
  <si>
    <t>Debt Schedule - Net Unamortized Premium</t>
  </si>
  <si>
    <t>ARDR_DEBT_NET_UNAMORTIZED_PREM</t>
  </si>
  <si>
    <t>Deferred Tax Asset - Valuation Allowance</t>
  </si>
  <si>
    <t>ARDR_DEFERRED_TAX_ALLOWANCE</t>
  </si>
  <si>
    <t>Shares Authorized for Repurchase Amount</t>
  </si>
  <si>
    <t>ARDR_SHARES_AUTH_REPURCH_AMOUNT</t>
  </si>
  <si>
    <t>Remaining Shares Auth for Repurchase Amt</t>
  </si>
  <si>
    <t>ARDR_REMAINING_SH_AUTH_REP_AMT</t>
  </si>
  <si>
    <t>FV Assets Rec L1: Cash and Securities</t>
  </si>
  <si>
    <t>ARDR_FV_ASSETS_REC_L1_CASH_SECS</t>
  </si>
  <si>
    <t>FV Assets Rec L1: Derivatives</t>
  </si>
  <si>
    <t>ARDR_FV_ASTS_REC_L1_DERIVATIVES</t>
  </si>
  <si>
    <t>FV Assets Rec L1: Other</t>
  </si>
  <si>
    <t>ARDR_FV_ASSETS_REC_L1_OTHER</t>
  </si>
  <si>
    <t>FV Assets Rec L2: Cash and Securities</t>
  </si>
  <si>
    <t>ARDR_FV_ASTS_REC_L2_CASH_SECS</t>
  </si>
  <si>
    <t>FV Assets Rec L2: Derivatives</t>
  </si>
  <si>
    <t>ARDR_FV_ASTS_REC_L2_DERIVATIVES</t>
  </si>
  <si>
    <t>FV Assets Rec L2: Other</t>
  </si>
  <si>
    <t>ARDR_FV_ASSETS_REC_L2_OTH</t>
  </si>
  <si>
    <t>FV Assets Rec Total: Cash Securities</t>
  </si>
  <si>
    <t>ARDR_FV_ASSETS_REC_TOT_CASH_SECS</t>
  </si>
  <si>
    <t>FV Assets Rec Total: Derivatives</t>
  </si>
  <si>
    <t>ARDR_FV_ASTS_REC_TOT_DERIVATIVES</t>
  </si>
  <si>
    <t>FV Assets Rec Total: Other</t>
  </si>
  <si>
    <t>ARDR_FV_ASSETS_REC_TOT_OTHER</t>
  </si>
  <si>
    <t>FV Liabs Rec L1: Derivatives</t>
  </si>
  <si>
    <t>ARDR_FV_LIABS_REC_L1_DERIVATIVES</t>
  </si>
  <si>
    <t>FV Liabs Rec L1: Other</t>
  </si>
  <si>
    <t>ARDR_FV_LIABS_REC_L1_OTHER</t>
  </si>
  <si>
    <t>FV Liabs Rec L2: Derivatives</t>
  </si>
  <si>
    <t>ARDR_FV_LIABS_REC_L2_DERIVATIVES</t>
  </si>
  <si>
    <t>FV Liabs Rec L3: Derivatives</t>
  </si>
  <si>
    <t>ARDR_FV_LIABS_REC_L3_DERIVATIVES</t>
  </si>
  <si>
    <t>FV Liabs Rec L3: Other</t>
  </si>
  <si>
    <t>ARDR_FV_LIABS_REC_L3_OTHER</t>
  </si>
  <si>
    <t>FV Liabs Rec Total: Derivatives</t>
  </si>
  <si>
    <t>ARDR_FV_LIABS_REC_TOT_DERV</t>
  </si>
  <si>
    <t>FV Liabs Rec Total: Other</t>
  </si>
  <si>
    <t>ARDR_FV_LIABS_REC_TOT_OTHER</t>
  </si>
  <si>
    <t>FV Non-Hedging Deriv Assets - FX Contract</t>
  </si>
  <si>
    <t>ARDR_FV_NON_HEDG_DERIV_ASSETS_FX</t>
  </si>
  <si>
    <t>FV Non-Hedging Deriv Liabs - FX Contract</t>
  </si>
  <si>
    <t>ARDR_FV_HEDG_DERIV_LIABS_FX</t>
  </si>
  <si>
    <t>ARDR FV Non Hedging Derivative Assets IR Contract</t>
  </si>
  <si>
    <t>ARDR_FV_N_HEDG_DERIV_AST_IR_CONT</t>
  </si>
  <si>
    <t>DTA - Net Operating Loss Carryforward</t>
  </si>
  <si>
    <t>ARDR_DTA_NOL_CARRYFORWARD</t>
  </si>
  <si>
    <t>Deferred Tax Assets - Tax Credits</t>
  </si>
  <si>
    <t>ARDR_DTA_TAX_CREDITS</t>
  </si>
  <si>
    <t>FV Non-Hedg Deriv Liabs Int &amp; Currency</t>
  </si>
  <si>
    <t>ARDR_FV_NON_HEDG_DERIV_LIABS_IC</t>
  </si>
  <si>
    <t>Fair Value Non Hedging Total Assets</t>
  </si>
  <si>
    <t>ARDR_FV_NON_HEDGING_TOTAL_ASSETS</t>
  </si>
  <si>
    <t>Fair Value Non Hedging Total Liabilities</t>
  </si>
  <si>
    <t>ARDR_FV_NON_HEDGING_TOTAL_LIABS</t>
  </si>
  <si>
    <t>Options at Beginning of Period</t>
  </si>
  <si>
    <t>ARDR_OPTIONS_BEGINNING_OF_PERIOD</t>
  </si>
  <si>
    <t>Average Price per Share Repurchased</t>
  </si>
  <si>
    <t>ARDR_AVG_PRICE_PER_SHARE_REPURCH</t>
  </si>
  <si>
    <t>UTB Balance at Beginning Period</t>
  </si>
  <si>
    <t>ARDR_UTB_BALANCE_BEGIN_PERIOD</t>
  </si>
  <si>
    <t>UTB Balance at Period End</t>
  </si>
  <si>
    <t>ARDR_UTB_BALANCE_END_PERIOD</t>
  </si>
  <si>
    <t>Additions for Tax Positions of the Crnt Yr</t>
  </si>
  <si>
    <t>ARDR_ADDITIONS_TAX_POS_CUR_YR</t>
  </si>
  <si>
    <t>Additions for Tax Positions of Prior Years</t>
  </si>
  <si>
    <t>ARDR_ADDITIONS_TAX_POS_PR_YR</t>
  </si>
  <si>
    <t>Reductions for Tax Positions for Prior Yrs</t>
  </si>
  <si>
    <t>ARDR_REDUCTIONS_TAX_POS_PR_YR</t>
  </si>
  <si>
    <t>Settlements</t>
  </si>
  <si>
    <t>ARDR_SETTLEMENTS</t>
  </si>
  <si>
    <t>Statutes of Limitations under UTB</t>
  </si>
  <si>
    <t>ARDR_STATUTES_LIMITATIONS_UTB</t>
  </si>
  <si>
    <t>Other Adjustments to UTB</t>
  </si>
  <si>
    <t>ARDR_OTHER_ADJUSTMENTS_UTB</t>
  </si>
  <si>
    <t>Unremitted Earnings</t>
  </si>
  <si>
    <t>ARDR_UNREMITTED_EARNINGS</t>
  </si>
  <si>
    <t>Total Derivative Assets</t>
  </si>
  <si>
    <t>ARDR_TOTAL_DERIVATIVE_ASSETS</t>
  </si>
  <si>
    <t>As Reported Data Reference Restricted Stock Units</t>
  </si>
  <si>
    <t>ARDR_RESTRICTED_STOCK_UNITS</t>
  </si>
  <si>
    <t>ARDR Restricted Stock Unit WAvg FV PS</t>
  </si>
  <si>
    <t>ARDR_RSTR_STK_UNIT_WAVG_FV_PS</t>
  </si>
  <si>
    <t>ARDR Full Time Employees</t>
  </si>
  <si>
    <t>ARDR_FULL_TIME_EMPLOYEES</t>
  </si>
  <si>
    <t>Stock Option Valuation - RFR % - Low</t>
  </si>
  <si>
    <t>ARDR_STK_OPTION_VALN_RFR_%_LOW</t>
  </si>
  <si>
    <t>Stock Option Valuation - RFR % - High</t>
  </si>
  <si>
    <t>ARDR_STK_OPTION_VALN_RFR_%_HIGH</t>
  </si>
  <si>
    <t>Stock Opt Val - Expctd Volatility % - High</t>
  </si>
  <si>
    <t>ARDR_STK_OPT_VALN_EXP_VOL_%_HI</t>
  </si>
  <si>
    <t>ARDR Number Shares Repurchased Repurchase Program</t>
  </si>
  <si>
    <t>ARDR_#_SHS_REPURCH_FR_REP_PROG</t>
  </si>
  <si>
    <t>Land and Buildings</t>
  </si>
  <si>
    <t>ARDR_LAND_AND_BUILDINGS</t>
  </si>
  <si>
    <t>Current Assets</t>
  </si>
  <si>
    <t>Noncurrent Assets</t>
  </si>
  <si>
    <t>Current Liabilities</t>
  </si>
  <si>
    <t>Non Current Liabilities</t>
  </si>
  <si>
    <t>Stockholder Equity</t>
  </si>
  <si>
    <t>Income Statement</t>
  </si>
  <si>
    <t xml:space="preserve">  Revenues</t>
  </si>
  <si>
    <t>Revenues</t>
  </si>
  <si>
    <t>ARD_REVENUES</t>
  </si>
  <si>
    <t>Total Revenue</t>
  </si>
  <si>
    <t>ARD_TOTAL_REVENUES</t>
  </si>
  <si>
    <t xml:space="preserve">  Operating Expenses</t>
  </si>
  <si>
    <t>Cost of Goods Sold</t>
  </si>
  <si>
    <t>ARD_COST_OF_GOODS_SOLD</t>
  </si>
  <si>
    <t>Selling General and Administrative Expenses</t>
  </si>
  <si>
    <t>ARD_SELLING_GENERAL_ADMIN_EXP</t>
  </si>
  <si>
    <t>Other Operating Expenses</t>
  </si>
  <si>
    <t>ARD_OTHER_OPERATING_EXPENSES</t>
  </si>
  <si>
    <t>Write-Down/Impairment of Assets</t>
  </si>
  <si>
    <t>ARD_WRITEDOWN_IMPAIR_OF_ASSETS</t>
  </si>
  <si>
    <t>Restructuring Charges</t>
  </si>
  <si>
    <t>ARD_RESTRUCTURING_CHARGES</t>
  </si>
  <si>
    <t>Merger/Acquisition Expense</t>
  </si>
  <si>
    <t>ARD_MERGER_ACQUISITION_EXPENSE</t>
  </si>
  <si>
    <t>ARD_GROSS_PROFITS</t>
  </si>
  <si>
    <t>Operating Income</t>
  </si>
  <si>
    <t>ARD_OPERATING_INCOME</t>
  </si>
  <si>
    <t xml:space="preserve">  Non-Operating Expenses</t>
  </si>
  <si>
    <t>Interest Expense</t>
  </si>
  <si>
    <t>ARD_INT_EXP</t>
  </si>
  <si>
    <t>Equity In Earnings of Affiliate/Joint Ventures</t>
  </si>
  <si>
    <t>ARD_EQY_IN_EARN_AFFILIATE_JV</t>
  </si>
  <si>
    <t>Other Non-Operating Expenses</t>
  </si>
  <si>
    <t>ARD_OTHER_NON_OPERATING_EXP</t>
  </si>
  <si>
    <t>Income Tax Expense (Benefit)</t>
  </si>
  <si>
    <t>ARD_INCOME_TAX_EXP_BENEFIT</t>
  </si>
  <si>
    <t>Income Before Income Taxes</t>
  </si>
  <si>
    <t>ARD_INCOME_BEFORE_INCOME_TAXES</t>
  </si>
  <si>
    <t>Income Before XO Items</t>
  </si>
  <si>
    <t>ARD_INCOME_BEFORE_XO_ITEMS</t>
  </si>
  <si>
    <t>Other Non-Operating (Income)/Expense - Net</t>
  </si>
  <si>
    <t>ARD_OTH_NON_OPER_INC_EXP_NET</t>
  </si>
  <si>
    <t>AT (Income) Loss Affiliates and Others</t>
  </si>
  <si>
    <t>ARD_AFTER_TAX_EQTY_METHOD_INVEST</t>
  </si>
  <si>
    <t xml:space="preserve">  Extraordinary Items</t>
  </si>
  <si>
    <t xml:space="preserve">  Earnings</t>
  </si>
  <si>
    <t>Basic EPS</t>
  </si>
  <si>
    <t>ARD_BASIC_EPS</t>
  </si>
  <si>
    <t>Weighted Avg. Shares - Basic</t>
  </si>
  <si>
    <t>ARD_WEIGHTED_AVG_SHARES_BASIC</t>
  </si>
  <si>
    <t>Diluted EPS</t>
  </si>
  <si>
    <t>ARD_DILUTED_EPS</t>
  </si>
  <si>
    <t>Weighted Avg. Shares - Diluted</t>
  </si>
  <si>
    <t>ARD_WEIGHTED_AVG_SHARE_DILUTED</t>
  </si>
  <si>
    <t>Profit After Taxation Before Minority</t>
  </si>
  <si>
    <t>ARD_PROF_AFTER_TAX_BEF_MINORITY</t>
  </si>
  <si>
    <t>Cumulative Net Income</t>
  </si>
  <si>
    <t>ARD_CUMULATIVE_NET_INCOME</t>
  </si>
  <si>
    <t>Dividends Per Share</t>
  </si>
  <si>
    <t>ARD_DVD_PER_SH</t>
  </si>
  <si>
    <t>Net Income</t>
  </si>
  <si>
    <t>ARD_NET_INC</t>
  </si>
  <si>
    <t xml:space="preserve">  Comprehensive Income</t>
  </si>
  <si>
    <t>Pension Related Adjustments</t>
  </si>
  <si>
    <t>ARD_PENSION_RELATED_ADJUSTMENTS</t>
  </si>
  <si>
    <t>Net Income - Comprehensive Income</t>
  </si>
  <si>
    <t>ARDR_COMPR_INCOME_NET_INC</t>
  </si>
  <si>
    <t xml:space="preserve">  Others</t>
  </si>
  <si>
    <t>Partial Record Indicator</t>
  </si>
  <si>
    <t>PARTIAL_RECORD_INDICATOR</t>
  </si>
  <si>
    <t>n/a</t>
  </si>
  <si>
    <t>Amortization Expense</t>
  </si>
  <si>
    <t>ARDR_AMORT_EXP</t>
  </si>
  <si>
    <t>R &amp; D Expenditures</t>
  </si>
  <si>
    <t>ARDR_R&amp;D_EXPENDITURES</t>
  </si>
  <si>
    <t>ARDR_DEPRECIATION_EXP</t>
  </si>
  <si>
    <t>Depreciation and Amortization</t>
  </si>
  <si>
    <t>ARDR_DEPRECIATION_AMORTIZATION</t>
  </si>
  <si>
    <t>ARDR_INT_EXP</t>
  </si>
  <si>
    <t>(Gain)/Loss On Sale of Assets</t>
  </si>
  <si>
    <t>ARDR_GL_ON_SALE_OF_ASSETS</t>
  </si>
  <si>
    <t>ARDR_WRITEDOWN_IMPAIR_OF_ASSETS</t>
  </si>
  <si>
    <t>ARDR_RESTRUCTURING_CHARGES</t>
  </si>
  <si>
    <t>Other One-Time Charges</t>
  </si>
  <si>
    <t>ARDR_OTHER_ONE_TIME_CHARGES</t>
  </si>
  <si>
    <t>ARDR_INCOME_TAX_EXP_BENEFIT</t>
  </si>
  <si>
    <t>Foreign Currency Translation Adjustments</t>
  </si>
  <si>
    <t>ARDR_FOR_CRNCY_TRANSLATION_ADJ</t>
  </si>
  <si>
    <t>Change In Fair Value of Derivatives</t>
  </si>
  <si>
    <t>ARDR_CHG_FAIR_VAL_OF_DERIVATIVES</t>
  </si>
  <si>
    <t>ARDR Pension Related Adjustments</t>
  </si>
  <si>
    <t>ARDR_PENSION_RELATED_ADJUSTMENTS</t>
  </si>
  <si>
    <t>Other Comprehensive Income</t>
  </si>
  <si>
    <t>ARDR_OTHER_COMPREHENSIVE_INCOME</t>
  </si>
  <si>
    <t>ARDR_TOTAL_CASH_COMMON_DVD</t>
  </si>
  <si>
    <t>Projected Benefit Obligation</t>
  </si>
  <si>
    <t>ARDR_PROJECTED_BENEFIT_OBLIG</t>
  </si>
  <si>
    <t>Fair Value of Plan Assets</t>
  </si>
  <si>
    <t>ARDR_FAIR_VALUE_OF_PLAN_ASSETS</t>
  </si>
  <si>
    <t>ARDR_DVD_PER_SH</t>
  </si>
  <si>
    <t>ARDR_BASIC_EPS</t>
  </si>
  <si>
    <t>ARDR_WEIGHTED_AVG_SHARES_BASIC</t>
  </si>
  <si>
    <t>ARDR_DILUTED_EPS</t>
  </si>
  <si>
    <t>ARDR_WEIGHTED_AVG_SHARE_DILUTED</t>
  </si>
  <si>
    <t>Pension Expense (Income)</t>
  </si>
  <si>
    <t>ARDR_PENSION_EXP_INCOME</t>
  </si>
  <si>
    <t>Service Cost</t>
  </si>
  <si>
    <t>ARDR_SRVC_COST</t>
  </si>
  <si>
    <t>Overfunded (Underfunded) Pension</t>
  </si>
  <si>
    <t>ARDR_OVER_UNDERFUNDED_PENSION</t>
  </si>
  <si>
    <t>(Over/Underfunded) Post Retirement Benefit</t>
  </si>
  <si>
    <t>ARDR_OVER_UNDER_POST_RETIRE_BEN</t>
  </si>
  <si>
    <t>Expected Return On Plan Assets - Pension %</t>
  </si>
  <si>
    <t>ARDR_EXP_RET_ON_PLAN_ASSET_PENS</t>
  </si>
  <si>
    <t>Discount Rate Used On Plan Liabs-Pension %</t>
  </si>
  <si>
    <t>ARDR_DISC_RATE_USED_LIAB_PENS</t>
  </si>
  <si>
    <t>Rate of Compensation Increase(Pension) - %</t>
  </si>
  <si>
    <t>ARDR_RATE_OF_COMP_INCR_PENSION</t>
  </si>
  <si>
    <t>Healthcare Cost Trend Actual-Current Yr  %</t>
  </si>
  <si>
    <t>ARDR_HEALTH_COST_TREND_CUR_YR</t>
  </si>
  <si>
    <t>Healthcare Cost Trend Projected Next Yr -%</t>
  </si>
  <si>
    <t>ARDR_HEALTH_COST_TREND_NXT_YR</t>
  </si>
  <si>
    <t>Actual Return/Loss On Pension Plan Assets</t>
  </si>
  <si>
    <t>ARDR_ACT_RET_LOSS_ON_PENS_PLAN</t>
  </si>
  <si>
    <t>Disc Rate Used On Liabs-Other/Healthcare %</t>
  </si>
  <si>
    <t>ARDR_DISC_RATE_USED_LIAB_HEALTH</t>
  </si>
  <si>
    <t>Stock Based Compensation Expense</t>
  </si>
  <si>
    <t>ARDR_STK_BASED_COMPENSATION_EXP</t>
  </si>
  <si>
    <t>Total Comprehensive Income</t>
  </si>
  <si>
    <t>ARDR_TOTAL_COMPREHENSIVE_INCOME</t>
  </si>
  <si>
    <t>ARDR_MERGER_ACQUISITION_EXPENSE</t>
  </si>
  <si>
    <t>Fair Value of Post Retirement Plan Assets</t>
  </si>
  <si>
    <t>ARDR_FAIR_VAL_POST_RETIRE_ASSETS</t>
  </si>
  <si>
    <t>Projected Post Retirement Benefit Oblig</t>
  </si>
  <si>
    <t>ARDR_PROJ_POST_RETIRE_BEN_OBLIG</t>
  </si>
  <si>
    <t>Amortization of Intangible Assets</t>
  </si>
  <si>
    <t>ARDR_AMORT_OF_INTANGIBLE_ASSETS</t>
  </si>
  <si>
    <t>Impairment of Goodwill</t>
  </si>
  <si>
    <t>ARDR_IMPAIRMENT_OF_GOODWILL</t>
  </si>
  <si>
    <t>Current Income Tax Expense (Benefit)</t>
  </si>
  <si>
    <t>ARDR_CUR_INCOME_TAX_EXP_BENEFIT</t>
  </si>
  <si>
    <t>Deferred Income Tax Expense (Benefit)</t>
  </si>
  <si>
    <t>ARDR_DEFERRED_INC_TAX_EXP_BEN</t>
  </si>
  <si>
    <t>Actuarial Gains and Losses - Pension Exp</t>
  </si>
  <si>
    <t>ARDR_ACTUARIAL_GAIN_LOSS_PEN_EXP</t>
  </si>
  <si>
    <t>Adjusted Net Income-As Reported</t>
  </si>
  <si>
    <t>ARD_ADJ_NET_INCOME_AS_REPORTED</t>
  </si>
  <si>
    <t>Effective Tax Rate - %</t>
  </si>
  <si>
    <t>ARDR_EFFECTIVE_TAX_RATE_PCT</t>
  </si>
  <si>
    <t>Employer Contribution (Pension)</t>
  </si>
  <si>
    <t>ARDR_EMPLOYER_CONTRIB_PENSION</t>
  </si>
  <si>
    <t>Benefits Paid (Pension)</t>
  </si>
  <si>
    <t>ARDR_BENEFITS_PAID_PENSION</t>
  </si>
  <si>
    <t>Employer Contribution (Postretirement)</t>
  </si>
  <si>
    <t>ARDR_EMPLOYER_CONTRIB_POST_RETIR</t>
  </si>
  <si>
    <t>Benefits Paid (Postretirement)</t>
  </si>
  <si>
    <t>ARDR_BENEFITS_PAID_POST_RETIR</t>
  </si>
  <si>
    <t>Interest Cost (Pension)</t>
  </si>
  <si>
    <t>ARDR_INTEREST_COST_PENSION</t>
  </si>
  <si>
    <t>Expected Return On Pension Plan Assets</t>
  </si>
  <si>
    <t>ARDR_EXPECT_RET_PENSION_ASSETS</t>
  </si>
  <si>
    <t>Pension Plan Asset Category-Equities %</t>
  </si>
  <si>
    <t>ARDR_PENSION_PLAN_ASSET_EQUITIES</t>
  </si>
  <si>
    <t>Pension Plan Asset Category-Debt %</t>
  </si>
  <si>
    <t>ARDR_PENSION_PLAN_ASSET_DEBT</t>
  </si>
  <si>
    <t>Adjusted EPS</t>
  </si>
  <si>
    <t>ARDR_ADJUSTED_EPS</t>
  </si>
  <si>
    <t>Pension Plan Asset Category-Other  %</t>
  </si>
  <si>
    <t>ARDR_PENSION_PLAN_ASSET_OTHER</t>
  </si>
  <si>
    <t>Accumulated Benefit Obligation (Pension)</t>
  </si>
  <si>
    <t>ARDR_ACCU_BENEFIT_OBL_PENSION</t>
  </si>
  <si>
    <t xml:space="preserve"> EBITDA - IS</t>
  </si>
  <si>
    <t>ARD_REF_EBITDA_IS</t>
  </si>
  <si>
    <t>Loss/(Recovery) Impair Intangible Assets</t>
  </si>
  <si>
    <t>ARDR_LOSS_RECOVERY_IMPAIR_INTANG</t>
  </si>
  <si>
    <t>R &amp; D Expenses Within SG&amp;A</t>
  </si>
  <si>
    <t>ARDR_R&amp;D_EXPENSES_WITHIN_SGA</t>
  </si>
  <si>
    <t>Statutory Tax Rate - %</t>
  </si>
  <si>
    <t>ARDR_STATUTORY_TAX_RATE_PCT</t>
  </si>
  <si>
    <t>Tax Provision/Benefit - Non-Recurring</t>
  </si>
  <si>
    <t>ARDR_TAX_PROV_BENEFIT_NONREC</t>
  </si>
  <si>
    <t>ARDR Acquisition Mergers After Tax</t>
  </si>
  <si>
    <t>ARDR_ACQUISITION_MERGERS_AFT_TAX</t>
  </si>
  <si>
    <t>ARDR Restructuring After Tax</t>
  </si>
  <si>
    <t>ARDR_RESTRUCTURING_AFTER_TAX</t>
  </si>
  <si>
    <t>Advertising Expenses</t>
  </si>
  <si>
    <t>ARDR_ADVERTISING_EXPENSES</t>
  </si>
  <si>
    <t>ARDR Goodwill Impairment After Tax</t>
  </si>
  <si>
    <t>ARDR_GOODWILL_IMPAIRMENT_AFT_TAX</t>
  </si>
  <si>
    <t>Comprehensive Inc Attrib to Minority Int</t>
  </si>
  <si>
    <t>ARDR_COMPREHENSIVE_INC_ATTRIB_MI</t>
  </si>
  <si>
    <t>Pension Plan Asset Cat - Equities (Amt)</t>
  </si>
  <si>
    <t>ARDR_PENSION_PLAN_EQUITIES_AMT</t>
  </si>
  <si>
    <t>Pension Plan Asset Category - Debt (Amt)</t>
  </si>
  <si>
    <t>ARDR_PENSION_PLAN_DEBT_AMT</t>
  </si>
  <si>
    <t>Pension Plan Asset Cat -Real Est (Amt)</t>
  </si>
  <si>
    <t>ARDR_PENS_PLAN_REAL_ESTATE_AMT</t>
  </si>
  <si>
    <t>Pension Plan Asset Category - Cash (Amt)</t>
  </si>
  <si>
    <t>ARDR_PENSION_PLAN_CASH_AMT</t>
  </si>
  <si>
    <t>Pension Plan Asset Category - Other (Amt)</t>
  </si>
  <si>
    <t>ARDR_PENSION_PLAN_OTHER_AMT</t>
  </si>
  <si>
    <t>Service Cost (OPRB)</t>
  </si>
  <si>
    <t>ARDR_SERVICE_COST_OPRB</t>
  </si>
  <si>
    <t>Interest Cost (OPRB)</t>
  </si>
  <si>
    <t>ARDR_INTEREST_COST_OPRB</t>
  </si>
  <si>
    <t>OPRB Expense (Income)</t>
  </si>
  <si>
    <t>ARDR_OPRB_EXPENSE_INCOME</t>
  </si>
  <si>
    <t>Expected Pension Benefit Payments - Year 1</t>
  </si>
  <si>
    <t>ARDR_EXPCTD_PEN_BEN_PYMTS_YR_1</t>
  </si>
  <si>
    <t>Expected Pension Benefit Payments - Year 2</t>
  </si>
  <si>
    <t>ARDR_EXPCTD_PEN_BEN_PYMTS_YR_2</t>
  </si>
  <si>
    <t>Expected Pension Benefit Payments - Year 3</t>
  </si>
  <si>
    <t>ARDR_EXPCTD_PEN_BEN_PYMTS_YR_3</t>
  </si>
  <si>
    <t>Expected Pension Benefit Payments - Year 4</t>
  </si>
  <si>
    <t>ARDR_EXPCTD_PEN_BEN_PYMTS_YR_4</t>
  </si>
  <si>
    <t>Expected Pension Benefit Payments - Year 5</t>
  </si>
  <si>
    <t>ARDR_EXPCTD_PEN_BEN_PYMTS_YR_5</t>
  </si>
  <si>
    <t>Expected Pension Benefit Pmts Beyond Yr 5</t>
  </si>
  <si>
    <t>ARDR_EXP_PEN_BFIT_PYMTS_BYND_YR5</t>
  </si>
  <si>
    <t>Adjusted EBIT/Non-GAAP Operating Income</t>
  </si>
  <si>
    <t>ARDR_ADJ_EBIT_NON_GAAP_OP_INC</t>
  </si>
  <si>
    <t>Stock-Based Compensation Attrib to SG&amp;A</t>
  </si>
  <si>
    <t>ARDR_STOCK_BASED_CMPNSTN_IN_SG&amp;A</t>
  </si>
  <si>
    <t>Income Tax Exp - Current Taxes (Intl)</t>
  </si>
  <si>
    <t>ARDR_ITE_CURRENT_TAX_INTL</t>
  </si>
  <si>
    <t>Income Tax Exp - Current Taxes (National)</t>
  </si>
  <si>
    <t>ARDR_ITE_CURRENT_TAX_NATL</t>
  </si>
  <si>
    <t>Income Tax Exp - Current Taxes (Local)</t>
  </si>
  <si>
    <t>ARDR_ITE_CURRENT_TAX_LCL</t>
  </si>
  <si>
    <t>Income Tax Exp - Deferred Taxes (Intl)</t>
  </si>
  <si>
    <t>ARDR_INC_DEFERRED_TAX_INTL</t>
  </si>
  <si>
    <t>Income Tax Exp - Deferred Taxes (National)</t>
  </si>
  <si>
    <t>ARDR_ITE_DEFERRED_TAX_NATL</t>
  </si>
  <si>
    <t>Income Tax Exp - Deferred Taxes (Local)</t>
  </si>
  <si>
    <t>ARDR_ITE_DEFERRED_TAX_LCL</t>
  </si>
  <si>
    <t>Expected Oth Postretirement Ben Pymts Y1</t>
  </si>
  <si>
    <t>ARDR_EXPCTD_OPRB_PYMTS_YR_1</t>
  </si>
  <si>
    <t>Expected Oth Postretirement Ben Pymts Y2</t>
  </si>
  <si>
    <t>ARDR_EXPCTD_OPRB_PYMTS_YR_2</t>
  </si>
  <si>
    <t>Expected Oth Postretirement Ben Pymts Y3</t>
  </si>
  <si>
    <t>ARDR_EXPCTD_OPRB_PYMTS_YR_3</t>
  </si>
  <si>
    <t>Expected Oth Postretirement Ben Pymts Y4</t>
  </si>
  <si>
    <t>ARDR_EXPCTD_OPRB_PYMTS_YR_4</t>
  </si>
  <si>
    <t>Expected Oth Postretirement Ben Pymts Y5</t>
  </si>
  <si>
    <t>ARDR_EXPCTD_OPRB_PYMTS_YR_5</t>
  </si>
  <si>
    <t>Expected Oth Postretire Ben Pymts Bynd Y5</t>
  </si>
  <si>
    <t>ARDR_EXPCTD_OPRB_PYMTS_BYND_YR_5</t>
  </si>
  <si>
    <t>Non-GAAP Gross Margin Percentage</t>
  </si>
  <si>
    <t>ARDR_NON_GAAP_GROSS_MARGIN_PCT</t>
  </si>
  <si>
    <t>Restructuring/Workflow Bal - Non-GAAP COGS</t>
  </si>
  <si>
    <t>ARDR_RSTRCT_WF_BAL_NON_GAAP_COGS</t>
  </si>
  <si>
    <t>Acquisition Related Charges - Non-GAAP SGA</t>
  </si>
  <si>
    <t>ARDR_ACQ_REL_CHRGS_NON_GAAP_SG&amp;A</t>
  </si>
  <si>
    <t>Other Adjustments - Non-GAAP COGS</t>
  </si>
  <si>
    <t>ARDR_OTH_ADJ_NON_GAAP_COGS</t>
  </si>
  <si>
    <t>Tax Effect on Non-GAAP Adjustments</t>
  </si>
  <si>
    <t>ARDR_TAX_EFFECT_NON_GAAP_ADJ</t>
  </si>
  <si>
    <t>Other Expenses or Income - Pension</t>
  </si>
  <si>
    <t>ARDR_OTHER_EXP_INC_PENSION</t>
  </si>
  <si>
    <t>Amortization Prior Service Cost - OPEB</t>
  </si>
  <si>
    <t>ARDR_AMORT_PR_SERVICE_CST_OPEB</t>
  </si>
  <si>
    <t>Other Expenses or Income - OPEB</t>
  </si>
  <si>
    <t>ARDR_OTHER_EXP_INC_OPEB</t>
  </si>
  <si>
    <t>Unrecognized Transitional Oblig - OPEB</t>
  </si>
  <si>
    <t>ARDR_UNRECOG_TRANS_OBLIG_OPEB</t>
  </si>
  <si>
    <t>Target Pension Plan Asset Cat Equities %</t>
  </si>
  <si>
    <t>ARDR_TGT_PNSN_AST_CAT_EQUITIES_%</t>
  </si>
  <si>
    <t>Target Pension Plan Asset Category Debt %</t>
  </si>
  <si>
    <t>ARDR_TGT_PNSN_ASSET_CAT_DEBT_%</t>
  </si>
  <si>
    <t>Target Pension Plan Asset Category Other %</t>
  </si>
  <si>
    <t>ARDR_TGT_PNSN_ASSET_CAT_OTHER_%</t>
  </si>
  <si>
    <t>ARDR Restructuring Workflow Balance Non-GAAP EPS</t>
  </si>
  <si>
    <t>ARDR_REST_WF_BAL_NON-GAAP_EPS</t>
  </si>
  <si>
    <t>ARDR Acquisition Related Charges Non-GAAP EPS</t>
  </si>
  <si>
    <t>ARDR_ACQ_REL_CHRG_NON-GAAP_EPS</t>
  </si>
  <si>
    <t>ARDR Tax Provision Benefit Non-GAAP EPS</t>
  </si>
  <si>
    <t>ARDR_TAX_PROV_BFIT_NON-GAAP_EPS</t>
  </si>
  <si>
    <t>Sales Change - Prices</t>
  </si>
  <si>
    <t>ARDR_SALES_CHANGE_PRICES</t>
  </si>
  <si>
    <t>ARDR Currency Effect on Sales Growth</t>
  </si>
  <si>
    <t>ARDR_CRNCY_EFFECT_ON_SALES_GRWTH</t>
  </si>
  <si>
    <t>ARDR Pension Plan Asset Cat Private Equities Amt</t>
  </si>
  <si>
    <t>ARDR_PEN_PLN_AST_CAT_PRIV_EQ_AMT</t>
  </si>
  <si>
    <t>ARDR Pension Plan Asset Category Hedge Funds Amt</t>
  </si>
  <si>
    <t>ARDR_PEN_PLN_AST_CAT_HDG_FDS_AMT</t>
  </si>
  <si>
    <t>ARDR EBIT Margin</t>
  </si>
  <si>
    <t>ARDR_EBIT_MARGIN</t>
  </si>
  <si>
    <t>ARDR Gross Margin</t>
  </si>
  <si>
    <t>ARDR_GROSS_MARGIN</t>
  </si>
  <si>
    <t>ARDR Revenue Growth</t>
  </si>
  <si>
    <t>ARDR_REVENUE_GROWTH</t>
  </si>
  <si>
    <t>ARDR Adjusted Operating Margin</t>
  </si>
  <si>
    <t>ARDR_ADJUSTED_OPERATING_MARGIN</t>
  </si>
  <si>
    <t>Capital Expenditures As Reported</t>
  </si>
  <si>
    <t>ARDR_CAPEX_AS_REPORTED</t>
  </si>
  <si>
    <t>ARDR Stock Based Compensation CF Pre Tax</t>
  </si>
  <si>
    <t>ARDR_STK_BSD_CMPNSTN_CF_PRE_TAX</t>
  </si>
  <si>
    <t>ARDR Non GAAP Income Tax Expense</t>
  </si>
  <si>
    <t>ARDR_NON_GAAP_INCOME_TAX_EXPENSE</t>
  </si>
  <si>
    <t>EBITDA Adjusted (One Time Items)</t>
  </si>
  <si>
    <t>ARDR_ADJUSTED_EBITDA</t>
  </si>
  <si>
    <t>Capitalized Interest</t>
  </si>
  <si>
    <t>ARDR_CAPITALIZED_INTEREST</t>
  </si>
  <si>
    <t>Cash Flow</t>
  </si>
  <si>
    <t xml:space="preserve">  Cash From Operating Activities</t>
  </si>
  <si>
    <t>Net Income - CF</t>
  </si>
  <si>
    <t>ARD_NET_INCOME_CF</t>
  </si>
  <si>
    <t>Depreciation And Amortization - CF</t>
  </si>
  <si>
    <t>ARD_DEPRECIATION_AND_AMORT_CF</t>
  </si>
  <si>
    <t>Deferred Income Taxes - CF</t>
  </si>
  <si>
    <t>ARD_DEFERRED_INCOME_TAXES_CF</t>
  </si>
  <si>
    <t>Disposal/Sale of Assets</t>
  </si>
  <si>
    <t>ARD_DISPOSAL_SALE_OF_ASSETS</t>
  </si>
  <si>
    <t>Stock Based Compensation</t>
  </si>
  <si>
    <t>ARD_STOCK_BASED_COMPENSATION</t>
  </si>
  <si>
    <t>Other Non-Cash Items</t>
  </si>
  <si>
    <t>ARD_OTHER_NON_CASH_ITEMS</t>
  </si>
  <si>
    <t>Change in Inventories</t>
  </si>
  <si>
    <t>ARD_CHANGE_IN_INVENTORIES</t>
  </si>
  <si>
    <t>Change in Accounts Payable</t>
  </si>
  <si>
    <t>ARD_CHANGE_IN_ACCOUNTS_PAYABLE</t>
  </si>
  <si>
    <t>Change in Accounts Receivable</t>
  </si>
  <si>
    <t>ARD_CHG_IN_ACCOUNTS_RECEIVABLE</t>
  </si>
  <si>
    <t>Equity In Earnings Of Affiliates/JV-CF</t>
  </si>
  <si>
    <t>ARD_EQY_IN_EARN_OF_AFF_JV_CF</t>
  </si>
  <si>
    <t>Impairments</t>
  </si>
  <si>
    <t>ARD_IMPAIRMENTS</t>
  </si>
  <si>
    <t>Total Cash Flows From Operations</t>
  </si>
  <si>
    <t>ARD_TOT_CASH_FLOWS_FROM_OPS</t>
  </si>
  <si>
    <t>Change in Other Current Assets and Liabilities</t>
  </si>
  <si>
    <t>ARD_CHG_IN_OTH_CUR_ASSETS_LIAB</t>
  </si>
  <si>
    <t>Change In Other Assets And Liabilities</t>
  </si>
  <si>
    <t>ARD_CHG_OTH_ASSETS_LIAB</t>
  </si>
  <si>
    <t xml:space="preserve">  Cash From Investing Activities</t>
  </si>
  <si>
    <t>Disposal of Fixed Assets</t>
  </si>
  <si>
    <t>ARD_DISPOSAL_OF_FIXED_ASSETS</t>
  </si>
  <si>
    <t>Capital Expenditures</t>
  </si>
  <si>
    <t>ARD_CAPITAL_EXPENDITURES</t>
  </si>
  <si>
    <t>Acquisition of Business</t>
  </si>
  <si>
    <t>ARD_ACQUISITION_OF_BUSINESS</t>
  </si>
  <si>
    <t>Other Investing Activities</t>
  </si>
  <si>
    <t>ARD_OTHER_INVESTING_ACTIVITIES</t>
  </si>
  <si>
    <t>Divestiture of Business</t>
  </si>
  <si>
    <t>ARD_DIVESTITURE_OF_BUSINESS</t>
  </si>
  <si>
    <t>Total Cash Flows From Investing</t>
  </si>
  <si>
    <t>ARD_TOT_CASHFLOWS_FROM_INVESTING</t>
  </si>
  <si>
    <t xml:space="preserve">  Cash from Financing Activities</t>
  </si>
  <si>
    <t>Dividends Paid</t>
  </si>
  <si>
    <t>ARD_DIVIDEND_PD</t>
  </si>
  <si>
    <t>Increase (Decrease) Short-Term Borrowings -Net</t>
  </si>
  <si>
    <t>ARD_INCR_DECR_ST_BORROW_NET</t>
  </si>
  <si>
    <t>Increase In Long-Term Borrowings</t>
  </si>
  <si>
    <t>ARD_INCR_IN_LT_BORROW</t>
  </si>
  <si>
    <t>Decrease In Long-Term Borrowings</t>
  </si>
  <si>
    <t>ARD_DECR_IN_LT_BORROW</t>
  </si>
  <si>
    <t>Issuance of Common Stock</t>
  </si>
  <si>
    <t>ARD_ISSUANCE_OF_COMMON_STOCK</t>
  </si>
  <si>
    <t>Repurchase of Common Stock</t>
  </si>
  <si>
    <t>ARD_REPURCHASE_OF_COMMON_STOCK</t>
  </si>
  <si>
    <t>Effect of Exchange Rates On Cash</t>
  </si>
  <si>
    <t>ARD_EFF_OF_EXCH_RATES_ON_CASH</t>
  </si>
  <si>
    <t>Debt Financing/Issuance Costs</t>
  </si>
  <si>
    <t>ARD_DEBT_FIN_ISSUANCE_COSTS</t>
  </si>
  <si>
    <t>Other Financing Activities</t>
  </si>
  <si>
    <t>ARD_OTHER_FINANCING_ACTIVITIES</t>
  </si>
  <si>
    <t>Exercise of Stock Options</t>
  </si>
  <si>
    <t>ARD_EXERCISE_OF_STOCK_OPTIONS</t>
  </si>
  <si>
    <t>Net Change In Cash</t>
  </si>
  <si>
    <t>ARD_NET_CHANGE_IN_CASH</t>
  </si>
  <si>
    <t>Cash and Cash Equivalents (End of Period)</t>
  </si>
  <si>
    <t>ARD_CASH_CASH_EQUIV_END_OF_PER</t>
  </si>
  <si>
    <t>Cash and Cash Equivalents (Beg of Period)</t>
  </si>
  <si>
    <t>ARD_CASH_CASH_EQUIV_BEG_OF_PER</t>
  </si>
  <si>
    <t>Minority Interest - CF (Financing)</t>
  </si>
  <si>
    <t>ARD_MINORITY_INTEREST_CF_FIN</t>
  </si>
  <si>
    <t>Stock Issuance Costs</t>
  </si>
  <si>
    <t>ARD_STOCK_ISSUANCE_COSTS</t>
  </si>
  <si>
    <t>Increase In Short-Term Borrowings</t>
  </si>
  <si>
    <t>ARD_INCR_IN_ST_BORROW</t>
  </si>
  <si>
    <t>Total Cash Flows From Financing</t>
  </si>
  <si>
    <t>ARD_TOT_CASHFLOWS_FROM_FINANCING</t>
  </si>
  <si>
    <t>Cash Paid For Taxes</t>
  </si>
  <si>
    <t>ARDR_CASH_PAID_FOR_TAXES</t>
  </si>
  <si>
    <t>Cash Paid For Interest</t>
  </si>
  <si>
    <t>ARDR_CASH_PAID_FOR_INTEREST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</si>
</sst>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%"/>
    <numFmt numFmtId="166" formatCode="0.0"/>
    <numFmt numFmtId="167" formatCode="&quot;$&quot;#,##0.00"/>
    <numFmt numFmtId="168" formatCode="&quot;$&quot;#,##0.000"/>
    <numFmt numFmtId="169" formatCode="#,##0.0"/>
    <numFmt numFmtId="170" formatCode="mm/dd/yyyy"/>
    <numFmt numFmtId="171" formatCode="0.0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indexed="9"/>
      <name val="Calibri"/>
      <family val="2"/>
    </font>
    <font>
      <b/>
      <sz val="10"/>
      <color indexed="9"/>
      <name val="Arial"/>
      <family val="2"/>
    </font>
    <font>
      <b/>
      <sz val="10"/>
      <color indexed="8"/>
      <name val="Arial"/>
      <family val="2"/>
    </font>
    <font>
      <sz val="10"/>
      <color indexed="63"/>
      <name val="Arial"/>
      <family val="2"/>
    </font>
    <font>
      <sz val="10"/>
      <color indexed="8"/>
      <name val="Arial"/>
      <family val="2"/>
    </font>
    <font>
      <i/>
      <sz val="10"/>
      <color indexed="63"/>
      <name val="Arial"/>
      <family val="2"/>
    </font>
    <font>
      <i/>
      <sz val="10"/>
      <color indexed="8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0"/>
      <color indexed="63"/>
      <name val="Arial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3" tint="0.39997558519241921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6">
    <xf numFmtId="0" fontId="0" fillId="0" borderId="0"/>
    <xf numFmtId="9" fontId="2" fillId="0" borderId="0" applyFont="0" applyFill="0" applyBorder="0" applyAlignment="0" applyProtection="0"/>
    <xf numFmtId="0" fontId="4" fillId="5" borderId="0"/>
    <xf numFmtId="0" fontId="5" fillId="5" borderId="4">
      <alignment horizontal="left"/>
    </xf>
    <xf numFmtId="0" fontId="5" fillId="5" borderId="4">
      <alignment horizontal="right"/>
    </xf>
    <xf numFmtId="0" fontId="5" fillId="5" borderId="5">
      <alignment horizontal="right"/>
    </xf>
    <xf numFmtId="0" fontId="6" fillId="6" borderId="6"/>
    <xf numFmtId="3" fontId="6" fillId="6" borderId="7">
      <alignment horizontal="right"/>
    </xf>
    <xf numFmtId="0" fontId="7" fillId="6" borderId="6"/>
    <xf numFmtId="169" fontId="8" fillId="6" borderId="7">
      <alignment horizontal="right"/>
    </xf>
    <xf numFmtId="169" fontId="6" fillId="6" borderId="7">
      <alignment horizontal="right"/>
    </xf>
    <xf numFmtId="0" fontId="9" fillId="6" borderId="6"/>
    <xf numFmtId="169" fontId="10" fillId="6" borderId="7">
      <alignment horizontal="right"/>
    </xf>
    <xf numFmtId="3" fontId="8" fillId="6" borderId="7">
      <alignment horizontal="right"/>
    </xf>
    <xf numFmtId="4" fontId="8" fillId="6" borderId="7">
      <alignment horizontal="right"/>
    </xf>
    <xf numFmtId="0" fontId="10" fillId="7" borderId="3" applyNumberFormat="0" applyAlignment="0" applyProtection="0"/>
  </cellStyleXfs>
  <cellXfs count="66">
    <xf numFmtId="0" fontId="0" fillId="0" borderId="0" xfId="0"/>
    <xf numFmtId="0" fontId="1" fillId="0" borderId="0" xfId="0" applyFont="1"/>
    <xf numFmtId="9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Border="1"/>
    <xf numFmtId="164" fontId="0" fillId="0" borderId="0" xfId="1" applyNumberFormat="1" applyFont="1"/>
    <xf numFmtId="164" fontId="0" fillId="0" borderId="0" xfId="0" applyNumberFormat="1"/>
    <xf numFmtId="0" fontId="0" fillId="0" borderId="0" xfId="0" applyFont="1" applyBorder="1"/>
    <xf numFmtId="9" fontId="0" fillId="0" borderId="0" xfId="1" applyFont="1"/>
    <xf numFmtId="9" fontId="3" fillId="0" borderId="0" xfId="0" applyNumberFormat="1" applyFont="1"/>
    <xf numFmtId="166" fontId="0" fillId="0" borderId="0" xfId="0" applyNumberFormat="1"/>
    <xf numFmtId="167" fontId="0" fillId="0" borderId="0" xfId="0" applyNumberFormat="1"/>
    <xf numFmtId="167" fontId="3" fillId="0" borderId="0" xfId="0" applyNumberFormat="1" applyFont="1"/>
    <xf numFmtId="168" fontId="0" fillId="0" borderId="0" xfId="0" applyNumberFormat="1"/>
    <xf numFmtId="0" fontId="1" fillId="4" borderId="1" xfId="0" applyFont="1" applyFill="1" applyBorder="1"/>
    <xf numFmtId="0" fontId="0" fillId="4" borderId="1" xfId="0" applyFill="1" applyBorder="1"/>
    <xf numFmtId="167" fontId="0" fillId="4" borderId="1" xfId="0" applyNumberFormat="1" applyFill="1" applyBorder="1"/>
    <xf numFmtId="0" fontId="1" fillId="3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2" borderId="3" xfId="0" applyFill="1" applyBorder="1"/>
    <xf numFmtId="167" fontId="0" fillId="2" borderId="3" xfId="1" applyNumberFormat="1" applyFont="1" applyFill="1" applyBorder="1"/>
    <xf numFmtId="0" fontId="0" fillId="2" borderId="2" xfId="0" applyFill="1" applyBorder="1" applyAlignment="1">
      <alignment horizontal="left" indent="1"/>
    </xf>
    <xf numFmtId="0" fontId="0" fillId="2" borderId="2" xfId="0" applyFill="1" applyBorder="1"/>
    <xf numFmtId="9" fontId="0" fillId="2" borderId="2" xfId="1" applyFont="1" applyFill="1" applyBorder="1"/>
    <xf numFmtId="1" fontId="0" fillId="0" borderId="0" xfId="0" applyNumberFormat="1"/>
    <xf numFmtId="0" fontId="5" fillId="5" borderId="4" xfId="3" applyNumberFormat="1" applyFont="1" applyFill="1" applyBorder="1" applyAlignment="1" applyProtection="1">
      <alignment horizontal="left"/>
    </xf>
    <xf numFmtId="0" fontId="5" fillId="5" borderId="4" xfId="4" applyNumberFormat="1" applyFont="1" applyFill="1" applyBorder="1" applyAlignment="1" applyProtection="1">
      <alignment horizontal="right"/>
    </xf>
    <xf numFmtId="0" fontId="6" fillId="6" borderId="6" xfId="6" applyNumberFormat="1" applyFont="1" applyFill="1" applyBorder="1" applyAlignment="1" applyProtection="1"/>
    <xf numFmtId="3" fontId="6" fillId="6" borderId="7" xfId="7" applyNumberFormat="1" applyFont="1" applyFill="1" applyBorder="1" applyAlignment="1" applyProtection="1">
      <alignment horizontal="right"/>
    </xf>
    <xf numFmtId="0" fontId="7" fillId="6" borderId="6" xfId="8" applyNumberFormat="1" applyFont="1" applyFill="1" applyBorder="1" applyAlignment="1" applyProtection="1"/>
    <xf numFmtId="169" fontId="8" fillId="6" borderId="7" xfId="9" applyNumberFormat="1" applyFont="1" applyFill="1" applyBorder="1" applyAlignment="1" applyProtection="1">
      <alignment horizontal="right"/>
    </xf>
    <xf numFmtId="169" fontId="6" fillId="6" borderId="7" xfId="10" applyNumberFormat="1" applyFont="1" applyFill="1" applyBorder="1" applyAlignment="1" applyProtection="1">
      <alignment horizontal="right"/>
    </xf>
    <xf numFmtId="3" fontId="8" fillId="6" borderId="7" xfId="13" applyNumberFormat="1" applyFont="1" applyFill="1" applyBorder="1" applyAlignment="1" applyProtection="1">
      <alignment horizontal="right"/>
    </xf>
    <xf numFmtId="4" fontId="8" fillId="6" borderId="7" xfId="14" applyNumberFormat="1" applyFont="1" applyFill="1" applyBorder="1" applyAlignment="1" applyProtection="1">
      <alignment horizontal="right"/>
    </xf>
    <xf numFmtId="0" fontId="10" fillId="7" borderId="3" xfId="15" applyFont="1" applyFill="1" applyBorder="1"/>
    <xf numFmtId="170" fontId="0" fillId="0" borderId="0" xfId="0" applyNumberFormat="1" applyAlignment="1">
      <alignment horizontal="left"/>
    </xf>
    <xf numFmtId="171" fontId="0" fillId="0" borderId="0" xfId="0" applyNumberFormat="1" applyAlignment="1">
      <alignment horizontal="right"/>
    </xf>
    <xf numFmtId="0" fontId="5" fillId="5" borderId="0" xfId="3" applyNumberFormat="1" applyFont="1" applyFill="1" applyBorder="1" applyAlignment="1" applyProtection="1">
      <alignment horizontal="left"/>
    </xf>
    <xf numFmtId="0" fontId="7" fillId="6" borderId="0" xfId="8" applyNumberFormat="1" applyFont="1" applyFill="1" applyBorder="1" applyAlignment="1" applyProtection="1"/>
    <xf numFmtId="0" fontId="8" fillId="6" borderId="0" xfId="6" applyNumberFormat="1" applyFont="1" applyFill="1" applyBorder="1" applyAlignment="1" applyProtection="1"/>
    <xf numFmtId="0" fontId="7" fillId="6" borderId="0" xfId="11" applyNumberFormat="1" applyFont="1" applyFill="1" applyBorder="1" applyAlignment="1" applyProtection="1"/>
    <xf numFmtId="0" fontId="5" fillId="5" borderId="0" xfId="4" applyNumberFormat="1" applyFont="1" applyFill="1" applyBorder="1" applyAlignment="1" applyProtection="1">
      <alignment horizontal="right"/>
    </xf>
    <xf numFmtId="0" fontId="6" fillId="6" borderId="0" xfId="6" applyNumberFormat="1" applyFont="1" applyFill="1" applyBorder="1" applyAlignment="1" applyProtection="1"/>
    <xf numFmtId="169" fontId="8" fillId="6" borderId="0" xfId="9" applyNumberFormat="1" applyFont="1" applyFill="1" applyBorder="1" applyAlignment="1" applyProtection="1">
      <alignment horizontal="right"/>
    </xf>
    <xf numFmtId="169" fontId="6" fillId="6" borderId="0" xfId="10" applyNumberFormat="1" applyFont="1" applyFill="1" applyBorder="1" applyAlignment="1" applyProtection="1">
      <alignment horizontal="right"/>
    </xf>
    <xf numFmtId="169" fontId="10" fillId="6" borderId="0" xfId="12" applyNumberFormat="1" applyFont="1" applyFill="1" applyBorder="1" applyAlignment="1" applyProtection="1">
      <alignment horizontal="right"/>
    </xf>
    <xf numFmtId="3" fontId="8" fillId="6" borderId="0" xfId="13" applyNumberFormat="1" applyFont="1" applyFill="1" applyBorder="1" applyAlignment="1" applyProtection="1">
      <alignment horizontal="right"/>
    </xf>
    <xf numFmtId="4" fontId="8" fillId="6" borderId="0" xfId="14" applyNumberFormat="1" applyFont="1" applyFill="1" applyBorder="1" applyAlignment="1" applyProtection="1">
      <alignment horizontal="right"/>
    </xf>
    <xf numFmtId="0" fontId="1" fillId="0" borderId="0" xfId="0" applyFont="1" applyAlignment="1">
      <alignment horizontal="right"/>
    </xf>
    <xf numFmtId="0" fontId="0" fillId="0" borderId="0" xfId="0" applyBorder="1" applyAlignment="1">
      <alignment horizontal="right"/>
    </xf>
    <xf numFmtId="0" fontId="13" fillId="6" borderId="0" xfId="8" applyNumberFormat="1" applyFont="1" applyFill="1" applyBorder="1" applyAlignment="1" applyProtection="1"/>
    <xf numFmtId="0" fontId="13" fillId="6" borderId="0" xfId="8" applyNumberFormat="1" applyFont="1" applyFill="1" applyBorder="1" applyAlignment="1" applyProtection="1">
      <alignment horizontal="left"/>
    </xf>
    <xf numFmtId="0" fontId="13" fillId="6" borderId="0" xfId="8" applyNumberFormat="1" applyFont="1" applyFill="1" applyBorder="1" applyAlignment="1" applyProtection="1">
      <alignment horizontal="left" indent="2"/>
    </xf>
    <xf numFmtId="0" fontId="7" fillId="6" borderId="0" xfId="8" applyNumberFormat="1" applyFont="1" applyFill="1" applyBorder="1" applyAlignment="1" applyProtection="1">
      <alignment horizontal="left" indent="1"/>
    </xf>
    <xf numFmtId="169" fontId="6" fillId="6" borderId="0" xfId="9" applyNumberFormat="1" applyFont="1" applyFill="1" applyBorder="1" applyAlignment="1" applyProtection="1">
      <alignment horizontal="right"/>
    </xf>
    <xf numFmtId="0" fontId="13" fillId="6" borderId="1" xfId="8" applyNumberFormat="1" applyFont="1" applyFill="1" applyBorder="1" applyAlignment="1" applyProtection="1"/>
    <xf numFmtId="169" fontId="6" fillId="6" borderId="1" xfId="9" applyNumberFormat="1" applyFont="1" applyFill="1" applyBorder="1" applyAlignment="1" applyProtection="1">
      <alignment horizontal="right"/>
    </xf>
    <xf numFmtId="0" fontId="14" fillId="8" borderId="1" xfId="8" applyNumberFormat="1" applyFont="1" applyFill="1" applyBorder="1" applyAlignment="1" applyProtection="1">
      <alignment vertical="center"/>
    </xf>
    <xf numFmtId="169" fontId="15" fillId="8" borderId="1" xfId="9" applyNumberFormat="1" applyFont="1" applyFill="1" applyBorder="1" applyAlignment="1" applyProtection="1">
      <alignment horizontal="right" vertical="center"/>
    </xf>
    <xf numFmtId="169" fontId="8" fillId="6" borderId="0" xfId="10" applyNumberFormat="1" applyFont="1" applyFill="1" applyBorder="1" applyAlignment="1" applyProtection="1">
      <alignment horizontal="right"/>
    </xf>
    <xf numFmtId="3" fontId="8" fillId="6" borderId="0" xfId="7" applyNumberFormat="1" applyFont="1" applyFill="1" applyBorder="1" applyAlignment="1" applyProtection="1">
      <alignment horizontal="right"/>
    </xf>
    <xf numFmtId="0" fontId="7" fillId="6" borderId="0" xfId="11" applyNumberFormat="1" applyFont="1" applyFill="1" applyBorder="1" applyAlignment="1" applyProtection="1">
      <alignment horizontal="left" indent="1"/>
    </xf>
    <xf numFmtId="169" fontId="6" fillId="6" borderId="0" xfId="7" applyNumberFormat="1" applyFont="1" applyFill="1" applyBorder="1" applyAlignment="1" applyProtection="1">
      <alignment horizontal="right"/>
    </xf>
    <xf numFmtId="0" fontId="0" fillId="0" borderId="0" xfId="0" applyFont="1" applyBorder="1" applyAlignment="1">
      <alignment horizontal="right"/>
    </xf>
    <xf numFmtId="169" fontId="8" fillId="6" borderId="0" xfId="12" applyNumberFormat="1" applyFont="1" applyFill="1" applyBorder="1" applyAlignment="1" applyProtection="1">
      <alignment horizontal="right"/>
    </xf>
  </cellXfs>
  <cellStyles count="16">
    <cellStyle name="blp_column_header" xfId="2"/>
    <cellStyle name="fa_column_header_bottom" xfId="5"/>
    <cellStyle name="fa_column_header_top" xfId="4"/>
    <cellStyle name="fa_column_header_top_left" xfId="3"/>
    <cellStyle name="fa_data_bold_0_grouped" xfId="7"/>
    <cellStyle name="fa_data_bold_1_grouped" xfId="10"/>
    <cellStyle name="fa_data_italic_1_grouped" xfId="12"/>
    <cellStyle name="fa_data_standard_0_grouped" xfId="13"/>
    <cellStyle name="fa_data_standard_1_grouped" xfId="9"/>
    <cellStyle name="fa_data_standard_2_grouped" xfId="14"/>
    <cellStyle name="fa_footer_italic" xfId="15"/>
    <cellStyle name="fa_row_header_bold" xfId="6"/>
    <cellStyle name="fa_row_header_italic" xfId="11"/>
    <cellStyle name="fa_row_header_standard" xf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B1:AI45"/>
  <sheetViews>
    <sheetView showGridLines="0" topLeftCell="F1" zoomScale="130" zoomScaleNormal="130" workbookViewId="0">
      <selection activeCell="L18" sqref="L18"/>
    </sheetView>
  </sheetViews>
  <sheetFormatPr defaultRowHeight="15" x14ac:dyDescent="0.25"/>
  <cols>
    <col min="1" max="1" width="1.7109375" customWidth="1"/>
    <col min="2" max="2" width="58.5703125" customWidth="1"/>
    <col min="3" max="35" width="12.140625" customWidth="1"/>
  </cols>
  <sheetData>
    <row r="1" spans="2:35" ht="6" customHeight="1" x14ac:dyDescent="0.25"/>
    <row r="2" spans="2:35" s="19" customFormat="1" ht="19.5" customHeight="1" x14ac:dyDescent="0.25">
      <c r="B2" s="17" t="s">
        <v>24</v>
      </c>
      <c r="C2" s="18">
        <v>1987</v>
      </c>
      <c r="D2" s="18">
        <f>C2+1</f>
        <v>1988</v>
      </c>
      <c r="E2" s="18">
        <f t="shared" ref="E2:AB2" si="0">D2+1</f>
        <v>1989</v>
      </c>
      <c r="F2" s="18">
        <f t="shared" si="0"/>
        <v>1990</v>
      </c>
      <c r="G2" s="18">
        <f t="shared" si="0"/>
        <v>1991</v>
      </c>
      <c r="H2" s="18">
        <f t="shared" si="0"/>
        <v>1992</v>
      </c>
      <c r="I2" s="18">
        <f t="shared" si="0"/>
        <v>1993</v>
      </c>
      <c r="J2" s="18">
        <f t="shared" si="0"/>
        <v>1994</v>
      </c>
      <c r="K2" s="18">
        <f t="shared" si="0"/>
        <v>1995</v>
      </c>
      <c r="L2" s="18">
        <f t="shared" si="0"/>
        <v>1996</v>
      </c>
      <c r="M2" s="18">
        <f t="shared" si="0"/>
        <v>1997</v>
      </c>
      <c r="N2" s="18">
        <f t="shared" si="0"/>
        <v>1998</v>
      </c>
      <c r="O2" s="18">
        <f t="shared" si="0"/>
        <v>1999</v>
      </c>
      <c r="P2" s="18">
        <f t="shared" si="0"/>
        <v>2000</v>
      </c>
      <c r="Q2" s="18">
        <f t="shared" si="0"/>
        <v>2001</v>
      </c>
      <c r="R2" s="18">
        <f t="shared" si="0"/>
        <v>2002</v>
      </c>
      <c r="S2" s="18">
        <f t="shared" si="0"/>
        <v>2003</v>
      </c>
      <c r="T2" s="18">
        <f t="shared" si="0"/>
        <v>2004</v>
      </c>
      <c r="U2" s="18">
        <f t="shared" si="0"/>
        <v>2005</v>
      </c>
      <c r="V2" s="18">
        <f t="shared" si="0"/>
        <v>2006</v>
      </c>
      <c r="W2" s="18">
        <f t="shared" si="0"/>
        <v>2007</v>
      </c>
      <c r="X2" s="18">
        <f t="shared" si="0"/>
        <v>2008</v>
      </c>
      <c r="Y2" s="18">
        <f t="shared" si="0"/>
        <v>2009</v>
      </c>
      <c r="Z2" s="18">
        <f t="shared" si="0"/>
        <v>2010</v>
      </c>
      <c r="AA2" s="18">
        <f t="shared" si="0"/>
        <v>2011</v>
      </c>
      <c r="AB2" s="18">
        <f t="shared" si="0"/>
        <v>2012</v>
      </c>
      <c r="AC2" s="18">
        <f t="shared" ref="AC2:AI2" si="1">AB2+1</f>
        <v>2013</v>
      </c>
      <c r="AD2" s="18">
        <f t="shared" si="1"/>
        <v>2014</v>
      </c>
      <c r="AE2" s="18">
        <f t="shared" si="1"/>
        <v>2015</v>
      </c>
      <c r="AF2" s="18">
        <f t="shared" si="1"/>
        <v>2016</v>
      </c>
      <c r="AG2" s="18">
        <f t="shared" si="1"/>
        <v>2017</v>
      </c>
      <c r="AH2" s="18">
        <f t="shared" si="1"/>
        <v>2018</v>
      </c>
      <c r="AI2" s="18">
        <f t="shared" si="1"/>
        <v>2019</v>
      </c>
    </row>
    <row r="3" spans="2:35" x14ac:dyDescent="0.25">
      <c r="B3" t="s">
        <v>32</v>
      </c>
      <c r="C3" s="25">
        <v>0</v>
      </c>
      <c r="D3" s="25">
        <f>C3+1</f>
        <v>1</v>
      </c>
      <c r="E3" s="25">
        <f>D3+1</f>
        <v>2</v>
      </c>
      <c r="F3" s="25">
        <f t="shared" ref="F3:AB3" si="2">E3+1</f>
        <v>3</v>
      </c>
      <c r="G3" s="25">
        <f t="shared" si="2"/>
        <v>4</v>
      </c>
      <c r="H3" s="25">
        <f t="shared" si="2"/>
        <v>5</v>
      </c>
      <c r="I3" s="25">
        <f t="shared" si="2"/>
        <v>6</v>
      </c>
      <c r="J3" s="25">
        <f t="shared" si="2"/>
        <v>7</v>
      </c>
      <c r="K3" s="25">
        <f t="shared" si="2"/>
        <v>8</v>
      </c>
      <c r="L3" s="25">
        <f t="shared" si="2"/>
        <v>9</v>
      </c>
      <c r="M3" s="25">
        <f t="shared" si="2"/>
        <v>10</v>
      </c>
      <c r="N3" s="25">
        <f t="shared" si="2"/>
        <v>11</v>
      </c>
      <c r="O3" s="25">
        <f t="shared" si="2"/>
        <v>12</v>
      </c>
      <c r="P3" s="25">
        <f t="shared" si="2"/>
        <v>13</v>
      </c>
      <c r="Q3" s="25">
        <f t="shared" si="2"/>
        <v>14</v>
      </c>
      <c r="R3" s="25">
        <f t="shared" si="2"/>
        <v>15</v>
      </c>
      <c r="S3" s="25">
        <f t="shared" si="2"/>
        <v>16</v>
      </c>
      <c r="T3" s="25">
        <f t="shared" si="2"/>
        <v>17</v>
      </c>
      <c r="U3" s="25">
        <f t="shared" si="2"/>
        <v>18</v>
      </c>
      <c r="V3" s="25">
        <f t="shared" si="2"/>
        <v>19</v>
      </c>
      <c r="W3" s="25">
        <f t="shared" si="2"/>
        <v>20</v>
      </c>
      <c r="X3" s="25">
        <f t="shared" si="2"/>
        <v>21</v>
      </c>
      <c r="Y3" s="25">
        <f t="shared" si="2"/>
        <v>22</v>
      </c>
      <c r="Z3" s="25">
        <f t="shared" si="2"/>
        <v>23</v>
      </c>
      <c r="AA3" s="25">
        <f t="shared" si="2"/>
        <v>24</v>
      </c>
      <c r="AB3" s="25">
        <f t="shared" si="2"/>
        <v>25</v>
      </c>
      <c r="AC3" s="25">
        <f t="shared" ref="AC3:AI3" si="3">AB3+1</f>
        <v>26</v>
      </c>
      <c r="AD3" s="25">
        <f t="shared" si="3"/>
        <v>27</v>
      </c>
      <c r="AE3" s="25">
        <f t="shared" si="3"/>
        <v>28</v>
      </c>
      <c r="AF3" s="25">
        <f t="shared" si="3"/>
        <v>29</v>
      </c>
      <c r="AG3" s="25">
        <f t="shared" si="3"/>
        <v>30</v>
      </c>
      <c r="AH3" s="25">
        <f t="shared" si="3"/>
        <v>31</v>
      </c>
      <c r="AI3" s="25">
        <f t="shared" si="3"/>
        <v>32</v>
      </c>
    </row>
    <row r="4" spans="2:35" x14ac:dyDescent="0.25">
      <c r="B4" t="s">
        <v>6</v>
      </c>
      <c r="C4" s="11"/>
      <c r="D4" s="12">
        <v>0.2288</v>
      </c>
      <c r="E4" s="12">
        <v>0.77</v>
      </c>
      <c r="F4" s="12">
        <v>0.41499999999999998</v>
      </c>
      <c r="G4" s="12">
        <v>0.49</v>
      </c>
      <c r="H4" s="12">
        <v>0.57999999999999996</v>
      </c>
      <c r="I4" s="12">
        <v>0.44500000000000001</v>
      </c>
      <c r="J4" s="12">
        <v>0.375</v>
      </c>
      <c r="K4" s="12">
        <v>0.6</v>
      </c>
      <c r="L4" s="12">
        <v>0.26</v>
      </c>
      <c r="M4" s="12">
        <v>0.65</v>
      </c>
      <c r="N4" s="12">
        <v>0.70499999999999996</v>
      </c>
      <c r="O4" s="12">
        <v>0.71499999999999997</v>
      </c>
      <c r="P4" s="12">
        <v>0.99</v>
      </c>
      <c r="Q4" s="12">
        <v>0.52500000000000002</v>
      </c>
      <c r="R4" s="12">
        <v>1.26</v>
      </c>
      <c r="S4" s="12">
        <v>1.48</v>
      </c>
      <c r="T4" s="12">
        <v>1.52</v>
      </c>
      <c r="U4" s="12">
        <v>1.56</v>
      </c>
      <c r="V4" s="12">
        <v>1.5</v>
      </c>
      <c r="W4" s="12">
        <v>1.73</v>
      </c>
      <c r="X4" s="12">
        <v>1.94</v>
      </c>
      <c r="Y4" s="12">
        <v>2.27</v>
      </c>
      <c r="Z4" s="12">
        <v>2.75</v>
      </c>
      <c r="AA4" s="12">
        <v>2.79</v>
      </c>
      <c r="AB4" s="12">
        <v>3.04</v>
      </c>
      <c r="AC4" s="12">
        <v>2.91</v>
      </c>
      <c r="AD4" s="12">
        <v>3.34</v>
      </c>
      <c r="AE4" s="12">
        <v>3.11</v>
      </c>
      <c r="AF4" s="12">
        <v>3.69</v>
      </c>
      <c r="AG4" s="12">
        <v>3.7199999999999998</v>
      </c>
      <c r="AH4" s="12">
        <v>7</v>
      </c>
      <c r="AI4" s="12">
        <v>5.24</v>
      </c>
    </row>
    <row r="5" spans="2:35" x14ac:dyDescent="0.25">
      <c r="B5" t="s">
        <v>11</v>
      </c>
      <c r="C5" s="11"/>
      <c r="D5" s="12">
        <v>6.6199999999999995E-2</v>
      </c>
      <c r="E5" s="12">
        <v>8.5000000000000006E-2</v>
      </c>
      <c r="F5" s="12">
        <v>0.115</v>
      </c>
      <c r="G5" s="12">
        <v>0.14000000000000001</v>
      </c>
      <c r="H5" s="12">
        <v>9.5000000000000001E-2</v>
      </c>
      <c r="I5" s="12">
        <v>0.11</v>
      </c>
      <c r="J5" s="12">
        <v>0.12</v>
      </c>
      <c r="K5" s="12">
        <v>0.26</v>
      </c>
      <c r="L5" s="12">
        <v>0.14000000000000001</v>
      </c>
      <c r="M5" s="12">
        <v>0.3</v>
      </c>
      <c r="N5" s="12">
        <v>0.32</v>
      </c>
      <c r="O5" s="12">
        <v>0.34</v>
      </c>
      <c r="P5" s="12">
        <v>0.38</v>
      </c>
      <c r="Q5" s="12">
        <v>0.4</v>
      </c>
      <c r="R5" s="12">
        <v>0.42</v>
      </c>
      <c r="S5" s="12">
        <v>0.46</v>
      </c>
      <c r="T5" s="12">
        <v>0.56000000000000005</v>
      </c>
      <c r="U5" s="12">
        <v>0.64</v>
      </c>
      <c r="V5" s="12">
        <v>0.72</v>
      </c>
      <c r="W5" s="12">
        <v>0.8</v>
      </c>
      <c r="X5" s="12">
        <v>0.88</v>
      </c>
      <c r="Y5" s="12">
        <v>0.96</v>
      </c>
      <c r="Z5" s="12">
        <v>1.04</v>
      </c>
      <c r="AA5" s="12">
        <v>1.1200000000000001</v>
      </c>
      <c r="AB5" s="12">
        <v>1.24</v>
      </c>
      <c r="AC5" s="12">
        <v>1.3599999999999999</v>
      </c>
      <c r="AD5" s="12">
        <v>1.48</v>
      </c>
      <c r="AE5" s="12">
        <v>1.6</v>
      </c>
      <c r="AF5" s="12">
        <v>1.72</v>
      </c>
      <c r="AG5" s="12">
        <v>1.88</v>
      </c>
      <c r="AH5" s="12">
        <v>2.08</v>
      </c>
      <c r="AI5" s="12">
        <v>2.2800000000000002</v>
      </c>
    </row>
    <row r="6" spans="2:35" x14ac:dyDescent="0.25">
      <c r="B6" t="s">
        <v>64</v>
      </c>
      <c r="C6" s="11"/>
      <c r="D6" s="12">
        <f>D8-C8-D4+D5</f>
        <v>-3.310000000000006E-2</v>
      </c>
      <c r="E6" s="12">
        <f>E8-D8-E4+E5</f>
        <v>-0.2304000000000001</v>
      </c>
      <c r="F6" s="12">
        <f>F8-E8-F4+F5</f>
        <v>-0.10489999999999992</v>
      </c>
      <c r="G6" s="12">
        <f>G8-F8-G4+G5</f>
        <v>-0.18889999999999973</v>
      </c>
      <c r="H6" s="12">
        <f t="shared" ref="H6:AI6" si="4">H8-G8-H4+H5</f>
        <v>-0.20060000000000019</v>
      </c>
      <c r="I6" s="12">
        <f t="shared" si="4"/>
        <v>-0.17999999999999977</v>
      </c>
      <c r="J6" s="12">
        <f t="shared" si="4"/>
        <v>-0.11980000000000024</v>
      </c>
      <c r="K6" s="12">
        <f t="shared" si="4"/>
        <v>-0.16010000000000002</v>
      </c>
      <c r="L6" s="12">
        <f t="shared" si="4"/>
        <v>-0.4393999999999999</v>
      </c>
      <c r="M6" s="12">
        <f t="shared" si="4"/>
        <v>-0.57200000000000006</v>
      </c>
      <c r="N6" s="12">
        <f t="shared" si="4"/>
        <v>4.9699999999999911E-2</v>
      </c>
      <c r="O6" s="12">
        <f t="shared" si="4"/>
        <v>-0.74909999999999966</v>
      </c>
      <c r="P6" s="12">
        <f t="shared" si="4"/>
        <v>-0.69559999999999989</v>
      </c>
      <c r="Q6" s="12">
        <f t="shared" si="4"/>
        <v>-1.0835000000000004</v>
      </c>
      <c r="R6" s="12">
        <f t="shared" si="4"/>
        <v>1.7188999999999994</v>
      </c>
      <c r="S6" s="12">
        <f t="shared" si="4"/>
        <v>0.25370000000000076</v>
      </c>
      <c r="T6" s="12">
        <f t="shared" si="4"/>
        <v>0.10170000000000012</v>
      </c>
      <c r="U6" s="12">
        <f t="shared" si="4"/>
        <v>-1.4537000000000004</v>
      </c>
      <c r="V6" s="12">
        <f t="shared" si="4"/>
        <v>0.36130000000000018</v>
      </c>
      <c r="W6" s="12">
        <f t="shared" si="4"/>
        <v>0.38690000000000047</v>
      </c>
      <c r="X6" s="12">
        <f t="shared" si="4"/>
        <v>-1.4391000000000012</v>
      </c>
      <c r="Y6" s="12">
        <f t="shared" si="4"/>
        <v>0.70440000000000014</v>
      </c>
      <c r="Z6" s="12">
        <f t="shared" si="4"/>
        <v>-0.91399999999999881</v>
      </c>
      <c r="AA6" s="12">
        <f t="shared" si="4"/>
        <v>-0.54000000000000092</v>
      </c>
      <c r="AB6" s="12">
        <f t="shared" si="4"/>
        <v>-1.1507999999999996</v>
      </c>
      <c r="AC6" s="12">
        <f t="shared" si="4"/>
        <v>0.48959999999999981</v>
      </c>
      <c r="AD6" s="12">
        <f t="shared" si="4"/>
        <v>-2.6427999999999998</v>
      </c>
      <c r="AE6" s="12">
        <f t="shared" si="4"/>
        <v>-2.3476999999999997</v>
      </c>
      <c r="AF6" s="12">
        <f t="shared" si="4"/>
        <v>-1.9619000000000011</v>
      </c>
      <c r="AG6" s="12">
        <f t="shared" si="4"/>
        <v>4.5729000000000006</v>
      </c>
      <c r="AH6" s="12">
        <f t="shared" si="4"/>
        <v>-0.45740000000000158</v>
      </c>
      <c r="AI6" s="12">
        <f t="shared" si="4"/>
        <v>-1.0480999999999971</v>
      </c>
    </row>
    <row r="7" spans="2:35" x14ac:dyDescent="0.25">
      <c r="B7" t="s">
        <v>7</v>
      </c>
      <c r="C7" s="12">
        <v>1.5019</v>
      </c>
      <c r="D7" s="11">
        <f>C7+D$4-D$5+D6</f>
        <v>1.6314</v>
      </c>
      <c r="E7" s="11">
        <f t="shared" ref="E7:AI7" si="5">D7+E$4-E$5+E6</f>
        <v>2.0859999999999999</v>
      </c>
      <c r="F7" s="11">
        <f t="shared" si="5"/>
        <v>2.2810999999999999</v>
      </c>
      <c r="G7" s="11">
        <f t="shared" si="5"/>
        <v>2.4421999999999997</v>
      </c>
      <c r="H7" s="11">
        <f t="shared" si="5"/>
        <v>2.7265999999999995</v>
      </c>
      <c r="I7" s="11">
        <f t="shared" si="5"/>
        <v>2.8815999999999997</v>
      </c>
      <c r="J7" s="11">
        <f t="shared" si="5"/>
        <v>3.0167999999999995</v>
      </c>
      <c r="K7" s="11">
        <f t="shared" si="5"/>
        <v>3.1966999999999999</v>
      </c>
      <c r="L7" s="11">
        <f t="shared" si="5"/>
        <v>2.8772999999999995</v>
      </c>
      <c r="M7" s="11">
        <f t="shared" si="5"/>
        <v>2.6552999999999995</v>
      </c>
      <c r="N7" s="11">
        <f t="shared" si="5"/>
        <v>3.09</v>
      </c>
      <c r="O7" s="11">
        <f t="shared" si="5"/>
        <v>2.7159000000000004</v>
      </c>
      <c r="P7" s="11">
        <f t="shared" si="5"/>
        <v>2.630300000000001</v>
      </c>
      <c r="Q7" s="11">
        <f t="shared" si="5"/>
        <v>1.6718000000000006</v>
      </c>
      <c r="R7" s="11">
        <f t="shared" si="5"/>
        <v>4.2307000000000006</v>
      </c>
      <c r="S7" s="11">
        <f t="shared" si="5"/>
        <v>5.5044000000000022</v>
      </c>
      <c r="T7" s="11">
        <f t="shared" si="5"/>
        <v>6.5661000000000014</v>
      </c>
      <c r="U7" s="11">
        <f t="shared" si="5"/>
        <v>6.0324000000000009</v>
      </c>
      <c r="V7" s="11">
        <f t="shared" si="5"/>
        <v>7.1737000000000011</v>
      </c>
      <c r="W7" s="11">
        <f t="shared" si="5"/>
        <v>8.4906000000000006</v>
      </c>
      <c r="X7" s="11">
        <f t="shared" si="5"/>
        <v>8.1114999999999977</v>
      </c>
      <c r="Y7" s="11">
        <f t="shared" si="5"/>
        <v>10.125899999999998</v>
      </c>
      <c r="Z7" s="11">
        <f t="shared" si="5"/>
        <v>10.921900000000001</v>
      </c>
      <c r="AA7" s="11">
        <f t="shared" si="5"/>
        <v>12.051899999999998</v>
      </c>
      <c r="AB7" s="11">
        <f t="shared" si="5"/>
        <v>12.701099999999999</v>
      </c>
      <c r="AC7" s="11">
        <f t="shared" si="5"/>
        <v>14.740699999999999</v>
      </c>
      <c r="AD7" s="11">
        <f t="shared" si="5"/>
        <v>13.9579</v>
      </c>
      <c r="AE7" s="11">
        <f t="shared" si="5"/>
        <v>13.120200000000002</v>
      </c>
      <c r="AF7" s="11">
        <f t="shared" si="5"/>
        <v>13.128299999999999</v>
      </c>
      <c r="AG7" s="11">
        <f t="shared" si="5"/>
        <v>19.5412</v>
      </c>
      <c r="AH7" s="11">
        <f t="shared" si="5"/>
        <v>24.003799999999998</v>
      </c>
      <c r="AI7" s="11">
        <f t="shared" si="5"/>
        <v>25.915700000000001</v>
      </c>
    </row>
    <row r="8" spans="2:35" x14ac:dyDescent="0.25">
      <c r="B8" t="s">
        <v>65</v>
      </c>
      <c r="C8" s="12">
        <v>1.5019</v>
      </c>
      <c r="D8" s="11">
        <v>1.6314</v>
      </c>
      <c r="E8" s="11">
        <v>2.0859999999999999</v>
      </c>
      <c r="F8" s="11">
        <v>2.2810999999999999</v>
      </c>
      <c r="G8" s="11">
        <v>2.4422000000000001</v>
      </c>
      <c r="H8" s="11">
        <v>2.7265999999999999</v>
      </c>
      <c r="I8" s="11">
        <v>2.8816000000000002</v>
      </c>
      <c r="J8" s="11">
        <v>3.0167999999999999</v>
      </c>
      <c r="K8" s="11">
        <v>3.1966999999999999</v>
      </c>
      <c r="L8" s="11">
        <v>2.8773</v>
      </c>
      <c r="M8" s="11">
        <v>2.6553</v>
      </c>
      <c r="N8" s="11">
        <v>3.09</v>
      </c>
      <c r="O8" s="11">
        <v>2.7159</v>
      </c>
      <c r="P8" s="11">
        <v>2.6303000000000001</v>
      </c>
      <c r="Q8" s="11">
        <v>1.6718</v>
      </c>
      <c r="R8" s="11">
        <v>4.2306999999999997</v>
      </c>
      <c r="S8" s="11">
        <v>5.5044000000000004</v>
      </c>
      <c r="T8" s="11">
        <v>6.5661000000000005</v>
      </c>
      <c r="U8" s="11">
        <v>6.0324</v>
      </c>
      <c r="V8" s="11">
        <v>7.1737000000000002</v>
      </c>
      <c r="W8" s="11">
        <v>8.4906000000000006</v>
      </c>
      <c r="X8" s="11">
        <v>8.1114999999999995</v>
      </c>
      <c r="Y8" s="11">
        <v>10.1259</v>
      </c>
      <c r="Z8" s="11">
        <v>10.921900000000001</v>
      </c>
      <c r="AA8" s="11">
        <v>12.0519</v>
      </c>
      <c r="AB8" s="11">
        <v>12.7011</v>
      </c>
      <c r="AC8" s="11">
        <v>14.7407</v>
      </c>
      <c r="AD8" s="11">
        <v>13.9579</v>
      </c>
      <c r="AE8" s="11">
        <v>13.120200000000001</v>
      </c>
      <c r="AF8" s="11">
        <v>13.128299999999999</v>
      </c>
      <c r="AG8" s="11">
        <v>19.5412</v>
      </c>
      <c r="AH8" s="11">
        <v>24.003799999999998</v>
      </c>
      <c r="AI8" s="11">
        <v>25.915700000000001</v>
      </c>
    </row>
    <row r="9" spans="2:35" x14ac:dyDescent="0.25">
      <c r="B9" t="s">
        <v>15</v>
      </c>
      <c r="D9" s="5">
        <f>D4/C7</f>
        <v>0.15234036886610294</v>
      </c>
      <c r="E9" s="5">
        <f>E4/D7</f>
        <v>0.47198725021453969</v>
      </c>
      <c r="F9" s="5">
        <f t="shared" ref="F9:AB9" si="6">F4/E7</f>
        <v>0.19894534995206137</v>
      </c>
      <c r="G9" s="5">
        <f t="shared" si="6"/>
        <v>0.21480864495199684</v>
      </c>
      <c r="H9" s="5">
        <f t="shared" si="6"/>
        <v>0.2374907869953321</v>
      </c>
      <c r="I9" s="5">
        <f t="shared" si="6"/>
        <v>0.16320692437467912</v>
      </c>
      <c r="J9" s="5">
        <f t="shared" si="6"/>
        <v>0.13013603553581346</v>
      </c>
      <c r="K9" s="5">
        <f t="shared" si="6"/>
        <v>0.19888623707239461</v>
      </c>
      <c r="L9" s="5">
        <f t="shared" si="6"/>
        <v>8.1333875559170404E-2</v>
      </c>
      <c r="M9" s="5">
        <f t="shared" si="6"/>
        <v>0.22590623153650996</v>
      </c>
      <c r="N9" s="5">
        <f t="shared" si="6"/>
        <v>0.26550672240424816</v>
      </c>
      <c r="O9" s="5">
        <f t="shared" si="6"/>
        <v>0.2313915857605178</v>
      </c>
      <c r="P9" s="5">
        <f t="shared" si="6"/>
        <v>0.36452004860267306</v>
      </c>
      <c r="Q9" s="5">
        <f t="shared" si="6"/>
        <v>0.19959700414401393</v>
      </c>
      <c r="R9" s="5">
        <f t="shared" si="6"/>
        <v>0.75367866969733199</v>
      </c>
      <c r="S9" s="5">
        <f t="shared" si="6"/>
        <v>0.34982390620937426</v>
      </c>
      <c r="T9" s="5">
        <f t="shared" si="6"/>
        <v>0.27614272218588753</v>
      </c>
      <c r="U9" s="5">
        <f t="shared" si="6"/>
        <v>0.23758395394526427</v>
      </c>
      <c r="V9" s="5">
        <f t="shared" si="6"/>
        <v>0.24865725084543461</v>
      </c>
      <c r="W9" s="5">
        <f t="shared" si="6"/>
        <v>0.2411586768334332</v>
      </c>
      <c r="X9" s="5">
        <f t="shared" si="6"/>
        <v>0.22848797493698911</v>
      </c>
      <c r="Y9" s="5">
        <f t="shared" si="6"/>
        <v>0.27984959625223454</v>
      </c>
      <c r="Z9" s="5">
        <f t="shared" si="6"/>
        <v>0.27158079775624888</v>
      </c>
      <c r="AA9" s="5">
        <f t="shared" si="6"/>
        <v>0.25545005905565882</v>
      </c>
      <c r="AB9" s="5">
        <f t="shared" si="6"/>
        <v>0.25224238501812996</v>
      </c>
      <c r="AC9" s="5">
        <f>AC4/AB7</f>
        <v>0.22911401374684087</v>
      </c>
      <c r="AD9" s="5">
        <f>AD4/AC7</f>
        <v>0.22658354080878115</v>
      </c>
      <c r="AE9" s="5">
        <f>AE4/AD7</f>
        <v>0.22281288732545726</v>
      </c>
      <c r="AF9" s="5">
        <f>AF4/AE7</f>
        <v>0.28124571271779386</v>
      </c>
      <c r="AG9" s="5">
        <f>AG4/AF7</f>
        <v>0.2833573273005644</v>
      </c>
      <c r="AH9" s="5">
        <f>AH4/AG7</f>
        <v>0.35821750967187277</v>
      </c>
      <c r="AI9" s="5">
        <f>AI4/AH7</f>
        <v>0.21829876936151779</v>
      </c>
    </row>
    <row r="10" spans="2:35" x14ac:dyDescent="0.25">
      <c r="B10" t="s">
        <v>5</v>
      </c>
      <c r="C10" s="9">
        <v>0.1</v>
      </c>
      <c r="D10" s="2">
        <f>C10</f>
        <v>0.1</v>
      </c>
      <c r="E10" s="2">
        <f>D10</f>
        <v>0.1</v>
      </c>
      <c r="F10" s="2">
        <f t="shared" ref="F10:AB10" si="7">E10</f>
        <v>0.1</v>
      </c>
      <c r="G10" s="2">
        <f t="shared" si="7"/>
        <v>0.1</v>
      </c>
      <c r="H10" s="2">
        <f t="shared" si="7"/>
        <v>0.1</v>
      </c>
      <c r="I10" s="2">
        <f t="shared" si="7"/>
        <v>0.1</v>
      </c>
      <c r="J10" s="2">
        <f t="shared" si="7"/>
        <v>0.1</v>
      </c>
      <c r="K10" s="2">
        <f t="shared" si="7"/>
        <v>0.1</v>
      </c>
      <c r="L10" s="2">
        <f t="shared" si="7"/>
        <v>0.1</v>
      </c>
      <c r="M10" s="2">
        <f t="shared" si="7"/>
        <v>0.1</v>
      </c>
      <c r="N10" s="2">
        <f t="shared" si="7"/>
        <v>0.1</v>
      </c>
      <c r="O10" s="2">
        <f t="shared" si="7"/>
        <v>0.1</v>
      </c>
      <c r="P10" s="2">
        <f t="shared" si="7"/>
        <v>0.1</v>
      </c>
      <c r="Q10" s="2">
        <f t="shared" si="7"/>
        <v>0.1</v>
      </c>
      <c r="R10" s="2">
        <f t="shared" si="7"/>
        <v>0.1</v>
      </c>
      <c r="S10" s="2">
        <f t="shared" si="7"/>
        <v>0.1</v>
      </c>
      <c r="T10" s="2">
        <f t="shared" si="7"/>
        <v>0.1</v>
      </c>
      <c r="U10" s="2">
        <f t="shared" si="7"/>
        <v>0.1</v>
      </c>
      <c r="V10" s="2">
        <f t="shared" si="7"/>
        <v>0.1</v>
      </c>
      <c r="W10" s="2">
        <f t="shared" si="7"/>
        <v>0.1</v>
      </c>
      <c r="X10" s="2">
        <f t="shared" si="7"/>
        <v>0.1</v>
      </c>
      <c r="Y10" s="2">
        <f t="shared" si="7"/>
        <v>0.1</v>
      </c>
      <c r="Z10" s="2">
        <f t="shared" si="7"/>
        <v>0.1</v>
      </c>
      <c r="AA10" s="2">
        <f t="shared" si="7"/>
        <v>0.1</v>
      </c>
      <c r="AB10" s="2">
        <f t="shared" si="7"/>
        <v>0.1</v>
      </c>
      <c r="AC10" s="2">
        <f t="shared" ref="AC10:AI10" si="8">AB10</f>
        <v>0.1</v>
      </c>
      <c r="AD10" s="2">
        <f t="shared" si="8"/>
        <v>0.1</v>
      </c>
      <c r="AE10" s="2">
        <f t="shared" si="8"/>
        <v>0.1</v>
      </c>
      <c r="AF10" s="2">
        <f t="shared" si="8"/>
        <v>0.1</v>
      </c>
      <c r="AG10" s="2">
        <f t="shared" si="8"/>
        <v>0.1</v>
      </c>
      <c r="AH10" s="2">
        <f t="shared" si="8"/>
        <v>0.1</v>
      </c>
      <c r="AI10" s="2">
        <f t="shared" si="8"/>
        <v>0.1</v>
      </c>
    </row>
    <row r="11" spans="2:35" x14ac:dyDescent="0.25">
      <c r="B11" t="s">
        <v>2</v>
      </c>
      <c r="D11" s="13">
        <f>C7*D10</f>
        <v>0.15019000000000002</v>
      </c>
      <c r="E11" s="13">
        <f>D7*E10</f>
        <v>0.16314000000000001</v>
      </c>
      <c r="F11" s="13">
        <f>E7*F10</f>
        <v>0.20860000000000001</v>
      </c>
      <c r="G11" s="13">
        <f>F7*G10</f>
        <v>0.22811000000000001</v>
      </c>
      <c r="H11" s="13">
        <f>G7*H10</f>
        <v>0.24421999999999999</v>
      </c>
      <c r="I11" s="13">
        <f>H7*I10</f>
        <v>0.27265999999999996</v>
      </c>
      <c r="J11" s="13">
        <f>I7*J10</f>
        <v>0.28815999999999997</v>
      </c>
      <c r="K11" s="13">
        <f>J7*K10</f>
        <v>0.30167999999999995</v>
      </c>
      <c r="L11" s="13">
        <f>K7*L10</f>
        <v>0.31967000000000001</v>
      </c>
      <c r="M11" s="13">
        <f>L7*M10</f>
        <v>0.28772999999999999</v>
      </c>
      <c r="N11" s="13">
        <f>M7*N10</f>
        <v>0.26552999999999999</v>
      </c>
      <c r="O11" s="13">
        <f>N7*O10</f>
        <v>0.309</v>
      </c>
      <c r="P11" s="13">
        <f>O7*P10</f>
        <v>0.27159000000000005</v>
      </c>
      <c r="Q11" s="13">
        <f>P7*Q10</f>
        <v>0.2630300000000001</v>
      </c>
      <c r="R11" s="13">
        <f>Q7*R10</f>
        <v>0.16718000000000008</v>
      </c>
      <c r="S11" s="13">
        <f>R7*S10</f>
        <v>0.42307000000000006</v>
      </c>
      <c r="T11" s="13">
        <f>S7*T10</f>
        <v>0.55044000000000026</v>
      </c>
      <c r="U11" s="13">
        <f>T7*U10</f>
        <v>0.65661000000000014</v>
      </c>
      <c r="V11" s="13">
        <f>U7*V10</f>
        <v>0.60324000000000011</v>
      </c>
      <c r="W11" s="13">
        <f>V7*W10</f>
        <v>0.71737000000000017</v>
      </c>
      <c r="X11" s="13">
        <f>W7*X10</f>
        <v>0.84906000000000015</v>
      </c>
      <c r="Y11" s="13">
        <f>X7*Y10</f>
        <v>0.81114999999999982</v>
      </c>
      <c r="Z11" s="13">
        <f>Y7*Z10</f>
        <v>1.0125899999999999</v>
      </c>
      <c r="AA11" s="13">
        <f>Z7*AA10</f>
        <v>1.0921900000000002</v>
      </c>
      <c r="AB11" s="13">
        <f>AA7*AB10</f>
        <v>1.20519</v>
      </c>
      <c r="AC11" s="13">
        <f>AB7*AC10</f>
        <v>1.2701099999999999</v>
      </c>
      <c r="AD11" s="13">
        <f>AC7*AD10</f>
        <v>1.47407</v>
      </c>
      <c r="AE11" s="13">
        <f>AD7*AE10</f>
        <v>1.3957900000000001</v>
      </c>
      <c r="AF11" s="13">
        <f>AE7*AF10</f>
        <v>1.3120200000000004</v>
      </c>
      <c r="AG11" s="13">
        <f>AF7*AG10</f>
        <v>1.3128299999999999</v>
      </c>
      <c r="AH11" s="13">
        <f>AG7*AH10</f>
        <v>1.9541200000000001</v>
      </c>
      <c r="AI11" s="13">
        <f>AH7*AI10</f>
        <v>2.4003800000000002</v>
      </c>
    </row>
    <row r="12" spans="2:35" x14ac:dyDescent="0.25">
      <c r="B12" t="s">
        <v>3</v>
      </c>
      <c r="D12" s="13">
        <f>D4-D11</f>
        <v>7.8609999999999985E-2</v>
      </c>
      <c r="E12" s="13">
        <f>E4-E11</f>
        <v>0.60685999999999996</v>
      </c>
      <c r="F12" s="13">
        <f>F4-F11</f>
        <v>0.20639999999999997</v>
      </c>
      <c r="G12" s="13">
        <f>G4-G11</f>
        <v>0.26188999999999996</v>
      </c>
      <c r="H12" s="13">
        <f>H4-H11</f>
        <v>0.33577999999999997</v>
      </c>
      <c r="I12" s="13">
        <f>I4-I11</f>
        <v>0.17234000000000005</v>
      </c>
      <c r="J12" s="13">
        <f>J4-J11</f>
        <v>8.6840000000000028E-2</v>
      </c>
      <c r="K12" s="13">
        <f>K4-K11</f>
        <v>0.29832000000000003</v>
      </c>
      <c r="L12" s="13">
        <f>L4-L11</f>
        <v>-5.9670000000000001E-2</v>
      </c>
      <c r="M12" s="13">
        <f>M4-M11</f>
        <v>0.36227000000000004</v>
      </c>
      <c r="N12" s="13">
        <f>N4-N11</f>
        <v>0.43946999999999997</v>
      </c>
      <c r="O12" s="13">
        <f>O4-O11</f>
        <v>0.40599999999999997</v>
      </c>
      <c r="P12" s="13">
        <f>P4-P11</f>
        <v>0.71840999999999999</v>
      </c>
      <c r="Q12" s="13">
        <f>Q4-Q11</f>
        <v>0.26196999999999993</v>
      </c>
      <c r="R12" s="13">
        <f>R4-R11</f>
        <v>1.0928199999999999</v>
      </c>
      <c r="S12" s="13">
        <f>S4-S11</f>
        <v>1.0569299999999999</v>
      </c>
      <c r="T12" s="13">
        <f>T4-T11</f>
        <v>0.96955999999999976</v>
      </c>
      <c r="U12" s="13">
        <f>U4-U11</f>
        <v>0.90338999999999992</v>
      </c>
      <c r="V12" s="13">
        <f>V4-V11</f>
        <v>0.89675999999999989</v>
      </c>
      <c r="W12" s="13">
        <f>W4-W11</f>
        <v>1.0126299999999997</v>
      </c>
      <c r="X12" s="13">
        <f>X4-X11</f>
        <v>1.0909399999999998</v>
      </c>
      <c r="Y12" s="13">
        <f>Y4-Y11</f>
        <v>1.4588500000000002</v>
      </c>
      <c r="Z12" s="13">
        <f>Z4-Z11</f>
        <v>1.7374100000000001</v>
      </c>
      <c r="AA12" s="13">
        <f>AA4-AA11</f>
        <v>1.6978099999999998</v>
      </c>
      <c r="AB12" s="13">
        <f>AB4-AB11</f>
        <v>1.8348100000000001</v>
      </c>
      <c r="AC12" s="13">
        <f>AC4-AC11</f>
        <v>1.6398900000000003</v>
      </c>
      <c r="AD12" s="13">
        <f>AD4-AD11</f>
        <v>1.8659299999999999</v>
      </c>
      <c r="AE12" s="13">
        <f>AE4-AE11</f>
        <v>1.7142099999999998</v>
      </c>
      <c r="AF12" s="13">
        <f>AF4-AF11</f>
        <v>2.3779799999999995</v>
      </c>
      <c r="AG12" s="13">
        <f>AG4-AG11</f>
        <v>2.4071699999999998</v>
      </c>
      <c r="AH12" s="13">
        <f>AH4-AH11</f>
        <v>5.0458800000000004</v>
      </c>
      <c r="AI12" s="13">
        <f>AI4-AI11</f>
        <v>2.83962</v>
      </c>
    </row>
    <row r="13" spans="2:35" x14ac:dyDescent="0.25">
      <c r="B13" t="s">
        <v>4</v>
      </c>
      <c r="E13" s="13">
        <f>E12-D12</f>
        <v>0.52825</v>
      </c>
      <c r="G13" s="13">
        <f t="shared" ref="G13" si="9">G12-F12</f>
        <v>5.5489999999999984E-2</v>
      </c>
      <c r="I13" s="13">
        <f t="shared" ref="I13" si="10">I12-H12</f>
        <v>-0.16343999999999992</v>
      </c>
      <c r="K13" s="13">
        <f t="shared" ref="K13" si="11">K12-J12</f>
        <v>0.21148</v>
      </c>
      <c r="M13" s="13">
        <f t="shared" ref="M13" si="12">M12-L12</f>
        <v>0.42194000000000004</v>
      </c>
      <c r="O13" s="13">
        <f t="shared" ref="O13" si="13">O12-N12</f>
        <v>-3.347E-2</v>
      </c>
      <c r="Q13" s="13">
        <f t="shared" ref="Q13" si="14">Q12-P12</f>
        <v>-0.45644000000000007</v>
      </c>
      <c r="S13" s="13">
        <f t="shared" ref="S13" si="15">S12-R12</f>
        <v>-3.5889999999999977E-2</v>
      </c>
      <c r="U13" s="13">
        <f t="shared" ref="U13" si="16">U12-T12</f>
        <v>-6.616999999999984E-2</v>
      </c>
      <c r="W13" s="13">
        <f t="shared" ref="W13" si="17">W12-V12</f>
        <v>0.11586999999999981</v>
      </c>
      <c r="Y13" s="13">
        <f t="shared" ref="Y13" si="18">Y12-X12</f>
        <v>0.3679100000000004</v>
      </c>
      <c r="AA13" s="13">
        <f t="shared" ref="AA13" si="19">AA12-Z12</f>
        <v>-3.9600000000000302E-2</v>
      </c>
    </row>
    <row r="14" spans="2:35" x14ac:dyDescent="0.25">
      <c r="B14" t="s">
        <v>8</v>
      </c>
      <c r="E14" s="5">
        <f>E13/D12</f>
        <v>6.7198829665436977</v>
      </c>
      <c r="G14" s="5">
        <f t="shared" ref="G14" si="20">G13/F12</f>
        <v>0.26884689922480615</v>
      </c>
      <c r="I14" s="5">
        <f t="shared" ref="I14" si="21">I13/H12</f>
        <v>-0.4867472750014889</v>
      </c>
      <c r="K14" s="5">
        <f t="shared" ref="K14" si="22">K13/J12</f>
        <v>2.435283279594656</v>
      </c>
      <c r="M14" s="5">
        <f t="shared" ref="M14" si="23">M13/L12</f>
        <v>-7.0712250712250722</v>
      </c>
      <c r="O14" s="5">
        <f t="shared" ref="O14" si="24">O13/N12</f>
        <v>-7.6159919903520154E-2</v>
      </c>
      <c r="Q14" s="5">
        <f t="shared" ref="Q14" si="25">Q13/P12</f>
        <v>-0.63534750351470615</v>
      </c>
      <c r="S14" s="5">
        <f t="shared" ref="S14" si="26">S13/R12</f>
        <v>-3.284163906224262E-2</v>
      </c>
      <c r="U14" s="5">
        <f t="shared" ref="U14" si="27">U13/T12</f>
        <v>-6.8247452452658786E-2</v>
      </c>
      <c r="W14" s="5">
        <f t="shared" ref="W14" si="28">W13/V12</f>
        <v>0.1292095990008473</v>
      </c>
      <c r="Y14" s="5">
        <f t="shared" ref="Y14" si="29">Y13/X12</f>
        <v>0.3372412781637858</v>
      </c>
      <c r="AA14" s="5">
        <f t="shared" ref="AA14" si="30">AA13/Z12</f>
        <v>-2.2792547527641892E-2</v>
      </c>
    </row>
    <row r="15" spans="2:35" x14ac:dyDescent="0.25">
      <c r="B15" t="s">
        <v>16</v>
      </c>
      <c r="E15" s="5">
        <f>E4/D4-1</f>
        <v>2.3653846153846154</v>
      </c>
      <c r="G15" s="5">
        <f t="shared" ref="G15:AB15" si="31">G4/F4-1</f>
        <v>0.18072289156626509</v>
      </c>
      <c r="I15" s="5">
        <f t="shared" ref="I15:AB15" si="32">I4/H4-1</f>
        <v>-0.23275862068965514</v>
      </c>
      <c r="K15" s="5">
        <f t="shared" ref="K15:AB15" si="33">K4/J4-1</f>
        <v>0.59999999999999987</v>
      </c>
      <c r="M15" s="5">
        <f t="shared" ref="M15:AB15" si="34">M4/L4-1</f>
        <v>1.5</v>
      </c>
      <c r="O15" s="5">
        <f t="shared" ref="O15:AB15" si="35">O4/N4-1</f>
        <v>1.4184397163120588E-2</v>
      </c>
      <c r="Q15" s="5">
        <f t="shared" ref="Q15:AB15" si="36">Q4/P4-1</f>
        <v>-0.46969696969696972</v>
      </c>
      <c r="S15" s="5">
        <f t="shared" ref="S15:AB15" si="37">S4/R4-1</f>
        <v>0.17460317460317465</v>
      </c>
      <c r="U15" s="5">
        <f t="shared" ref="U15:AB15" si="38">U4/T4-1</f>
        <v>2.6315789473684292E-2</v>
      </c>
      <c r="W15" s="5">
        <f t="shared" ref="W15:AB15" si="39">W4/V4-1</f>
        <v>0.15333333333333332</v>
      </c>
      <c r="Y15" s="5">
        <f t="shared" ref="Y15:AB15" si="40">Y4/X4-1</f>
        <v>0.17010309278350522</v>
      </c>
      <c r="AA15" s="5">
        <f t="shared" ref="AA15:AB15" si="41">AA4/Z4-1</f>
        <v>1.4545454545454639E-2</v>
      </c>
    </row>
    <row r="16" spans="2:35" x14ac:dyDescent="0.25">
      <c r="B16" t="s">
        <v>9</v>
      </c>
      <c r="C16" s="12">
        <v>1.0905</v>
      </c>
    </row>
    <row r="17" spans="2:35" x14ac:dyDescent="0.25">
      <c r="B17" t="s">
        <v>13</v>
      </c>
      <c r="C17" s="10">
        <f>$C$16/C7</f>
        <v>0.72608029828883414</v>
      </c>
      <c r="K17">
        <v>1636.1</v>
      </c>
      <c r="L17">
        <v>2570.9</v>
      </c>
      <c r="M17">
        <v>477.4</v>
      </c>
      <c r="N17">
        <v>-237.6</v>
      </c>
      <c r="O17">
        <f>M17+N17+K17</f>
        <v>1875.8999999999999</v>
      </c>
      <c r="P17">
        <f>L17-O17</f>
        <v>695.00000000000023</v>
      </c>
    </row>
    <row r="18" spans="2:35" x14ac:dyDescent="0.25">
      <c r="B18" t="s">
        <v>14</v>
      </c>
      <c r="C18" s="10">
        <f>$C$16/D4</f>
        <v>4.7661713286713283</v>
      </c>
      <c r="K18">
        <v>123.9</v>
      </c>
      <c r="L18">
        <v>131</v>
      </c>
      <c r="M18">
        <v>127.45</v>
      </c>
      <c r="N18">
        <v>127.45</v>
      </c>
    </row>
    <row r="19" spans="2:35" x14ac:dyDescent="0.25">
      <c r="K19">
        <f>K17/K18</f>
        <v>13.205004035512509</v>
      </c>
      <c r="L19">
        <f>L17/L18</f>
        <v>19.625190839694657</v>
      </c>
      <c r="M19">
        <f>M17/M18</f>
        <v>3.745782659866614</v>
      </c>
      <c r="N19">
        <f>N17/N18</f>
        <v>-1.8642604943114947</v>
      </c>
    </row>
    <row r="20" spans="2:35" s="19" customFormat="1" ht="19.5" customHeight="1" x14ac:dyDescent="0.25">
      <c r="B20" s="17" t="s">
        <v>23</v>
      </c>
      <c r="C20" s="18">
        <f>C$2</f>
        <v>1987</v>
      </c>
      <c r="D20" s="18">
        <f>D$2</f>
        <v>1988</v>
      </c>
      <c r="E20" s="18">
        <f>E$2</f>
        <v>1989</v>
      </c>
      <c r="F20" s="18">
        <f t="shared" ref="F20:AI20" si="42">F$2</f>
        <v>1990</v>
      </c>
      <c r="G20" s="18">
        <f t="shared" si="42"/>
        <v>1991</v>
      </c>
      <c r="H20" s="18">
        <f t="shared" si="42"/>
        <v>1992</v>
      </c>
      <c r="I20" s="18">
        <f t="shared" si="42"/>
        <v>1993</v>
      </c>
      <c r="J20" s="18">
        <f t="shared" si="42"/>
        <v>1994</v>
      </c>
      <c r="K20" s="18">
        <f t="shared" si="42"/>
        <v>1995</v>
      </c>
      <c r="L20" s="18">
        <f t="shared" si="42"/>
        <v>1996</v>
      </c>
      <c r="M20" s="18">
        <f t="shared" si="42"/>
        <v>1997</v>
      </c>
      <c r="N20" s="18">
        <f t="shared" si="42"/>
        <v>1998</v>
      </c>
      <c r="O20" s="18">
        <f t="shared" si="42"/>
        <v>1999</v>
      </c>
      <c r="P20" s="18">
        <f t="shared" si="42"/>
        <v>2000</v>
      </c>
      <c r="Q20" s="18">
        <f t="shared" si="42"/>
        <v>2001</v>
      </c>
      <c r="R20" s="18">
        <f t="shared" si="42"/>
        <v>2002</v>
      </c>
      <c r="S20" s="18">
        <f t="shared" si="42"/>
        <v>2003</v>
      </c>
      <c r="T20" s="18">
        <f t="shared" si="42"/>
        <v>2004</v>
      </c>
      <c r="U20" s="18">
        <f t="shared" si="42"/>
        <v>2005</v>
      </c>
      <c r="V20" s="18">
        <f t="shared" si="42"/>
        <v>2006</v>
      </c>
      <c r="W20" s="18">
        <f t="shared" si="42"/>
        <v>2007</v>
      </c>
      <c r="X20" s="18">
        <f t="shared" si="42"/>
        <v>2008</v>
      </c>
      <c r="Y20" s="18">
        <f t="shared" si="42"/>
        <v>2009</v>
      </c>
      <c r="Z20" s="18">
        <f t="shared" si="42"/>
        <v>2010</v>
      </c>
      <c r="AA20" s="18">
        <f t="shared" si="42"/>
        <v>2011</v>
      </c>
      <c r="AB20" s="18">
        <f t="shared" si="42"/>
        <v>2012</v>
      </c>
      <c r="AC20" s="18">
        <f t="shared" si="42"/>
        <v>2013</v>
      </c>
      <c r="AD20" s="18">
        <f t="shared" si="42"/>
        <v>2014</v>
      </c>
      <c r="AE20" s="18">
        <f t="shared" si="42"/>
        <v>2015</v>
      </c>
      <c r="AF20" s="18">
        <f t="shared" si="42"/>
        <v>2016</v>
      </c>
      <c r="AG20" s="18">
        <f t="shared" si="42"/>
        <v>2017</v>
      </c>
      <c r="AH20" s="18">
        <f t="shared" si="42"/>
        <v>2018</v>
      </c>
      <c r="AI20" s="18">
        <f t="shared" si="42"/>
        <v>2019</v>
      </c>
    </row>
    <row r="21" spans="2:35" x14ac:dyDescent="0.25">
      <c r="B21" t="s">
        <v>0</v>
      </c>
      <c r="C21" s="6">
        <f>1/(1+C10)^C3</f>
        <v>1</v>
      </c>
      <c r="D21" s="6">
        <f>1/(1+D10)^D3</f>
        <v>0.90909090909090906</v>
      </c>
      <c r="E21" s="6">
        <f>1/(1+E10)^E3</f>
        <v>0.82644628099173545</v>
      </c>
      <c r="F21" s="6">
        <f t="shared" ref="F21:AB21" si="43">1/(1+F10)^F3</f>
        <v>0.75131480090157754</v>
      </c>
      <c r="G21" s="6">
        <f t="shared" si="43"/>
        <v>0.68301345536507052</v>
      </c>
      <c r="H21" s="6">
        <f t="shared" si="43"/>
        <v>0.62092132305915493</v>
      </c>
      <c r="I21" s="6">
        <f t="shared" si="43"/>
        <v>0.56447393005377722</v>
      </c>
      <c r="J21" s="6">
        <f t="shared" si="43"/>
        <v>0.51315811823070645</v>
      </c>
      <c r="K21" s="6">
        <f t="shared" si="43"/>
        <v>0.46650738020973315</v>
      </c>
      <c r="L21" s="6">
        <f t="shared" si="43"/>
        <v>0.42409761837248466</v>
      </c>
      <c r="M21" s="6">
        <f t="shared" si="43"/>
        <v>0.38554328942953148</v>
      </c>
      <c r="N21" s="6">
        <f t="shared" si="43"/>
        <v>0.3504938994813922</v>
      </c>
      <c r="O21" s="6">
        <f t="shared" si="43"/>
        <v>0.31863081771035656</v>
      </c>
      <c r="P21" s="6">
        <f t="shared" si="43"/>
        <v>0.28966437973668779</v>
      </c>
      <c r="Q21" s="6">
        <f t="shared" si="43"/>
        <v>0.26333125430607973</v>
      </c>
      <c r="R21" s="6">
        <f t="shared" si="43"/>
        <v>0.23939204936916339</v>
      </c>
      <c r="S21" s="6">
        <f t="shared" si="43"/>
        <v>0.21762913579014853</v>
      </c>
      <c r="T21" s="6">
        <f t="shared" si="43"/>
        <v>0.19784466890013502</v>
      </c>
      <c r="U21" s="6">
        <f t="shared" si="43"/>
        <v>0.17985878990921364</v>
      </c>
      <c r="V21" s="6">
        <f t="shared" si="43"/>
        <v>0.16350799082655781</v>
      </c>
      <c r="W21" s="6">
        <f t="shared" si="43"/>
        <v>0.14864362802414349</v>
      </c>
      <c r="X21" s="6">
        <f t="shared" si="43"/>
        <v>0.13513057093103953</v>
      </c>
      <c r="Y21" s="6">
        <f t="shared" si="43"/>
        <v>0.12284597357367227</v>
      </c>
      <c r="Z21" s="6">
        <f t="shared" si="43"/>
        <v>0.11167815779424752</v>
      </c>
      <c r="AA21" s="6">
        <f t="shared" si="43"/>
        <v>0.10152559799477048</v>
      </c>
      <c r="AB21" s="6">
        <f t="shared" si="43"/>
        <v>9.2295998177064048E-2</v>
      </c>
      <c r="AC21" s="6">
        <f>1/(1+AC10)^AC3</f>
        <v>8.3905452888240042E-2</v>
      </c>
      <c r="AD21" s="6">
        <f>1/(1+AD10)^AD3</f>
        <v>7.6277684443854576E-2</v>
      </c>
      <c r="AE21" s="6">
        <f>1/(1+AE10)^AE3</f>
        <v>6.9343349494413245E-2</v>
      </c>
      <c r="AF21" s="6">
        <f>1/(1+AF10)^AF3</f>
        <v>6.3039408631284766E-2</v>
      </c>
      <c r="AG21" s="6">
        <f>1/(1+AG10)^AG3</f>
        <v>5.7308553301167964E-2</v>
      </c>
      <c r="AH21" s="6">
        <f>1/(1+AH10)^AH3</f>
        <v>5.2098684819243603E-2</v>
      </c>
      <c r="AI21" s="6">
        <f>1/(1+AI10)^AI3</f>
        <v>4.7362440744766907E-2</v>
      </c>
    </row>
    <row r="22" spans="2:35" x14ac:dyDescent="0.25">
      <c r="B22" t="s">
        <v>12</v>
      </c>
      <c r="C22" s="6"/>
      <c r="D22" s="6">
        <f>C21</f>
        <v>1</v>
      </c>
      <c r="E22" s="6">
        <f>D21</f>
        <v>0.90909090909090906</v>
      </c>
      <c r="F22" s="6">
        <f t="shared" ref="F22:AI22" si="44">E21</f>
        <v>0.82644628099173545</v>
      </c>
      <c r="G22" s="6">
        <f t="shared" si="44"/>
        <v>0.75131480090157754</v>
      </c>
      <c r="H22" s="6">
        <f t="shared" si="44"/>
        <v>0.68301345536507052</v>
      </c>
      <c r="I22" s="6">
        <f t="shared" si="44"/>
        <v>0.62092132305915493</v>
      </c>
      <c r="J22" s="6">
        <f t="shared" si="44"/>
        <v>0.56447393005377722</v>
      </c>
      <c r="K22" s="6">
        <f t="shared" si="44"/>
        <v>0.51315811823070645</v>
      </c>
      <c r="L22" s="6">
        <f t="shared" si="44"/>
        <v>0.46650738020973315</v>
      </c>
      <c r="M22" s="6">
        <f t="shared" si="44"/>
        <v>0.42409761837248466</v>
      </c>
      <c r="N22" s="6">
        <f t="shared" si="44"/>
        <v>0.38554328942953148</v>
      </c>
      <c r="O22" s="6">
        <f t="shared" si="44"/>
        <v>0.3504938994813922</v>
      </c>
      <c r="P22" s="6">
        <f t="shared" si="44"/>
        <v>0.31863081771035656</v>
      </c>
      <c r="Q22" s="6">
        <f t="shared" si="44"/>
        <v>0.28966437973668779</v>
      </c>
      <c r="R22" s="6">
        <f t="shared" si="44"/>
        <v>0.26333125430607973</v>
      </c>
      <c r="S22" s="6">
        <f t="shared" si="44"/>
        <v>0.23939204936916339</v>
      </c>
      <c r="T22" s="6">
        <f t="shared" si="44"/>
        <v>0.21762913579014853</v>
      </c>
      <c r="U22" s="6">
        <f t="shared" si="44"/>
        <v>0.19784466890013502</v>
      </c>
      <c r="V22" s="6">
        <f t="shared" si="44"/>
        <v>0.17985878990921364</v>
      </c>
      <c r="W22" s="6">
        <f t="shared" si="44"/>
        <v>0.16350799082655781</v>
      </c>
      <c r="X22" s="6">
        <f t="shared" si="44"/>
        <v>0.14864362802414349</v>
      </c>
      <c r="Y22" s="6">
        <f t="shared" si="44"/>
        <v>0.13513057093103953</v>
      </c>
      <c r="Z22" s="6">
        <f t="shared" si="44"/>
        <v>0.12284597357367227</v>
      </c>
      <c r="AA22" s="6">
        <f t="shared" si="44"/>
        <v>0.11167815779424752</v>
      </c>
      <c r="AB22" s="6">
        <f t="shared" si="44"/>
        <v>0.10152559799477048</v>
      </c>
      <c r="AC22" s="6">
        <f t="shared" si="44"/>
        <v>9.2295998177064048E-2</v>
      </c>
      <c r="AD22" s="6">
        <f t="shared" si="44"/>
        <v>8.3905452888240042E-2</v>
      </c>
      <c r="AE22" s="6">
        <f t="shared" si="44"/>
        <v>7.6277684443854576E-2</v>
      </c>
      <c r="AF22" s="6">
        <f t="shared" si="44"/>
        <v>6.9343349494413245E-2</v>
      </c>
      <c r="AG22" s="6">
        <f t="shared" si="44"/>
        <v>6.3039408631284766E-2</v>
      </c>
      <c r="AH22" s="6">
        <f t="shared" si="44"/>
        <v>5.7308553301167964E-2</v>
      </c>
      <c r="AI22" s="6">
        <f t="shared" si="44"/>
        <v>5.2098684819243603E-2</v>
      </c>
    </row>
    <row r="23" spans="2:35" x14ac:dyDescent="0.25">
      <c r="B23" t="s">
        <v>17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</row>
    <row r="24" spans="2:35" x14ac:dyDescent="0.25">
      <c r="B24" t="s">
        <v>3</v>
      </c>
      <c r="D24" s="13">
        <f>D12</f>
        <v>7.8609999999999985E-2</v>
      </c>
      <c r="E24" s="13">
        <f>E12</f>
        <v>0.60685999999999996</v>
      </c>
      <c r="F24" s="13">
        <f t="shared" ref="F24:AB24" si="45">F12</f>
        <v>0.20639999999999997</v>
      </c>
      <c r="G24" s="13">
        <f t="shared" si="45"/>
        <v>0.26188999999999996</v>
      </c>
      <c r="H24" s="13">
        <f t="shared" si="45"/>
        <v>0.33577999999999997</v>
      </c>
      <c r="I24" s="13">
        <f t="shared" si="45"/>
        <v>0.17234000000000005</v>
      </c>
      <c r="J24" s="13">
        <f t="shared" si="45"/>
        <v>8.6840000000000028E-2</v>
      </c>
      <c r="K24" s="13">
        <f t="shared" si="45"/>
        <v>0.29832000000000003</v>
      </c>
      <c r="L24" s="13">
        <f t="shared" si="45"/>
        <v>-5.9670000000000001E-2</v>
      </c>
      <c r="M24" s="13">
        <f t="shared" si="45"/>
        <v>0.36227000000000004</v>
      </c>
      <c r="N24" s="13">
        <f t="shared" si="45"/>
        <v>0.43946999999999997</v>
      </c>
      <c r="O24" s="13">
        <f t="shared" si="45"/>
        <v>0.40599999999999997</v>
      </c>
      <c r="P24" s="13">
        <f t="shared" si="45"/>
        <v>0.71840999999999999</v>
      </c>
      <c r="Q24" s="13">
        <f t="shared" si="45"/>
        <v>0.26196999999999993</v>
      </c>
      <c r="R24" s="13">
        <f t="shared" si="45"/>
        <v>1.0928199999999999</v>
      </c>
      <c r="S24" s="13">
        <f t="shared" si="45"/>
        <v>1.0569299999999999</v>
      </c>
      <c r="T24" s="13">
        <f t="shared" si="45"/>
        <v>0.96955999999999976</v>
      </c>
      <c r="U24" s="13">
        <f t="shared" si="45"/>
        <v>0.90338999999999992</v>
      </c>
      <c r="V24" s="13">
        <f t="shared" si="45"/>
        <v>0.89675999999999989</v>
      </c>
      <c r="W24" s="13">
        <f t="shared" si="45"/>
        <v>1.0126299999999997</v>
      </c>
      <c r="X24" s="13">
        <f t="shared" si="45"/>
        <v>1.0909399999999998</v>
      </c>
      <c r="Y24" s="13">
        <f t="shared" si="45"/>
        <v>1.4588500000000002</v>
      </c>
      <c r="Z24" s="13">
        <f t="shared" si="45"/>
        <v>1.7374100000000001</v>
      </c>
      <c r="AA24" s="13">
        <f t="shared" si="45"/>
        <v>1.6978099999999998</v>
      </c>
      <c r="AB24" s="13">
        <f t="shared" si="45"/>
        <v>1.8348100000000001</v>
      </c>
      <c r="AC24" s="13">
        <f t="shared" ref="AC24:AI24" si="46">AC12</f>
        <v>1.6398900000000003</v>
      </c>
      <c r="AD24" s="13">
        <f t="shared" si="46"/>
        <v>1.8659299999999999</v>
      </c>
      <c r="AE24" s="13">
        <f t="shared" si="46"/>
        <v>1.7142099999999998</v>
      </c>
      <c r="AF24" s="13">
        <f t="shared" si="46"/>
        <v>2.3779799999999995</v>
      </c>
      <c r="AG24" s="13">
        <f t="shared" si="46"/>
        <v>2.4071699999999998</v>
      </c>
      <c r="AH24" s="13">
        <f t="shared" si="46"/>
        <v>5.0458800000000004</v>
      </c>
      <c r="AI24" s="13">
        <f t="shared" si="46"/>
        <v>2.83962</v>
      </c>
    </row>
    <row r="25" spans="2:35" x14ac:dyDescent="0.25">
      <c r="B25" t="s">
        <v>18</v>
      </c>
      <c r="D25" s="13">
        <f>D24*D21</f>
        <v>7.1463636363636354E-2</v>
      </c>
      <c r="E25" s="13">
        <f>E24*E21</f>
        <v>0.50153719008264452</v>
      </c>
      <c r="F25" s="13">
        <f t="shared" ref="F25:AI25" si="47">F24*F21</f>
        <v>0.15507137490608558</v>
      </c>
      <c r="G25" s="13">
        <f t="shared" si="47"/>
        <v>0.17887439382555828</v>
      </c>
      <c r="H25" s="13">
        <f t="shared" si="47"/>
        <v>0.20849296185680302</v>
      </c>
      <c r="I25" s="13">
        <f t="shared" si="47"/>
        <v>9.7281437105467994E-2</v>
      </c>
      <c r="J25" s="13">
        <f t="shared" si="47"/>
        <v>4.4562650987154562E-2</v>
      </c>
      <c r="K25" s="13">
        <f t="shared" si="47"/>
        <v>0.13916848166416759</v>
      </c>
      <c r="L25" s="13">
        <f t="shared" si="47"/>
        <v>-2.530590488828616E-2</v>
      </c>
      <c r="M25" s="13">
        <f t="shared" si="47"/>
        <v>0.13967076746163637</v>
      </c>
      <c r="N25" s="13">
        <f t="shared" si="47"/>
        <v>0.15403155400508742</v>
      </c>
      <c r="O25" s="13">
        <f t="shared" si="47"/>
        <v>0.12936411199040476</v>
      </c>
      <c r="P25" s="13">
        <f t="shared" si="47"/>
        <v>0.20809778704663387</v>
      </c>
      <c r="Q25" s="13">
        <f t="shared" si="47"/>
        <v>6.8984888690563684E-2</v>
      </c>
      <c r="R25" s="13">
        <f t="shared" si="47"/>
        <v>0.26161241939160912</v>
      </c>
      <c r="S25" s="13">
        <f t="shared" si="47"/>
        <v>0.23001876249068168</v>
      </c>
      <c r="T25" s="13">
        <f t="shared" si="47"/>
        <v>0.19182227717881487</v>
      </c>
      <c r="U25" s="13">
        <f t="shared" si="47"/>
        <v>0.1624826322160845</v>
      </c>
      <c r="V25" s="13">
        <f t="shared" si="47"/>
        <v>0.14662742585362395</v>
      </c>
      <c r="W25" s="13">
        <f t="shared" si="47"/>
        <v>0.15052099704608837</v>
      </c>
      <c r="X25" s="13">
        <f t="shared" si="47"/>
        <v>0.14741934505150825</v>
      </c>
      <c r="Y25" s="13">
        <f t="shared" si="47"/>
        <v>0.17921384854795183</v>
      </c>
      <c r="Z25" s="13">
        <f t="shared" si="47"/>
        <v>0.19403074813330359</v>
      </c>
      <c r="AA25" s="13">
        <f t="shared" si="47"/>
        <v>0.17237117553150125</v>
      </c>
      <c r="AB25" s="13">
        <f t="shared" si="47"/>
        <v>0.16934562041525889</v>
      </c>
      <c r="AC25" s="13">
        <f t="shared" si="47"/>
        <v>0.13759571313689598</v>
      </c>
      <c r="AD25" s="13">
        <f t="shared" si="47"/>
        <v>0.14232881973432157</v>
      </c>
      <c r="AE25" s="13">
        <f t="shared" si="47"/>
        <v>0.11886906313681811</v>
      </c>
      <c r="AF25" s="13">
        <f t="shared" si="47"/>
        <v>0.14990645293702251</v>
      </c>
      <c r="AG25" s="13">
        <f t="shared" si="47"/>
        <v>0.13795143024997247</v>
      </c>
      <c r="AH25" s="13">
        <f t="shared" si="47"/>
        <v>0.26288371175572495</v>
      </c>
      <c r="AI25" s="13">
        <f t="shared" si="47"/>
        <v>0.134491333987655</v>
      </c>
    </row>
    <row r="26" spans="2:35" x14ac:dyDescent="0.25">
      <c r="B26" t="s">
        <v>30</v>
      </c>
      <c r="D26" s="11">
        <f>D24*D22</f>
        <v>7.8609999999999985E-2</v>
      </c>
      <c r="E26" s="11">
        <f>E24*E22</f>
        <v>0.55169090909090901</v>
      </c>
      <c r="F26" s="11">
        <f t="shared" ref="F26:AB26" si="48">F24*F22</f>
        <v>0.17057851239669417</v>
      </c>
      <c r="G26" s="11">
        <f t="shared" si="48"/>
        <v>0.19676183320811411</v>
      </c>
      <c r="H26" s="11">
        <f t="shared" si="48"/>
        <v>0.22934225804248334</v>
      </c>
      <c r="I26" s="11">
        <f t="shared" si="48"/>
        <v>0.10700958081601479</v>
      </c>
      <c r="J26" s="11">
        <f t="shared" si="48"/>
        <v>4.9018916085870029E-2</v>
      </c>
      <c r="K26" s="11">
        <f t="shared" si="48"/>
        <v>0.15308532983058437</v>
      </c>
      <c r="L26" s="11">
        <f t="shared" si="48"/>
        <v>-2.7836495377114776E-2</v>
      </c>
      <c r="M26" s="11">
        <f t="shared" si="48"/>
        <v>0.15363784420780002</v>
      </c>
      <c r="N26" s="11">
        <f t="shared" si="48"/>
        <v>0.16943470940559618</v>
      </c>
      <c r="O26" s="11">
        <f t="shared" si="48"/>
        <v>0.14230052318944522</v>
      </c>
      <c r="P26" s="11">
        <f t="shared" si="48"/>
        <v>0.22890756575129725</v>
      </c>
      <c r="Q26" s="11">
        <f t="shared" si="48"/>
        <v>7.5883377559620074E-2</v>
      </c>
      <c r="R26" s="11">
        <f t="shared" si="48"/>
        <v>0.28777366133077004</v>
      </c>
      <c r="S26" s="11">
        <f t="shared" si="48"/>
        <v>0.25302063873974984</v>
      </c>
      <c r="T26" s="11">
        <f t="shared" si="48"/>
        <v>0.21100450489669637</v>
      </c>
      <c r="U26" s="11">
        <f t="shared" si="48"/>
        <v>0.17873089543769297</v>
      </c>
      <c r="V26" s="11">
        <f t="shared" si="48"/>
        <v>0.16129016843898641</v>
      </c>
      <c r="W26" s="11">
        <f t="shared" si="48"/>
        <v>0.1655730967506972</v>
      </c>
      <c r="X26" s="11">
        <f t="shared" si="48"/>
        <v>0.16216127955665907</v>
      </c>
      <c r="Y26" s="11">
        <f t="shared" si="48"/>
        <v>0.19713523340274705</v>
      </c>
      <c r="Z26" s="11">
        <f t="shared" si="48"/>
        <v>0.21343382294663396</v>
      </c>
      <c r="AA26" s="11">
        <f t="shared" si="48"/>
        <v>0.18960829308465135</v>
      </c>
      <c r="AB26" s="11">
        <f t="shared" si="48"/>
        <v>0.18628018245678485</v>
      </c>
      <c r="AC26" s="11">
        <f t="shared" ref="AC26:AI26" si="49">AC24*AC22</f>
        <v>0.15135528445058558</v>
      </c>
      <c r="AD26" s="11">
        <f t="shared" si="49"/>
        <v>0.15656170170775374</v>
      </c>
      <c r="AE26" s="11">
        <f t="shared" si="49"/>
        <v>0.13075596945049994</v>
      </c>
      <c r="AF26" s="11">
        <f t="shared" si="49"/>
        <v>0.16489709823072476</v>
      </c>
      <c r="AG26" s="11">
        <f t="shared" si="49"/>
        <v>0.15174657327496974</v>
      </c>
      <c r="AH26" s="11">
        <f t="shared" si="49"/>
        <v>0.28917208293129743</v>
      </c>
      <c r="AI26" s="11">
        <f t="shared" si="49"/>
        <v>0.14794046738642053</v>
      </c>
    </row>
    <row r="27" spans="2:35" x14ac:dyDescent="0.25">
      <c r="B27" t="s">
        <v>10</v>
      </c>
      <c r="C27" s="10">
        <f>1/C10</f>
        <v>10</v>
      </c>
      <c r="D27" s="10">
        <f>1/D10</f>
        <v>10</v>
      </c>
      <c r="E27" s="10">
        <f>1/E10</f>
        <v>10</v>
      </c>
      <c r="F27" s="10">
        <f t="shared" ref="F27:AB27" si="50">1/F10</f>
        <v>10</v>
      </c>
      <c r="G27" s="10">
        <f t="shared" si="50"/>
        <v>10</v>
      </c>
      <c r="H27" s="10">
        <f t="shared" si="50"/>
        <v>10</v>
      </c>
      <c r="I27" s="10">
        <f t="shared" si="50"/>
        <v>10</v>
      </c>
      <c r="J27" s="10">
        <f t="shared" si="50"/>
        <v>10</v>
      </c>
      <c r="K27" s="10">
        <f t="shared" si="50"/>
        <v>10</v>
      </c>
      <c r="L27" s="10">
        <f t="shared" si="50"/>
        <v>10</v>
      </c>
      <c r="M27" s="10">
        <f t="shared" si="50"/>
        <v>10</v>
      </c>
      <c r="N27" s="10">
        <f t="shared" si="50"/>
        <v>10</v>
      </c>
      <c r="O27" s="10">
        <f t="shared" si="50"/>
        <v>10</v>
      </c>
      <c r="P27" s="10">
        <f t="shared" si="50"/>
        <v>10</v>
      </c>
      <c r="Q27" s="10">
        <f t="shared" si="50"/>
        <v>10</v>
      </c>
      <c r="R27" s="10">
        <f t="shared" si="50"/>
        <v>10</v>
      </c>
      <c r="S27" s="10">
        <f t="shared" si="50"/>
        <v>10</v>
      </c>
      <c r="T27" s="10">
        <f t="shared" si="50"/>
        <v>10</v>
      </c>
      <c r="U27" s="10">
        <f t="shared" si="50"/>
        <v>10</v>
      </c>
      <c r="V27" s="10">
        <f t="shared" si="50"/>
        <v>10</v>
      </c>
      <c r="W27" s="10">
        <f t="shared" si="50"/>
        <v>10</v>
      </c>
      <c r="X27" s="10">
        <f t="shared" si="50"/>
        <v>10</v>
      </c>
      <c r="Y27" s="10">
        <f t="shared" si="50"/>
        <v>10</v>
      </c>
      <c r="Z27" s="10">
        <f t="shared" si="50"/>
        <v>10</v>
      </c>
      <c r="AA27" s="10">
        <f t="shared" si="50"/>
        <v>10</v>
      </c>
      <c r="AB27" s="10">
        <f t="shared" si="50"/>
        <v>10</v>
      </c>
      <c r="AC27" s="10">
        <f t="shared" ref="AC27:AI27" si="51">1/AC10</f>
        <v>10</v>
      </c>
      <c r="AD27" s="10">
        <f t="shared" si="51"/>
        <v>10</v>
      </c>
      <c r="AE27" s="10">
        <f t="shared" si="51"/>
        <v>10</v>
      </c>
      <c r="AF27" s="10">
        <f t="shared" si="51"/>
        <v>10</v>
      </c>
      <c r="AG27" s="10">
        <f t="shared" si="51"/>
        <v>10</v>
      </c>
      <c r="AH27" s="10">
        <f t="shared" si="51"/>
        <v>10</v>
      </c>
      <c r="AI27" s="10">
        <f t="shared" si="51"/>
        <v>10</v>
      </c>
    </row>
    <row r="28" spans="2:35" x14ac:dyDescent="0.25">
      <c r="B28" t="s">
        <v>20</v>
      </c>
      <c r="D28" s="11">
        <f>D24*D27</f>
        <v>0.7860999999999998</v>
      </c>
      <c r="E28" s="11">
        <f>E24*E27</f>
        <v>6.0686</v>
      </c>
      <c r="F28" s="11">
        <f t="shared" ref="F28:AI28" si="52">F24*F27</f>
        <v>2.0639999999999996</v>
      </c>
      <c r="G28" s="11">
        <f t="shared" si="52"/>
        <v>2.6188999999999996</v>
      </c>
      <c r="H28" s="11">
        <f t="shared" si="52"/>
        <v>3.3577999999999997</v>
      </c>
      <c r="I28" s="11">
        <f t="shared" si="52"/>
        <v>1.7234000000000005</v>
      </c>
      <c r="J28" s="11">
        <f t="shared" si="52"/>
        <v>0.86840000000000028</v>
      </c>
      <c r="K28" s="11">
        <f t="shared" si="52"/>
        <v>2.9832000000000001</v>
      </c>
      <c r="L28" s="11">
        <f t="shared" si="52"/>
        <v>-0.59670000000000001</v>
      </c>
      <c r="M28" s="11">
        <f t="shared" si="52"/>
        <v>3.6227000000000005</v>
      </c>
      <c r="N28" s="11">
        <f t="shared" si="52"/>
        <v>4.3946999999999994</v>
      </c>
      <c r="O28" s="11">
        <f t="shared" si="52"/>
        <v>4.0599999999999996</v>
      </c>
      <c r="P28" s="11">
        <f t="shared" si="52"/>
        <v>7.1840999999999999</v>
      </c>
      <c r="Q28" s="11">
        <f t="shared" si="52"/>
        <v>2.619699999999999</v>
      </c>
      <c r="R28" s="11">
        <f t="shared" si="52"/>
        <v>10.928199999999999</v>
      </c>
      <c r="S28" s="11">
        <f t="shared" si="52"/>
        <v>10.569299999999998</v>
      </c>
      <c r="T28" s="11">
        <f t="shared" si="52"/>
        <v>9.6955999999999971</v>
      </c>
      <c r="U28" s="11">
        <f t="shared" si="52"/>
        <v>9.0338999999999992</v>
      </c>
      <c r="V28" s="11">
        <f t="shared" si="52"/>
        <v>8.9675999999999991</v>
      </c>
      <c r="W28" s="11">
        <f t="shared" si="52"/>
        <v>10.126299999999997</v>
      </c>
      <c r="X28" s="11">
        <f t="shared" si="52"/>
        <v>10.909399999999998</v>
      </c>
      <c r="Y28" s="11">
        <f t="shared" si="52"/>
        <v>14.588500000000002</v>
      </c>
      <c r="Z28" s="11">
        <f t="shared" si="52"/>
        <v>17.374100000000002</v>
      </c>
      <c r="AA28" s="11">
        <f t="shared" si="52"/>
        <v>16.978099999999998</v>
      </c>
      <c r="AB28" s="11">
        <f t="shared" si="52"/>
        <v>18.348100000000002</v>
      </c>
      <c r="AC28" s="11">
        <f t="shared" si="52"/>
        <v>16.398900000000005</v>
      </c>
      <c r="AD28" s="11">
        <f t="shared" si="52"/>
        <v>18.659299999999998</v>
      </c>
      <c r="AE28" s="11">
        <f t="shared" si="52"/>
        <v>17.142099999999999</v>
      </c>
      <c r="AF28" s="11">
        <f t="shared" si="52"/>
        <v>23.779799999999994</v>
      </c>
      <c r="AG28" s="11">
        <f t="shared" si="52"/>
        <v>24.0717</v>
      </c>
      <c r="AH28" s="11">
        <f t="shared" si="52"/>
        <v>50.458800000000004</v>
      </c>
      <c r="AI28" s="11">
        <f t="shared" si="52"/>
        <v>28.3962</v>
      </c>
    </row>
    <row r="29" spans="2:35" x14ac:dyDescent="0.25">
      <c r="B29" t="s">
        <v>1</v>
      </c>
      <c r="C29" s="11"/>
      <c r="D29" s="11">
        <f>C7</f>
        <v>1.5019</v>
      </c>
      <c r="E29" s="11">
        <f>D29</f>
        <v>1.5019</v>
      </c>
      <c r="F29" s="11">
        <f t="shared" ref="F29:AB29" si="53">E7</f>
        <v>2.0859999999999999</v>
      </c>
      <c r="G29" s="11">
        <f t="shared" ref="G29:AB29" si="54">F29</f>
        <v>2.0859999999999999</v>
      </c>
      <c r="H29" s="11">
        <f t="shared" ref="H29:AB29" si="55">G7</f>
        <v>2.4421999999999997</v>
      </c>
      <c r="I29" s="11">
        <f t="shared" ref="I29:AB29" si="56">H29</f>
        <v>2.4421999999999997</v>
      </c>
      <c r="J29" s="11">
        <f t="shared" ref="J29:AB29" si="57">I7</f>
        <v>2.8815999999999997</v>
      </c>
      <c r="K29" s="11">
        <f t="shared" ref="K29:AB29" si="58">J29</f>
        <v>2.8815999999999997</v>
      </c>
      <c r="L29" s="11">
        <f t="shared" ref="L29:AB29" si="59">K7</f>
        <v>3.1966999999999999</v>
      </c>
      <c r="M29" s="11">
        <f t="shared" ref="M29:AB29" si="60">L29</f>
        <v>3.1966999999999999</v>
      </c>
      <c r="N29" s="11">
        <f t="shared" ref="N29:AB29" si="61">M7</f>
        <v>2.6552999999999995</v>
      </c>
      <c r="O29" s="11">
        <f t="shared" ref="O29:AB29" si="62">N29</f>
        <v>2.6552999999999995</v>
      </c>
      <c r="P29" s="11">
        <f t="shared" ref="P29:AB29" si="63">O7</f>
        <v>2.7159000000000004</v>
      </c>
      <c r="Q29" s="11">
        <f t="shared" ref="Q29:AB29" si="64">P29</f>
        <v>2.7159000000000004</v>
      </c>
      <c r="R29" s="11">
        <f t="shared" ref="R29:AB29" si="65">Q7</f>
        <v>1.6718000000000006</v>
      </c>
      <c r="S29" s="11">
        <f t="shared" ref="S29:AB29" si="66">R29</f>
        <v>1.6718000000000006</v>
      </c>
      <c r="T29" s="11">
        <f t="shared" ref="T29:AB29" si="67">S7</f>
        <v>5.5044000000000022</v>
      </c>
      <c r="U29" s="11">
        <f t="shared" ref="U29:AB29" si="68">T29</f>
        <v>5.5044000000000022</v>
      </c>
      <c r="V29" s="11">
        <f t="shared" ref="V29:AB29" si="69">U7</f>
        <v>6.0324000000000009</v>
      </c>
      <c r="W29" s="11">
        <f t="shared" ref="W29:AB29" si="70">V29</f>
        <v>6.0324000000000009</v>
      </c>
      <c r="X29" s="11">
        <f t="shared" ref="X29:AB29" si="71">W7</f>
        <v>8.4906000000000006</v>
      </c>
      <c r="Y29" s="11">
        <f t="shared" ref="Y29:AB29" si="72">X29</f>
        <v>8.4906000000000006</v>
      </c>
      <c r="Z29" s="11">
        <f t="shared" ref="Z29:AB29" si="73">Y7</f>
        <v>10.125899999999998</v>
      </c>
      <c r="AA29" s="11">
        <f t="shared" ref="AA29:AB29" si="74">Z29</f>
        <v>10.125899999999998</v>
      </c>
      <c r="AB29" s="11">
        <f t="shared" ref="AB29:AC29" si="75">AA7</f>
        <v>12.051899999999998</v>
      </c>
      <c r="AC29" s="11">
        <f t="shared" si="75"/>
        <v>12.701099999999999</v>
      </c>
      <c r="AD29" s="11">
        <f>AC7</f>
        <v>14.740699999999999</v>
      </c>
      <c r="AE29" s="11">
        <f>AD7</f>
        <v>13.9579</v>
      </c>
      <c r="AF29" s="11">
        <f>AE7</f>
        <v>13.120200000000002</v>
      </c>
      <c r="AG29" s="11">
        <f>AF7</f>
        <v>13.128299999999999</v>
      </c>
      <c r="AH29" s="11">
        <f>AG7</f>
        <v>19.5412</v>
      </c>
      <c r="AI29" s="11">
        <f>AH7</f>
        <v>24.003799999999998</v>
      </c>
    </row>
    <row r="30" spans="2:35" x14ac:dyDescent="0.25">
      <c r="B30" t="s">
        <v>19</v>
      </c>
      <c r="D30" s="11">
        <f>SUM($C25:C25)</f>
        <v>0</v>
      </c>
      <c r="E30" s="11">
        <f>SUM($C25:D25)</f>
        <v>7.1463636363636354E-2</v>
      </c>
      <c r="F30" s="11">
        <f>SUM($C25:E25)</f>
        <v>0.57300082644628092</v>
      </c>
      <c r="G30" s="11">
        <f>SUM($C25:F25)</f>
        <v>0.7280722013523665</v>
      </c>
      <c r="H30" s="11">
        <f>SUM($C25:G25)</f>
        <v>0.90694659517792475</v>
      </c>
      <c r="I30" s="11">
        <f>SUM($C25:H25)</f>
        <v>1.1154395570347277</v>
      </c>
      <c r="J30" s="11">
        <f>SUM($C25:I25)</f>
        <v>1.2127209941401957</v>
      </c>
      <c r="K30" s="11">
        <f>SUM($C25:J25)</f>
        <v>1.2572836451273504</v>
      </c>
      <c r="L30" s="11">
        <f>SUM($C25:K25)</f>
        <v>1.396452126791518</v>
      </c>
      <c r="M30" s="11">
        <f>SUM($C25:L25)</f>
        <v>1.3711462219032318</v>
      </c>
      <c r="N30" s="11">
        <f>SUM($C25:M25)</f>
        <v>1.5108169893648682</v>
      </c>
      <c r="O30" s="11">
        <f>SUM($C25:N25)</f>
        <v>1.6648485433699556</v>
      </c>
      <c r="P30" s="11">
        <f>SUM($C25:O25)</f>
        <v>1.7942126553603603</v>
      </c>
      <c r="Q30" s="11">
        <f>SUM($C25:P25)</f>
        <v>2.0023104424069942</v>
      </c>
      <c r="R30" s="11">
        <f>SUM($C25:Q25)</f>
        <v>2.0712953310975579</v>
      </c>
      <c r="S30" s="11">
        <f>SUM($C25:R25)</f>
        <v>2.3329077504891669</v>
      </c>
      <c r="T30" s="11">
        <f>SUM($C25:S25)</f>
        <v>2.5629265129798484</v>
      </c>
      <c r="U30" s="11">
        <f>SUM($C25:T25)</f>
        <v>2.7547487901586631</v>
      </c>
      <c r="V30" s="11">
        <f>SUM($C25:U25)</f>
        <v>2.9172314223747478</v>
      </c>
      <c r="W30" s="11">
        <f>SUM($C25:V25)</f>
        <v>3.0638588482283717</v>
      </c>
      <c r="X30" s="11">
        <f>SUM($C25:W25)</f>
        <v>3.2143798452744603</v>
      </c>
      <c r="Y30" s="11">
        <f>SUM($C25:X25)</f>
        <v>3.3617991903259687</v>
      </c>
      <c r="Z30" s="11">
        <f>SUM($C25:Y25)</f>
        <v>3.5410130388739205</v>
      </c>
      <c r="AA30" s="11">
        <f>SUM($C25:Z25)</f>
        <v>3.7350437870072239</v>
      </c>
      <c r="AB30" s="11">
        <f>SUM($C25:AA25)</f>
        <v>3.9074149625387253</v>
      </c>
      <c r="AC30" s="11">
        <f>SUM($C25:AB25)</f>
        <v>4.0767605829539839</v>
      </c>
      <c r="AD30" s="11">
        <f>SUM($C25:AC25)</f>
        <v>4.2143562960908802</v>
      </c>
      <c r="AE30" s="11">
        <f>SUM($C25:AD25)</f>
        <v>4.3566851158252016</v>
      </c>
      <c r="AF30" s="11">
        <f>SUM($C25:AE25)</f>
        <v>4.4755541789620192</v>
      </c>
      <c r="AG30" s="11">
        <f>SUM($C25:AF25)</f>
        <v>4.6254606318990419</v>
      </c>
      <c r="AH30" s="11">
        <f>SUM($C25:AG25)</f>
        <v>4.7634120621490146</v>
      </c>
      <c r="AI30" s="11">
        <f>SUM($C25:AH25)</f>
        <v>5.0262957739047396</v>
      </c>
    </row>
    <row r="31" spans="2:35" x14ac:dyDescent="0.25">
      <c r="B31" t="s">
        <v>21</v>
      </c>
      <c r="D31" s="11">
        <f>D28*D22</f>
        <v>0.7860999999999998</v>
      </c>
      <c r="E31" s="11">
        <f>E28*E22</f>
        <v>5.516909090909091</v>
      </c>
      <c r="F31" s="11">
        <f t="shared" ref="F31:AB31" si="76">F28*F22</f>
        <v>1.7057851239669417</v>
      </c>
      <c r="G31" s="11">
        <f t="shared" si="76"/>
        <v>1.9676183320811411</v>
      </c>
      <c r="H31" s="11">
        <f t="shared" si="76"/>
        <v>2.2934225804248336</v>
      </c>
      <c r="I31" s="11">
        <f t="shared" si="76"/>
        <v>1.0700958081601479</v>
      </c>
      <c r="J31" s="11">
        <f t="shared" si="76"/>
        <v>0.49018916085870029</v>
      </c>
      <c r="K31" s="11">
        <f t="shared" si="76"/>
        <v>1.5308532983058436</v>
      </c>
      <c r="L31" s="11">
        <f t="shared" si="76"/>
        <v>-0.27836495377114778</v>
      </c>
      <c r="M31" s="11">
        <f t="shared" si="76"/>
        <v>1.5363784420780005</v>
      </c>
      <c r="N31" s="11">
        <f t="shared" si="76"/>
        <v>1.6943470940559617</v>
      </c>
      <c r="O31" s="11">
        <f t="shared" si="76"/>
        <v>1.4230052318944522</v>
      </c>
      <c r="P31" s="11">
        <f t="shared" si="76"/>
        <v>2.2890756575129725</v>
      </c>
      <c r="Q31" s="11">
        <f t="shared" si="76"/>
        <v>0.75883377559620069</v>
      </c>
      <c r="R31" s="11">
        <f t="shared" si="76"/>
        <v>2.8777366133077003</v>
      </c>
      <c r="S31" s="11">
        <f t="shared" si="76"/>
        <v>2.5302063873974983</v>
      </c>
      <c r="T31" s="11">
        <f t="shared" si="76"/>
        <v>2.1100450489669633</v>
      </c>
      <c r="U31" s="11">
        <f t="shared" si="76"/>
        <v>1.7873089543769296</v>
      </c>
      <c r="V31" s="11">
        <f t="shared" si="76"/>
        <v>1.612901684389864</v>
      </c>
      <c r="W31" s="11">
        <f t="shared" si="76"/>
        <v>1.6557309675069718</v>
      </c>
      <c r="X31" s="11">
        <f t="shared" si="76"/>
        <v>1.6216127955665907</v>
      </c>
      <c r="Y31" s="11">
        <f t="shared" si="76"/>
        <v>1.9713523340274703</v>
      </c>
      <c r="Z31" s="11">
        <f t="shared" si="76"/>
        <v>2.1343382294663398</v>
      </c>
      <c r="AA31" s="11">
        <f t="shared" si="76"/>
        <v>1.8960829308465135</v>
      </c>
      <c r="AB31" s="11">
        <f t="shared" si="76"/>
        <v>1.8628018245678486</v>
      </c>
      <c r="AC31" s="11">
        <f t="shared" ref="AC31:AI31" si="77">AC28*AC22</f>
        <v>1.5135528445058561</v>
      </c>
      <c r="AD31" s="11">
        <f t="shared" si="77"/>
        <v>1.5656170170775372</v>
      </c>
      <c r="AE31" s="11">
        <f t="shared" si="77"/>
        <v>1.3075596945049994</v>
      </c>
      <c r="AF31" s="11">
        <f t="shared" si="77"/>
        <v>1.6489709823072478</v>
      </c>
      <c r="AG31" s="11">
        <f t="shared" si="77"/>
        <v>1.5174657327496974</v>
      </c>
      <c r="AH31" s="11">
        <f t="shared" si="77"/>
        <v>2.8917208293129741</v>
      </c>
      <c r="AI31" s="11">
        <f t="shared" si="77"/>
        <v>1.4794046738642053</v>
      </c>
    </row>
    <row r="32" spans="2:35" x14ac:dyDescent="0.25">
      <c r="B32" s="14" t="s">
        <v>22</v>
      </c>
      <c r="C32" s="15"/>
      <c r="D32" s="16">
        <f>SUM(D29:D31)</f>
        <v>2.2879999999999998</v>
      </c>
      <c r="E32" s="16">
        <f>SUM(E29:E31)</f>
        <v>7.0902727272727271</v>
      </c>
      <c r="F32" s="16">
        <f t="shared" ref="F32:AI32" si="78">SUM(F29:F31)</f>
        <v>4.3647859504132231</v>
      </c>
      <c r="G32" s="16">
        <f t="shared" si="78"/>
        <v>4.7816905334335074</v>
      </c>
      <c r="H32" s="16">
        <f t="shared" si="78"/>
        <v>5.6425691756027581</v>
      </c>
      <c r="I32" s="16">
        <f t="shared" si="78"/>
        <v>4.6277353651948756</v>
      </c>
      <c r="J32" s="16">
        <f t="shared" si="78"/>
        <v>4.5845101549988962</v>
      </c>
      <c r="K32" s="16">
        <f t="shared" si="78"/>
        <v>5.6697369434331941</v>
      </c>
      <c r="L32" s="16">
        <f t="shared" si="78"/>
        <v>4.3147871730203695</v>
      </c>
      <c r="M32" s="16">
        <f t="shared" si="78"/>
        <v>6.1042246639812312</v>
      </c>
      <c r="N32" s="16">
        <f t="shared" si="78"/>
        <v>5.8604640834208297</v>
      </c>
      <c r="O32" s="16">
        <f t="shared" si="78"/>
        <v>5.7431537752644068</v>
      </c>
      <c r="P32" s="16">
        <f t="shared" si="78"/>
        <v>6.7991883128733335</v>
      </c>
      <c r="Q32" s="16">
        <f t="shared" si="78"/>
        <v>5.4770442180031953</v>
      </c>
      <c r="R32" s="16">
        <f t="shared" si="78"/>
        <v>6.6208319444052588</v>
      </c>
      <c r="S32" s="16">
        <f t="shared" si="78"/>
        <v>6.5349141378866662</v>
      </c>
      <c r="T32" s="16">
        <f t="shared" si="78"/>
        <v>10.177371561946813</v>
      </c>
      <c r="U32" s="16">
        <f t="shared" si="78"/>
        <v>10.046457744535594</v>
      </c>
      <c r="V32" s="16">
        <f t="shared" si="78"/>
        <v>10.562533106764613</v>
      </c>
      <c r="W32" s="16">
        <f t="shared" si="78"/>
        <v>10.751989815735346</v>
      </c>
      <c r="X32" s="16">
        <f t="shared" si="78"/>
        <v>13.326592640841053</v>
      </c>
      <c r="Y32" s="16">
        <f t="shared" si="78"/>
        <v>13.823751524353439</v>
      </c>
      <c r="Z32" s="16">
        <f t="shared" si="78"/>
        <v>15.801251268340259</v>
      </c>
      <c r="AA32" s="16">
        <f t="shared" si="78"/>
        <v>15.757026717853737</v>
      </c>
      <c r="AB32" s="16">
        <f t="shared" si="78"/>
        <v>17.822116787106573</v>
      </c>
      <c r="AC32" s="16">
        <f t="shared" si="78"/>
        <v>18.29141342745984</v>
      </c>
      <c r="AD32" s="16">
        <f t="shared" si="78"/>
        <v>20.520673313168416</v>
      </c>
      <c r="AE32" s="16">
        <f t="shared" si="78"/>
        <v>19.622144810330202</v>
      </c>
      <c r="AF32" s="16">
        <f t="shared" si="78"/>
        <v>19.244725161269269</v>
      </c>
      <c r="AG32" s="16">
        <f t="shared" si="78"/>
        <v>19.27122636464874</v>
      </c>
      <c r="AH32" s="16">
        <f t="shared" si="78"/>
        <v>27.196332891461989</v>
      </c>
      <c r="AI32" s="16">
        <f t="shared" si="78"/>
        <v>30.509500447768943</v>
      </c>
    </row>
    <row r="34" spans="2:35" s="19" customFormat="1" ht="19.5" customHeight="1" x14ac:dyDescent="0.25">
      <c r="B34" s="17" t="s">
        <v>26</v>
      </c>
      <c r="C34" s="18">
        <f>C$2</f>
        <v>1987</v>
      </c>
      <c r="D34" s="18">
        <f>D$2</f>
        <v>1988</v>
      </c>
      <c r="E34" s="18">
        <f>E$2</f>
        <v>1989</v>
      </c>
      <c r="F34" s="18">
        <f t="shared" ref="F34:AI34" si="79">F$2</f>
        <v>1990</v>
      </c>
      <c r="G34" s="18">
        <f t="shared" si="79"/>
        <v>1991</v>
      </c>
      <c r="H34" s="18">
        <f t="shared" si="79"/>
        <v>1992</v>
      </c>
      <c r="I34" s="18">
        <f t="shared" si="79"/>
        <v>1993</v>
      </c>
      <c r="J34" s="18">
        <f t="shared" si="79"/>
        <v>1994</v>
      </c>
      <c r="K34" s="18">
        <f t="shared" si="79"/>
        <v>1995</v>
      </c>
      <c r="L34" s="18">
        <f t="shared" si="79"/>
        <v>1996</v>
      </c>
      <c r="M34" s="18">
        <f t="shared" si="79"/>
        <v>1997</v>
      </c>
      <c r="N34" s="18">
        <f t="shared" si="79"/>
        <v>1998</v>
      </c>
      <c r="O34" s="18">
        <f t="shared" si="79"/>
        <v>1999</v>
      </c>
      <c r="P34" s="18">
        <f t="shared" si="79"/>
        <v>2000</v>
      </c>
      <c r="Q34" s="18">
        <f t="shared" si="79"/>
        <v>2001</v>
      </c>
      <c r="R34" s="18">
        <f t="shared" si="79"/>
        <v>2002</v>
      </c>
      <c r="S34" s="18">
        <f t="shared" si="79"/>
        <v>2003</v>
      </c>
      <c r="T34" s="18">
        <f t="shared" si="79"/>
        <v>2004</v>
      </c>
      <c r="U34" s="18">
        <f t="shared" si="79"/>
        <v>2005</v>
      </c>
      <c r="V34" s="18">
        <f t="shared" si="79"/>
        <v>2006</v>
      </c>
      <c r="W34" s="18">
        <f t="shared" si="79"/>
        <v>2007</v>
      </c>
      <c r="X34" s="18">
        <f t="shared" si="79"/>
        <v>2008</v>
      </c>
      <c r="Y34" s="18">
        <f t="shared" si="79"/>
        <v>2009</v>
      </c>
      <c r="Z34" s="18">
        <f t="shared" si="79"/>
        <v>2010</v>
      </c>
      <c r="AA34" s="18">
        <f t="shared" si="79"/>
        <v>2011</v>
      </c>
      <c r="AB34" s="18">
        <f t="shared" si="79"/>
        <v>2012</v>
      </c>
      <c r="AC34" s="18">
        <f t="shared" si="79"/>
        <v>2013</v>
      </c>
      <c r="AD34" s="18">
        <f t="shared" si="79"/>
        <v>2014</v>
      </c>
      <c r="AE34" s="18">
        <f t="shared" si="79"/>
        <v>2015</v>
      </c>
      <c r="AF34" s="18">
        <f t="shared" si="79"/>
        <v>2016</v>
      </c>
      <c r="AG34" s="18">
        <f t="shared" si="79"/>
        <v>2017</v>
      </c>
      <c r="AH34" s="18">
        <f t="shared" si="79"/>
        <v>2018</v>
      </c>
      <c r="AI34" s="18">
        <f t="shared" si="79"/>
        <v>2019</v>
      </c>
    </row>
    <row r="35" spans="2:35" x14ac:dyDescent="0.25">
      <c r="B35" t="s">
        <v>1</v>
      </c>
      <c r="D35" s="11">
        <f>D29</f>
        <v>1.5019</v>
      </c>
      <c r="E35" s="11">
        <f>E29</f>
        <v>1.5019</v>
      </c>
      <c r="F35" s="11">
        <f t="shared" ref="F35:AB35" si="80">F29</f>
        <v>2.0859999999999999</v>
      </c>
      <c r="G35" s="11">
        <f t="shared" si="80"/>
        <v>2.0859999999999999</v>
      </c>
      <c r="H35" s="11">
        <f t="shared" si="80"/>
        <v>2.4421999999999997</v>
      </c>
      <c r="I35" s="11">
        <f t="shared" si="80"/>
        <v>2.4421999999999997</v>
      </c>
      <c r="J35" s="11">
        <f t="shared" si="80"/>
        <v>2.8815999999999997</v>
      </c>
      <c r="K35" s="11">
        <f t="shared" si="80"/>
        <v>2.8815999999999997</v>
      </c>
      <c r="L35" s="11">
        <f t="shared" si="80"/>
        <v>3.1966999999999999</v>
      </c>
      <c r="M35" s="11">
        <f t="shared" si="80"/>
        <v>3.1966999999999999</v>
      </c>
      <c r="N35" s="11">
        <f t="shared" si="80"/>
        <v>2.6552999999999995</v>
      </c>
      <c r="O35" s="11">
        <f t="shared" si="80"/>
        <v>2.6552999999999995</v>
      </c>
      <c r="P35" s="11">
        <f t="shared" si="80"/>
        <v>2.7159000000000004</v>
      </c>
      <c r="Q35" s="11">
        <f t="shared" si="80"/>
        <v>2.7159000000000004</v>
      </c>
      <c r="R35" s="11">
        <f t="shared" si="80"/>
        <v>1.6718000000000006</v>
      </c>
      <c r="S35" s="11">
        <f t="shared" si="80"/>
        <v>1.6718000000000006</v>
      </c>
      <c r="T35" s="11">
        <f t="shared" si="80"/>
        <v>5.5044000000000022</v>
      </c>
      <c r="U35" s="11">
        <f t="shared" si="80"/>
        <v>5.5044000000000022</v>
      </c>
      <c r="V35" s="11">
        <f t="shared" si="80"/>
        <v>6.0324000000000009</v>
      </c>
      <c r="W35" s="11">
        <f t="shared" si="80"/>
        <v>6.0324000000000009</v>
      </c>
      <c r="X35" s="11">
        <f t="shared" si="80"/>
        <v>8.4906000000000006</v>
      </c>
      <c r="Y35" s="11">
        <f t="shared" si="80"/>
        <v>8.4906000000000006</v>
      </c>
      <c r="Z35" s="11">
        <f t="shared" si="80"/>
        <v>10.125899999999998</v>
      </c>
      <c r="AA35" s="11">
        <f t="shared" si="80"/>
        <v>10.125899999999998</v>
      </c>
      <c r="AB35" s="11">
        <f t="shared" si="80"/>
        <v>12.051899999999998</v>
      </c>
      <c r="AC35" s="11">
        <f t="shared" ref="AC35:AI35" si="81">AC29</f>
        <v>12.701099999999999</v>
      </c>
      <c r="AD35" s="11">
        <f t="shared" si="81"/>
        <v>14.740699999999999</v>
      </c>
      <c r="AE35" s="11">
        <f t="shared" si="81"/>
        <v>13.9579</v>
      </c>
      <c r="AF35" s="11">
        <f t="shared" si="81"/>
        <v>13.120200000000002</v>
      </c>
      <c r="AG35" s="11">
        <f t="shared" si="81"/>
        <v>13.128299999999999</v>
      </c>
      <c r="AH35" s="11">
        <f t="shared" si="81"/>
        <v>19.5412</v>
      </c>
      <c r="AI35" s="11">
        <f t="shared" si="81"/>
        <v>24.003799999999998</v>
      </c>
    </row>
    <row r="36" spans="2:35" x14ac:dyDescent="0.25">
      <c r="B36" s="3" t="s">
        <v>25</v>
      </c>
      <c r="D36" s="8">
        <f>D35/D$43</f>
        <v>1.3772581384685925</v>
      </c>
      <c r="E36" s="8">
        <f>E35/E$43</f>
        <v>1.3772581384685925</v>
      </c>
      <c r="F36" s="8">
        <f>F35/F$43</f>
        <v>1.9128839981659786</v>
      </c>
      <c r="G36" s="8">
        <f>G35/G$43</f>
        <v>1.9128839981659786</v>
      </c>
      <c r="H36" s="8">
        <f>H35/H$43</f>
        <v>2.2395231545162768</v>
      </c>
      <c r="I36" s="8">
        <f>I35/I$43</f>
        <v>2.2395231545162768</v>
      </c>
      <c r="J36" s="8">
        <f>J35/J$43</f>
        <v>2.6424575882622645</v>
      </c>
      <c r="K36" s="8">
        <f>K35/K$43</f>
        <v>2.6424575882622645</v>
      </c>
      <c r="L36" s="8">
        <f>L35/L$43</f>
        <v>2.9314076111875287</v>
      </c>
      <c r="M36" s="8">
        <f>M35/M$43</f>
        <v>2.9314076111875287</v>
      </c>
      <c r="N36" s="8">
        <f>N35/N$43</f>
        <v>2.4349381017881702</v>
      </c>
      <c r="O36" s="8">
        <f>O35/O$43</f>
        <v>2.4349381017881702</v>
      </c>
      <c r="P36" s="8">
        <f>P35/P$43</f>
        <v>2.4905089408528203</v>
      </c>
      <c r="Q36" s="8">
        <f>Q35/Q$43</f>
        <v>2.4905089408528203</v>
      </c>
      <c r="R36" s="8">
        <f>R35/R$43</f>
        <v>1.5330582301696474</v>
      </c>
      <c r="S36" s="8">
        <f>S35/S$43</f>
        <v>1.5330582301696474</v>
      </c>
      <c r="T36" s="8">
        <f>T35/T$43</f>
        <v>5.0475928473177456</v>
      </c>
      <c r="U36" s="8">
        <f>U35/U$43</f>
        <v>5.0475928473177456</v>
      </c>
      <c r="V36" s="8">
        <f>V35/V$43</f>
        <v>5.5317744154057777</v>
      </c>
      <c r="W36" s="8">
        <f>W35/W$43</f>
        <v>5.5317744154057777</v>
      </c>
      <c r="X36" s="8">
        <f>X35/X$43</f>
        <v>7.7859697386519953</v>
      </c>
      <c r="Y36" s="8">
        <f>Y35/Y$43</f>
        <v>7.7859697386519953</v>
      </c>
      <c r="Z36" s="8">
        <f>Z35/Z$43</f>
        <v>9.2855570839064629</v>
      </c>
      <c r="AA36" s="8">
        <f>AA35/AA$43</f>
        <v>9.2855570839064629</v>
      </c>
      <c r="AB36" s="8">
        <f>AB35/AB$43</f>
        <v>11.051719394773038</v>
      </c>
      <c r="AC36" s="8">
        <f>AC35/AC$43</f>
        <v>11.647042640990369</v>
      </c>
      <c r="AD36" s="8">
        <f>AD35/AD$43</f>
        <v>13.517377349839521</v>
      </c>
      <c r="AE36" s="8">
        <f>AE35/AE$43</f>
        <v>12.799541494727189</v>
      </c>
      <c r="AF36" s="8">
        <f>AF35/AF$43</f>
        <v>12.03136176066025</v>
      </c>
      <c r="AG36" s="8">
        <f>AG35/AG$43</f>
        <v>12.038789546079778</v>
      </c>
      <c r="AH36" s="8">
        <f>AH35/AH$43</f>
        <v>17.919486474094452</v>
      </c>
      <c r="AI36" s="8">
        <f>AI35/AI$43</f>
        <v>22.011737734983949</v>
      </c>
    </row>
    <row r="37" spans="2:35" x14ac:dyDescent="0.25">
      <c r="B37" t="s">
        <v>27</v>
      </c>
      <c r="D37" s="11">
        <f>D30</f>
        <v>0</v>
      </c>
      <c r="E37" s="11">
        <f>E30</f>
        <v>7.1463636363636354E-2</v>
      </c>
      <c r="F37" s="11">
        <f t="shared" ref="F37:AB37" si="82">F30</f>
        <v>0.57300082644628092</v>
      </c>
      <c r="G37" s="11">
        <f t="shared" si="82"/>
        <v>0.7280722013523665</v>
      </c>
      <c r="H37" s="11">
        <f t="shared" si="82"/>
        <v>0.90694659517792475</v>
      </c>
      <c r="I37" s="11">
        <f t="shared" si="82"/>
        <v>1.1154395570347277</v>
      </c>
      <c r="J37" s="11">
        <f t="shared" si="82"/>
        <v>1.2127209941401957</v>
      </c>
      <c r="K37" s="11">
        <f t="shared" si="82"/>
        <v>1.2572836451273504</v>
      </c>
      <c r="L37" s="11">
        <f t="shared" si="82"/>
        <v>1.396452126791518</v>
      </c>
      <c r="M37" s="11">
        <f t="shared" si="82"/>
        <v>1.3711462219032318</v>
      </c>
      <c r="N37" s="11">
        <f t="shared" si="82"/>
        <v>1.5108169893648682</v>
      </c>
      <c r="O37" s="11">
        <f t="shared" si="82"/>
        <v>1.6648485433699556</v>
      </c>
      <c r="P37" s="11">
        <f t="shared" si="82"/>
        <v>1.7942126553603603</v>
      </c>
      <c r="Q37" s="11">
        <f t="shared" si="82"/>
        <v>2.0023104424069942</v>
      </c>
      <c r="R37" s="11">
        <f t="shared" si="82"/>
        <v>2.0712953310975579</v>
      </c>
      <c r="S37" s="11">
        <f t="shared" si="82"/>
        <v>2.3329077504891669</v>
      </c>
      <c r="T37" s="11">
        <f t="shared" si="82"/>
        <v>2.5629265129798484</v>
      </c>
      <c r="U37" s="11">
        <f t="shared" si="82"/>
        <v>2.7547487901586631</v>
      </c>
      <c r="V37" s="11">
        <f t="shared" si="82"/>
        <v>2.9172314223747478</v>
      </c>
      <c r="W37" s="11">
        <f t="shared" si="82"/>
        <v>3.0638588482283717</v>
      </c>
      <c r="X37" s="11">
        <f t="shared" si="82"/>
        <v>3.2143798452744603</v>
      </c>
      <c r="Y37" s="11">
        <f t="shared" si="82"/>
        <v>3.3617991903259687</v>
      </c>
      <c r="Z37" s="11">
        <f t="shared" si="82"/>
        <v>3.5410130388739205</v>
      </c>
      <c r="AA37" s="11">
        <f t="shared" si="82"/>
        <v>3.7350437870072239</v>
      </c>
      <c r="AB37" s="11">
        <f t="shared" si="82"/>
        <v>3.9074149625387253</v>
      </c>
      <c r="AC37" s="11">
        <f t="shared" ref="AC37:AI37" si="83">AC30</f>
        <v>4.0767605829539839</v>
      </c>
      <c r="AD37" s="11">
        <f t="shared" si="83"/>
        <v>4.2143562960908802</v>
      </c>
      <c r="AE37" s="11">
        <f t="shared" si="83"/>
        <v>4.3566851158252016</v>
      </c>
      <c r="AF37" s="11">
        <f t="shared" si="83"/>
        <v>4.4755541789620192</v>
      </c>
      <c r="AG37" s="11">
        <f t="shared" si="83"/>
        <v>4.6254606318990419</v>
      </c>
      <c r="AH37" s="11">
        <f t="shared" si="83"/>
        <v>4.7634120621490146</v>
      </c>
      <c r="AI37" s="11">
        <f t="shared" si="83"/>
        <v>5.0262957739047396</v>
      </c>
    </row>
    <row r="38" spans="2:35" x14ac:dyDescent="0.25">
      <c r="B38" s="3" t="s">
        <v>25</v>
      </c>
      <c r="D38" s="8">
        <f>D37/D$43</f>
        <v>0</v>
      </c>
      <c r="E38" s="8">
        <f>E37/E$43</f>
        <v>6.5532908173898535E-2</v>
      </c>
      <c r="F38" s="8">
        <f>F37/F$43</f>
        <v>0.52544780050094531</v>
      </c>
      <c r="G38" s="8">
        <f>G37/G$43</f>
        <v>0.66764988661381608</v>
      </c>
      <c r="H38" s="8">
        <f>H37/H$43</f>
        <v>0.83167959209346609</v>
      </c>
      <c r="I38" s="8">
        <f>I37/I$43</f>
        <v>1.0228698368039686</v>
      </c>
      <c r="J38" s="8">
        <f>J37/J$43</f>
        <v>1.1120779405228756</v>
      </c>
      <c r="K38" s="8">
        <f>K37/K$43</f>
        <v>1.1529423614189365</v>
      </c>
      <c r="L38" s="8">
        <f>L37/L$43</f>
        <v>1.2805613267230793</v>
      </c>
      <c r="M38" s="8">
        <f>M37/M$43</f>
        <v>1.2573555450740319</v>
      </c>
      <c r="N38" s="8">
        <f>N37/N$43</f>
        <v>1.3854351117513692</v>
      </c>
      <c r="O38" s="8">
        <f>O37/O$43</f>
        <v>1.5266836711324672</v>
      </c>
      <c r="P38" s="8">
        <f>P37/P$43</f>
        <v>1.6453119260525999</v>
      </c>
      <c r="Q38" s="8">
        <f>Q37/Q$43</f>
        <v>1.8361397912948134</v>
      </c>
      <c r="R38" s="8">
        <f>R37/R$43</f>
        <v>1.8993996617125704</v>
      </c>
      <c r="S38" s="8">
        <f>S37/S$43</f>
        <v>2.1393010091601714</v>
      </c>
      <c r="T38" s="8">
        <f>T37/T$43</f>
        <v>2.3502306400548814</v>
      </c>
      <c r="U38" s="8">
        <f>U37/U$43</f>
        <v>2.5261336911129417</v>
      </c>
      <c r="V38" s="8">
        <f>V37/V$43</f>
        <v>2.6751319783353944</v>
      </c>
      <c r="W38" s="8">
        <f>W37/W$43</f>
        <v>2.8095908741204694</v>
      </c>
      <c r="X38" s="8">
        <f>X37/X$43</f>
        <v>2.9476202157491613</v>
      </c>
      <c r="Y38" s="8">
        <f>Y37/Y$43</f>
        <v>3.0828053097899759</v>
      </c>
      <c r="Z38" s="8">
        <f>Z37/Z$43</f>
        <v>3.2471462988298216</v>
      </c>
      <c r="AA38" s="8">
        <f>AA37/AA$43</f>
        <v>3.4250745410428465</v>
      </c>
      <c r="AB38" s="8">
        <f>AB37/AB$43</f>
        <v>3.5831407267663691</v>
      </c>
      <c r="AC38" s="8">
        <f>AC37/AC$43</f>
        <v>3.7384324465419385</v>
      </c>
      <c r="AD38" s="8">
        <f>AD37/AD$43</f>
        <v>3.864609166520752</v>
      </c>
      <c r="AE38" s="8">
        <f>AE37/AE$43</f>
        <v>3.9951261951629542</v>
      </c>
      <c r="AF38" s="8">
        <f>AF37/AF$43</f>
        <v>4.104130379607537</v>
      </c>
      <c r="AG38" s="8">
        <f>AG37/AG$43</f>
        <v>4.241596177807466</v>
      </c>
      <c r="AH38" s="8">
        <f>AH37/AH$43</f>
        <v>4.3680990941302289</v>
      </c>
      <c r="AI38" s="8">
        <f>AI37/AI$43</f>
        <v>4.609166230082292</v>
      </c>
    </row>
    <row r="39" spans="2:35" x14ac:dyDescent="0.25">
      <c r="B39" t="s">
        <v>29</v>
      </c>
      <c r="D39" s="11">
        <f>D31</f>
        <v>0.7860999999999998</v>
      </c>
      <c r="E39" s="11">
        <f>E31</f>
        <v>5.516909090909091</v>
      </c>
      <c r="F39" s="11">
        <f t="shared" ref="F39:AB39" si="84">F31</f>
        <v>1.7057851239669417</v>
      </c>
      <c r="G39" s="11">
        <f t="shared" si="84"/>
        <v>1.9676183320811411</v>
      </c>
      <c r="H39" s="11">
        <f t="shared" si="84"/>
        <v>2.2934225804248336</v>
      </c>
      <c r="I39" s="11">
        <f t="shared" si="84"/>
        <v>1.0700958081601479</v>
      </c>
      <c r="J39" s="11">
        <f t="shared" si="84"/>
        <v>0.49018916085870029</v>
      </c>
      <c r="K39" s="11">
        <f t="shared" si="84"/>
        <v>1.5308532983058436</v>
      </c>
      <c r="L39" s="11">
        <f t="shared" si="84"/>
        <v>-0.27836495377114778</v>
      </c>
      <c r="M39" s="11">
        <f t="shared" si="84"/>
        <v>1.5363784420780005</v>
      </c>
      <c r="N39" s="11">
        <f t="shared" si="84"/>
        <v>1.6943470940559617</v>
      </c>
      <c r="O39" s="11">
        <f t="shared" si="84"/>
        <v>1.4230052318944522</v>
      </c>
      <c r="P39" s="11">
        <f t="shared" si="84"/>
        <v>2.2890756575129725</v>
      </c>
      <c r="Q39" s="11">
        <f t="shared" si="84"/>
        <v>0.75883377559620069</v>
      </c>
      <c r="R39" s="11">
        <f t="shared" si="84"/>
        <v>2.8777366133077003</v>
      </c>
      <c r="S39" s="11">
        <f t="shared" si="84"/>
        <v>2.5302063873974983</v>
      </c>
      <c r="T39" s="11">
        <f t="shared" si="84"/>
        <v>2.1100450489669633</v>
      </c>
      <c r="U39" s="11">
        <f t="shared" si="84"/>
        <v>1.7873089543769296</v>
      </c>
      <c r="V39" s="11">
        <f t="shared" si="84"/>
        <v>1.612901684389864</v>
      </c>
      <c r="W39" s="11">
        <f t="shared" si="84"/>
        <v>1.6557309675069718</v>
      </c>
      <c r="X39" s="11">
        <f t="shared" si="84"/>
        <v>1.6216127955665907</v>
      </c>
      <c r="Y39" s="11">
        <f t="shared" si="84"/>
        <v>1.9713523340274703</v>
      </c>
      <c r="Z39" s="11">
        <f t="shared" si="84"/>
        <v>2.1343382294663398</v>
      </c>
      <c r="AA39" s="11">
        <f t="shared" si="84"/>
        <v>1.8960829308465135</v>
      </c>
      <c r="AB39" s="11">
        <f t="shared" si="84"/>
        <v>1.8628018245678486</v>
      </c>
      <c r="AC39" s="11">
        <f t="shared" ref="AC39:AI39" si="85">AC31</f>
        <v>1.5135528445058561</v>
      </c>
      <c r="AD39" s="11">
        <f t="shared" si="85"/>
        <v>1.5656170170775372</v>
      </c>
      <c r="AE39" s="11">
        <f t="shared" si="85"/>
        <v>1.3075596945049994</v>
      </c>
      <c r="AF39" s="11">
        <f t="shared" si="85"/>
        <v>1.6489709823072478</v>
      </c>
      <c r="AG39" s="11">
        <f t="shared" si="85"/>
        <v>1.5174657327496974</v>
      </c>
      <c r="AH39" s="11">
        <f t="shared" si="85"/>
        <v>2.8917208293129741</v>
      </c>
      <c r="AI39" s="11">
        <f t="shared" si="85"/>
        <v>1.4794046738642053</v>
      </c>
    </row>
    <row r="40" spans="2:35" x14ac:dyDescent="0.25">
      <c r="B40" s="3" t="s">
        <v>25</v>
      </c>
      <c r="D40" s="8">
        <f>D39/D$43</f>
        <v>0.72086198991288375</v>
      </c>
      <c r="E40" s="8">
        <f>E39/E$43</f>
        <v>5.0590638155975158</v>
      </c>
      <c r="F40" s="8">
        <f>F39/F$43</f>
        <v>1.5642229472415787</v>
      </c>
      <c r="G40" s="8">
        <f>G39/G$43</f>
        <v>1.8043267602761495</v>
      </c>
      <c r="H40" s="8">
        <f>H39/H$43</f>
        <v>2.1030926918155282</v>
      </c>
      <c r="I40" s="8">
        <f>I39/I$43</f>
        <v>0.98128914090797603</v>
      </c>
      <c r="J40" s="8">
        <f>J39/J$43</f>
        <v>0.4495086298566715</v>
      </c>
      <c r="K40" s="8">
        <f>K39/K$43</f>
        <v>1.4038086183455696</v>
      </c>
      <c r="L40" s="8">
        <f>L39/L$43</f>
        <v>-0.2552635981395211</v>
      </c>
      <c r="M40" s="8">
        <f>M39/M$43</f>
        <v>1.4088752334507111</v>
      </c>
      <c r="N40" s="8">
        <f>N39/N$43</f>
        <v>1.5537341531920785</v>
      </c>
      <c r="O40" s="8">
        <f>O39/O$43</f>
        <v>1.3049108041214601</v>
      </c>
      <c r="P40" s="8">
        <f>P39/P$43</f>
        <v>2.0991065176643491</v>
      </c>
      <c r="Q40" s="8">
        <f>Q39/Q$43</f>
        <v>0.69585857459532385</v>
      </c>
      <c r="R40" s="8">
        <f>R39/R$43</f>
        <v>2.6389148219236134</v>
      </c>
      <c r="S40" s="8">
        <f>S39/S$43</f>
        <v>2.3202259398418139</v>
      </c>
      <c r="T40" s="8">
        <f>T39/T$43</f>
        <v>1.9349335616386643</v>
      </c>
      <c r="U40" s="8">
        <f>U39/U$43</f>
        <v>1.6389811594469781</v>
      </c>
      <c r="V40" s="8">
        <f>V39/V$43</f>
        <v>1.479047853635822</v>
      </c>
      <c r="W40" s="8">
        <f>W39/W$43</f>
        <v>1.5183227579156091</v>
      </c>
      <c r="X40" s="8">
        <f>X39/X$43</f>
        <v>1.4870360344489597</v>
      </c>
      <c r="Y40" s="8">
        <f>Y39/Y$43</f>
        <v>1.8077508794383037</v>
      </c>
      <c r="Z40" s="8">
        <f>Z39/Z$43</f>
        <v>1.9572106643432734</v>
      </c>
      <c r="AA40" s="8">
        <f>AA39/AA$43</f>
        <v>1.7387280429587468</v>
      </c>
      <c r="AB40" s="8">
        <f>AB39/AB$43</f>
        <v>1.7082089175312687</v>
      </c>
      <c r="AC40" s="8">
        <f>AC39/AC$43</f>
        <v>1.3879439197669474</v>
      </c>
      <c r="AD40" s="8">
        <f>AD39/AD$43</f>
        <v>1.4356873150642249</v>
      </c>
      <c r="AE40" s="8">
        <f>AE39/AE$43</f>
        <v>1.1990460288904168</v>
      </c>
      <c r="AF40" s="8">
        <f>AF39/AF$43</f>
        <v>1.5121237801992184</v>
      </c>
      <c r="AG40" s="8">
        <f>AG39/AG$43</f>
        <v>1.3915320795503874</v>
      </c>
      <c r="AH40" s="8">
        <f>AH39/AH$43</f>
        <v>2.6517384954726952</v>
      </c>
      <c r="AI40" s="8">
        <f>AI39/AI$43</f>
        <v>1.3566296871748786</v>
      </c>
    </row>
    <row r="41" spans="2:35" x14ac:dyDescent="0.25">
      <c r="B41" s="20" t="s">
        <v>28</v>
      </c>
      <c r="C41" s="20"/>
      <c r="D41" s="21">
        <f>D43-D39-D37-D35</f>
        <v>-1.1974999999999998</v>
      </c>
      <c r="E41" s="21">
        <f>E43-E39-E37-E35</f>
        <v>-5.9997727272727275</v>
      </c>
      <c r="F41" s="21">
        <f t="shared" ref="F41:AB41" si="86">F43-F39-F37-F35</f>
        <v>-3.2742859504132227</v>
      </c>
      <c r="G41" s="21">
        <f t="shared" si="86"/>
        <v>-3.6911905334335073</v>
      </c>
      <c r="H41" s="21">
        <f t="shared" si="86"/>
        <v>-4.5520691756027585</v>
      </c>
      <c r="I41" s="21">
        <f t="shared" si="86"/>
        <v>-3.5372353651948751</v>
      </c>
      <c r="J41" s="21">
        <f t="shared" si="86"/>
        <v>-3.4940101549988958</v>
      </c>
      <c r="K41" s="21">
        <f t="shared" si="86"/>
        <v>-4.5792369434331937</v>
      </c>
      <c r="L41" s="21">
        <f t="shared" si="86"/>
        <v>-3.2242871730203699</v>
      </c>
      <c r="M41" s="21">
        <f t="shared" si="86"/>
        <v>-5.0137246639812325</v>
      </c>
      <c r="N41" s="21">
        <f t="shared" si="86"/>
        <v>-4.7699640834208292</v>
      </c>
      <c r="O41" s="21">
        <f t="shared" si="86"/>
        <v>-4.6526537752644073</v>
      </c>
      <c r="P41" s="21">
        <f t="shared" si="86"/>
        <v>-5.708688312873333</v>
      </c>
      <c r="Q41" s="21">
        <f t="shared" si="86"/>
        <v>-4.3865442180031948</v>
      </c>
      <c r="R41" s="21">
        <f t="shared" si="86"/>
        <v>-5.5303319444052583</v>
      </c>
      <c r="S41" s="21">
        <f t="shared" si="86"/>
        <v>-5.4444141378866657</v>
      </c>
      <c r="T41" s="21">
        <f t="shared" si="86"/>
        <v>-9.0868715619468148</v>
      </c>
      <c r="U41" s="21">
        <f t="shared" si="86"/>
        <v>-8.9559577445355956</v>
      </c>
      <c r="V41" s="21">
        <f t="shared" si="86"/>
        <v>-9.4720331067646129</v>
      </c>
      <c r="W41" s="21">
        <f t="shared" si="86"/>
        <v>-9.6614898157353437</v>
      </c>
      <c r="X41" s="21">
        <f t="shared" si="86"/>
        <v>-12.236092640841051</v>
      </c>
      <c r="Y41" s="21">
        <f t="shared" si="86"/>
        <v>-12.73325152435344</v>
      </c>
      <c r="Z41" s="21">
        <f t="shared" si="86"/>
        <v>-14.710751268340259</v>
      </c>
      <c r="AA41" s="21">
        <f t="shared" si="86"/>
        <v>-14.666526717853735</v>
      </c>
      <c r="AB41" s="21">
        <f t="shared" si="86"/>
        <v>-16.731616787106571</v>
      </c>
      <c r="AC41" s="21">
        <f t="shared" ref="AC41:AI41" si="87">AC43-AC39-AC37-AC35</f>
        <v>-17.200913427459838</v>
      </c>
      <c r="AD41" s="21">
        <f t="shared" si="87"/>
        <v>-19.430173313168417</v>
      </c>
      <c r="AE41" s="21">
        <f t="shared" si="87"/>
        <v>-18.531644810330199</v>
      </c>
      <c r="AF41" s="21">
        <f t="shared" si="87"/>
        <v>-18.15422516126927</v>
      </c>
      <c r="AG41" s="21">
        <f t="shared" si="87"/>
        <v>-18.180726364648738</v>
      </c>
      <c r="AH41" s="21">
        <f t="shared" si="87"/>
        <v>-26.105832891461986</v>
      </c>
      <c r="AI41" s="21">
        <f t="shared" si="87"/>
        <v>-29.419000447768944</v>
      </c>
    </row>
    <row r="42" spans="2:35" x14ac:dyDescent="0.25">
      <c r="B42" s="22" t="s">
        <v>25</v>
      </c>
      <c r="C42" s="23"/>
      <c r="D42" s="24">
        <f>D41/D$43</f>
        <v>-1.0981201283814761</v>
      </c>
      <c r="E42" s="24">
        <f>E41/E$43</f>
        <v>-5.5018548622400063</v>
      </c>
      <c r="F42" s="24">
        <f>F41/F$43</f>
        <v>-3.0025547459085029</v>
      </c>
      <c r="G42" s="24">
        <f>G41/G$43</f>
        <v>-3.3848606450559444</v>
      </c>
      <c r="H42" s="24">
        <f>H41/H$43</f>
        <v>-4.1742954384252711</v>
      </c>
      <c r="I42" s="24">
        <f>I41/I$43</f>
        <v>-3.243682132228221</v>
      </c>
      <c r="J42" s="24">
        <f>J41/J$43</f>
        <v>-3.2040441586418118</v>
      </c>
      <c r="K42" s="24">
        <f>K41/K$43</f>
        <v>-4.199208568026771</v>
      </c>
      <c r="L42" s="24">
        <f>L41/L$43</f>
        <v>-2.9567053397710867</v>
      </c>
      <c r="M42" s="24">
        <f>M41/M$43</f>
        <v>-4.5976383897122721</v>
      </c>
      <c r="N42" s="24">
        <f>N41/N$43</f>
        <v>-4.3741073667316179</v>
      </c>
      <c r="O42" s="24">
        <f>O41/O$43</f>
        <v>-4.2665325770420974</v>
      </c>
      <c r="P42" s="24">
        <f>P41/P$43</f>
        <v>-5.2349273845697688</v>
      </c>
      <c r="Q42" s="24">
        <f>Q41/Q$43</f>
        <v>-4.0225073067429573</v>
      </c>
      <c r="R42" s="24">
        <f>R41/R$43</f>
        <v>-5.0713727138058307</v>
      </c>
      <c r="S42" s="24">
        <f>S41/S$43</f>
        <v>-4.9925851791716331</v>
      </c>
      <c r="T42" s="24">
        <f>T41/T$43</f>
        <v>-8.3327570490112919</v>
      </c>
      <c r="U42" s="24">
        <f>U41/U$43</f>
        <v>-8.2127076978776667</v>
      </c>
      <c r="V42" s="24">
        <f>V41/V$43</f>
        <v>-8.6859542473769942</v>
      </c>
      <c r="W42" s="24">
        <f>W41/W$43</f>
        <v>-8.8596880474418551</v>
      </c>
      <c r="X42" s="24">
        <f>X41/X$43</f>
        <v>-11.220625988850115</v>
      </c>
      <c r="Y42" s="24">
        <f>Y41/Y$43</f>
        <v>-11.676525927880276</v>
      </c>
      <c r="Z42" s="24">
        <f>Z41/Z$43</f>
        <v>-13.489914047079559</v>
      </c>
      <c r="AA42" s="24">
        <f>AA41/AA$43</f>
        <v>-13.449359667908055</v>
      </c>
      <c r="AB42" s="24">
        <f>AB41/AB$43</f>
        <v>-15.343069039070674</v>
      </c>
      <c r="AC42" s="24">
        <f>AC41/AC$43</f>
        <v>-15.773419007299255</v>
      </c>
      <c r="AD42" s="24">
        <f>AD41/AD$43</f>
        <v>-17.8176738314245</v>
      </c>
      <c r="AE42" s="24">
        <f>AE41/AE$43</f>
        <v>-16.993713718780558</v>
      </c>
      <c r="AF42" s="24">
        <f>AF41/AF$43</f>
        <v>-16.647615920467004</v>
      </c>
      <c r="AG42" s="24">
        <f>AG41/AG$43</f>
        <v>-16.671917803437633</v>
      </c>
      <c r="AH42" s="24">
        <f>AH41/AH$43</f>
        <v>-23.939324063697374</v>
      </c>
      <c r="AI42" s="24">
        <f>AI41/AI$43</f>
        <v>-26.977533652241121</v>
      </c>
    </row>
    <row r="43" spans="2:35" x14ac:dyDescent="0.25">
      <c r="B43" t="s">
        <v>9</v>
      </c>
      <c r="D43" s="11">
        <f>$C$16</f>
        <v>1.0905</v>
      </c>
      <c r="E43" s="11">
        <f>$C$16</f>
        <v>1.0905</v>
      </c>
      <c r="F43" s="11">
        <f>$C$16</f>
        <v>1.0905</v>
      </c>
      <c r="G43" s="11">
        <f>$C$16</f>
        <v>1.0905</v>
      </c>
      <c r="H43" s="11">
        <f>$C$16</f>
        <v>1.0905</v>
      </c>
      <c r="I43" s="11">
        <f>$C$16</f>
        <v>1.0905</v>
      </c>
      <c r="J43" s="11">
        <f>$C$16</f>
        <v>1.0905</v>
      </c>
      <c r="K43" s="11">
        <f>$C$16</f>
        <v>1.0905</v>
      </c>
      <c r="L43" s="11">
        <f>$C$16</f>
        <v>1.0905</v>
      </c>
      <c r="M43" s="11">
        <f>$C$16</f>
        <v>1.0905</v>
      </c>
      <c r="N43" s="11">
        <f>$C$16</f>
        <v>1.0905</v>
      </c>
      <c r="O43" s="11">
        <f>$C$16</f>
        <v>1.0905</v>
      </c>
      <c r="P43" s="11">
        <f>$C$16</f>
        <v>1.0905</v>
      </c>
      <c r="Q43" s="11">
        <f>$C$16</f>
        <v>1.0905</v>
      </c>
      <c r="R43" s="11">
        <f>$C$16</f>
        <v>1.0905</v>
      </c>
      <c r="S43" s="11">
        <f>$C$16</f>
        <v>1.0905</v>
      </c>
      <c r="T43" s="11">
        <f>$C$16</f>
        <v>1.0905</v>
      </c>
      <c r="U43" s="11">
        <f>$C$16</f>
        <v>1.0905</v>
      </c>
      <c r="V43" s="11">
        <f>$C$16</f>
        <v>1.0905</v>
      </c>
      <c r="W43" s="11">
        <f>$C$16</f>
        <v>1.0905</v>
      </c>
      <c r="X43" s="11">
        <f>$C$16</f>
        <v>1.0905</v>
      </c>
      <c r="Y43" s="11">
        <f>$C$16</f>
        <v>1.0905</v>
      </c>
      <c r="Z43" s="11">
        <f>$C$16</f>
        <v>1.0905</v>
      </c>
      <c r="AA43" s="11">
        <f>$C$16</f>
        <v>1.0905</v>
      </c>
      <c r="AB43" s="11">
        <f>$C$16</f>
        <v>1.0905</v>
      </c>
      <c r="AC43" s="11">
        <f>$C$16</f>
        <v>1.0905</v>
      </c>
      <c r="AD43" s="11">
        <f>$C$16</f>
        <v>1.0905</v>
      </c>
      <c r="AE43" s="11">
        <f>$C$16</f>
        <v>1.0905</v>
      </c>
      <c r="AF43" s="11">
        <f>$C$16</f>
        <v>1.0905</v>
      </c>
      <c r="AG43" s="11">
        <f>$C$16</f>
        <v>1.0905</v>
      </c>
      <c r="AH43" s="11">
        <f>$C$16</f>
        <v>1.0905</v>
      </c>
      <c r="AI43" s="11">
        <f>$C$16</f>
        <v>1.0905</v>
      </c>
    </row>
    <row r="44" spans="2:35" x14ac:dyDescent="0.25">
      <c r="B44" t="s">
        <v>31</v>
      </c>
      <c r="D44" s="5">
        <f>D10-D26/(D43-D35-D37)</f>
        <v>0.29107924161400095</v>
      </c>
      <c r="E44" s="5">
        <f>E10-E26/(E43-E35-E37)</f>
        <v>1.2425397721924127</v>
      </c>
      <c r="F44" s="5">
        <f t="shared" ref="F44:AI44" si="88">F10-F26/(F43-F35-F37)</f>
        <v>0.20875258050272777</v>
      </c>
      <c r="G44" s="5">
        <f t="shared" si="88"/>
        <v>0.21415932158439832</v>
      </c>
      <c r="H44" s="5">
        <f t="shared" si="88"/>
        <v>0.2015396824505947</v>
      </c>
      <c r="I44" s="5">
        <f t="shared" si="88"/>
        <v>0.14337394717331287</v>
      </c>
      <c r="J44" s="5">
        <f t="shared" si="88"/>
        <v>0.1163188539468548</v>
      </c>
      <c r="K44" s="5">
        <f t="shared" si="88"/>
        <v>0.15021852484849854</v>
      </c>
      <c r="L44" s="5">
        <f t="shared" si="88"/>
        <v>9.2052737648653279E-2</v>
      </c>
      <c r="M44" s="5">
        <f t="shared" si="88"/>
        <v>0.14418249849268977</v>
      </c>
      <c r="N44" s="5">
        <f t="shared" si="88"/>
        <v>0.155089664932754</v>
      </c>
      <c r="O44" s="5">
        <f t="shared" si="88"/>
        <v>0.14406068377984024</v>
      </c>
      <c r="P44" s="5">
        <f t="shared" si="88"/>
        <v>0.16693961826128956</v>
      </c>
      <c r="Q44" s="5">
        <f t="shared" si="88"/>
        <v>0.12091770519294018</v>
      </c>
      <c r="R44" s="5">
        <f t="shared" si="88"/>
        <v>0.20848758495390196</v>
      </c>
      <c r="S44" s="5">
        <f t="shared" si="88"/>
        <v>0.18682313012765778</v>
      </c>
      <c r="T44" s="5">
        <f t="shared" si="88"/>
        <v>0.13024362215459118</v>
      </c>
      <c r="U44" s="5">
        <f t="shared" si="88"/>
        <v>0.12493229905237653</v>
      </c>
      <c r="V44" s="5">
        <f t="shared" si="88"/>
        <v>0.12052264554067608</v>
      </c>
      <c r="W44" s="5">
        <f t="shared" si="88"/>
        <v>0.12068174921198602</v>
      </c>
      <c r="X44" s="5">
        <f t="shared" si="88"/>
        <v>0.11527736468677294</v>
      </c>
      <c r="Y44" s="5">
        <f t="shared" si="88"/>
        <v>0.11831788515357539</v>
      </c>
      <c r="Z44" s="5">
        <f t="shared" si="88"/>
        <v>0.11697096161575692</v>
      </c>
      <c r="AA44" s="5">
        <f t="shared" si="88"/>
        <v>0.11484743179227341</v>
      </c>
      <c r="AB44" s="5">
        <f t="shared" si="88"/>
        <v>0.11252824673157269</v>
      </c>
      <c r="AC44" s="5">
        <f t="shared" si="88"/>
        <v>0.10964823136755393</v>
      </c>
      <c r="AD44" s="5">
        <f t="shared" si="88"/>
        <v>0.1087638169743971</v>
      </c>
      <c r="AE44" s="5">
        <f t="shared" si="88"/>
        <v>0.10759146094385957</v>
      </c>
      <c r="AF44" s="5">
        <f t="shared" si="88"/>
        <v>0.109990582177214</v>
      </c>
      <c r="AG44" s="5">
        <f t="shared" si="88"/>
        <v>0.10910665545160328</v>
      </c>
      <c r="AH44" s="5">
        <f t="shared" si="88"/>
        <v>0.11245673675379543</v>
      </c>
      <c r="AI44" s="5">
        <f t="shared" si="88"/>
        <v>0.10529501101532025</v>
      </c>
    </row>
    <row r="45" spans="2:35" x14ac:dyDescent="0.25">
      <c r="B45" t="s">
        <v>33</v>
      </c>
      <c r="D45" s="5">
        <f>(D24*(1+D44)+D10*D7)/D4-1</f>
        <v>0.15660725167515999</v>
      </c>
      <c r="E45" s="5">
        <f>(E24*(1+E44)+E10*E7)/E4-1</f>
        <v>1.0383216703281657</v>
      </c>
      <c r="F45" s="5">
        <f>(F24*(1+F44)+F10*F7)/F4-1</f>
        <v>0.15083501835123614</v>
      </c>
      <c r="G45" s="5">
        <f>(G24*(1+G44)+G10*G7)/G4-1</f>
        <v>0.14733915250966945</v>
      </c>
      <c r="H45" s="5">
        <f>(H24*(1+H44)+H10*H7)/H4-1</f>
        <v>0.16571205960906998</v>
      </c>
      <c r="I45" s="5">
        <f>(I24*(1+I44)+I10*I7)/I4-1</f>
        <v>9.035745181089605E-2</v>
      </c>
      <c r="J45" s="5">
        <f>(J24*(1+J44)+J10*J7)/J4-1</f>
        <v>6.2989678071319721E-2</v>
      </c>
      <c r="K45" s="5">
        <f>(K24*(1+K44)+K10*K7)/K4-1</f>
        <v>0.10467198388800703</v>
      </c>
      <c r="L45" s="5">
        <f>(L24*(1+L44)+L10*L7)/L4-1</f>
        <v>-0.14397225713651984</v>
      </c>
      <c r="M45" s="5">
        <f>(M24*(1+M44)+M10*M7)/M4-1</f>
        <v>4.6204605736841042E-2</v>
      </c>
      <c r="N45" s="5">
        <f>(N24*(1+N44)+N10*N7)/N4-1</f>
        <v>0.15833653198297504</v>
      </c>
      <c r="O45" s="5">
        <f>(O24*(1+O44)+O10*O7)/O4-1</f>
        <v>2.9480612048412791E-2</v>
      </c>
      <c r="P45" s="5">
        <f>(P24*(1+P44)+P10*P7)/P4-1</f>
        <v>0.1124960516718112</v>
      </c>
      <c r="Q45" s="5">
        <f>(Q24*(1+Q44)+Q10*Q7)/Q4-1</f>
        <v>-0.12223464527734385</v>
      </c>
      <c r="R45" s="5">
        <f>(R24*(1+R44)+R10*R7)/R4-1</f>
        <v>0.38391222427724081</v>
      </c>
      <c r="S45" s="5">
        <f>(S24*(1+S44)+S10*S7)/S4-1</f>
        <v>0.21947903440934158</v>
      </c>
      <c r="T45" s="5">
        <f>(T24*(1+T44)+T10*T7)/T4-1</f>
        <v>0.15292697782645082</v>
      </c>
      <c r="U45" s="5">
        <f>(U24*(1+U44)+U10*U7)/U4-1</f>
        <v>3.8136275410850295E-2</v>
      </c>
      <c r="V45" s="5">
        <f>(V24*(1+V44)+V10*V7)/V4-1</f>
        <v>0.14813992507670459</v>
      </c>
      <c r="W45" s="5">
        <f>(W24*(1+W44)+W10*W7)/W4-1</f>
        <v>0.14676067034944107</v>
      </c>
      <c r="X45" s="5">
        <f>(X24*(1+X44)+X10*X7)/X4-1</f>
        <v>4.5283859913086255E-2</v>
      </c>
      <c r="Y45" s="5">
        <f>(Y24*(1+Y44)+Y10*Y7)/Y4-1</f>
        <v>0.1647788752230368</v>
      </c>
      <c r="Z45" s="5">
        <f>(Z24*(1+Z44)+Z10*Z7)/Z4-1</f>
        <v>0.10284600669848465</v>
      </c>
      <c r="AA45" s="5">
        <f>(AA24*(1+AA44)+AA10*AA7)/AA4-1</f>
        <v>0.11039036493592813</v>
      </c>
      <c r="AB45" s="5">
        <f>(AB24*(1+AB44)+AB10*AB7)/AB4-1</f>
        <v>8.9272352758406948E-2</v>
      </c>
      <c r="AC45" s="5">
        <f>(AC24*(1+AC44)+AC10*AC7)/AC4-1</f>
        <v>0.1318800818341368</v>
      </c>
      <c r="AD45" s="5">
        <f>(AD24*(1+AD44)+AD10*AD7)/AD4-1</f>
        <v>3.7325050600909293E-2</v>
      </c>
      <c r="AE45" s="5">
        <f>(AE24*(1+AE44)+AE10*AE7)/AE4-1</f>
        <v>3.2367960856776179E-2</v>
      </c>
      <c r="AF45" s="5">
        <f>(AF24*(1+AF44)+AF10*AF7)/AF4-1</f>
        <v>7.1101735665520582E-2</v>
      </c>
      <c r="AG45" s="5">
        <f>(AG24*(1+AG44)+AG10*AG7)/AG4-1</f>
        <v>0.24299146983963338</v>
      </c>
      <c r="AH45" s="5">
        <f>(AH24*(1+AH44)+AH10*AH7)/AH4-1</f>
        <v>0.14481474269303463</v>
      </c>
      <c r="AI45" s="5">
        <f>(AI24*(1+AI44)+AI10*AI7)/AI4-1</f>
        <v>9.3547293736512271E-2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62"/>
  <sheetViews>
    <sheetView workbookViewId="0"/>
  </sheetViews>
  <sheetFormatPr defaultRowHeight="15" x14ac:dyDescent="0.25"/>
  <cols>
    <col min="1" max="1" width="35.140625" customWidth="1"/>
    <col min="2" max="2" width="0" hidden="1" customWidth="1"/>
    <col min="3" max="13" width="11.85546875" customWidth="1"/>
  </cols>
  <sheetData>
    <row r="1" spans="1:13" x14ac:dyDescent="0.25">
      <c r="A1" s="26" t="s">
        <v>66</v>
      </c>
      <c r="B1" s="26"/>
      <c r="C1" s="27" t="s">
        <v>34</v>
      </c>
      <c r="D1" s="27" t="s">
        <v>35</v>
      </c>
      <c r="E1" s="27" t="s">
        <v>36</v>
      </c>
      <c r="F1" s="27" t="s">
        <v>37</v>
      </c>
      <c r="G1" s="27" t="s">
        <v>38</v>
      </c>
      <c r="H1" s="27" t="s">
        <v>39</v>
      </c>
      <c r="I1" s="27" t="s">
        <v>40</v>
      </c>
      <c r="J1" s="27" t="s">
        <v>41</v>
      </c>
      <c r="K1" s="27" t="s">
        <v>42</v>
      </c>
      <c r="L1" s="27" t="s">
        <v>43</v>
      </c>
      <c r="M1" s="27" t="s">
        <v>44</v>
      </c>
    </row>
    <row r="2" spans="1:13" x14ac:dyDescent="0.25">
      <c r="A2" s="28" t="s">
        <v>401</v>
      </c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</row>
    <row r="3" spans="1:13" x14ac:dyDescent="0.25">
      <c r="A3" s="30" t="s">
        <v>402</v>
      </c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</row>
    <row r="4" spans="1:13" x14ac:dyDescent="0.25">
      <c r="A4" s="30" t="s">
        <v>403</v>
      </c>
      <c r="B4" s="30" t="s">
        <v>404</v>
      </c>
      <c r="C4" s="31">
        <v>3192.1</v>
      </c>
      <c r="D4" s="31">
        <v>3336.8</v>
      </c>
      <c r="E4" s="31">
        <v>3697.6</v>
      </c>
      <c r="F4" s="31">
        <v>4014.2</v>
      </c>
      <c r="G4" s="31">
        <v>4123.3999999999996</v>
      </c>
      <c r="H4" s="31">
        <v>4243.2</v>
      </c>
      <c r="I4" s="31">
        <v>4296.3</v>
      </c>
      <c r="J4" s="31">
        <v>4411.5</v>
      </c>
      <c r="K4" s="31">
        <v>4834.1000000000004</v>
      </c>
      <c r="L4" s="31">
        <v>5302.8</v>
      </c>
      <c r="M4" s="31">
        <v>5347.4</v>
      </c>
    </row>
    <row r="5" spans="1:13" x14ac:dyDescent="0.25">
      <c r="A5" s="28" t="s">
        <v>405</v>
      </c>
      <c r="B5" s="28" t="s">
        <v>406</v>
      </c>
      <c r="C5" s="32">
        <v>3192.1</v>
      </c>
      <c r="D5" s="32">
        <v>3336.8</v>
      </c>
      <c r="E5" s="32">
        <v>3697.6</v>
      </c>
      <c r="F5" s="32">
        <v>4014.2</v>
      </c>
      <c r="G5" s="32">
        <v>4123.3999999999996</v>
      </c>
      <c r="H5" s="32">
        <v>4243.2</v>
      </c>
      <c r="I5" s="32">
        <v>4296.3</v>
      </c>
      <c r="J5" s="32">
        <v>4411.5</v>
      </c>
      <c r="K5" s="32">
        <v>4834.1000000000004</v>
      </c>
      <c r="L5" s="32">
        <v>5302.8</v>
      </c>
      <c r="M5" s="32">
        <v>5347.4</v>
      </c>
    </row>
    <row r="6" spans="1:13" x14ac:dyDescent="0.25">
      <c r="A6" s="30" t="s">
        <v>407</v>
      </c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</row>
    <row r="7" spans="1:13" x14ac:dyDescent="0.25">
      <c r="A7" s="30" t="s">
        <v>408</v>
      </c>
      <c r="B7" s="30" t="s">
        <v>409</v>
      </c>
      <c r="C7" s="31">
        <v>1864.9</v>
      </c>
      <c r="D7" s="31">
        <v>1919.1</v>
      </c>
      <c r="E7" s="31">
        <v>2175.1</v>
      </c>
      <c r="F7" s="31">
        <v>2396.4</v>
      </c>
      <c r="G7" s="31">
        <v>2457.6</v>
      </c>
      <c r="H7" s="31">
        <v>2513</v>
      </c>
      <c r="I7" s="31">
        <v>2559</v>
      </c>
      <c r="J7" s="31">
        <v>2579.8000000000002</v>
      </c>
      <c r="K7" s="31">
        <v>2823.9</v>
      </c>
      <c r="L7" s="31">
        <v>3209.5</v>
      </c>
      <c r="M7" s="31">
        <v>3202.1</v>
      </c>
    </row>
    <row r="8" spans="1:13" x14ac:dyDescent="0.25">
      <c r="A8" s="30" t="s">
        <v>410</v>
      </c>
      <c r="B8" s="30" t="s">
        <v>411</v>
      </c>
      <c r="C8" s="31">
        <v>846.6</v>
      </c>
      <c r="D8" s="31">
        <v>907.9</v>
      </c>
      <c r="E8" s="31">
        <v>982.2</v>
      </c>
      <c r="F8" s="31">
        <v>1039.5</v>
      </c>
      <c r="G8" s="31">
        <v>1075</v>
      </c>
      <c r="H8" s="31">
        <v>1122</v>
      </c>
      <c r="I8" s="31">
        <v>1127.4000000000001</v>
      </c>
      <c r="J8" s="31">
        <v>1175</v>
      </c>
      <c r="K8" s="31">
        <v>1244.8</v>
      </c>
      <c r="L8" s="31">
        <v>1163.4000000000001</v>
      </c>
      <c r="M8" s="31">
        <v>1166.8</v>
      </c>
    </row>
    <row r="9" spans="1:13" x14ac:dyDescent="0.25">
      <c r="A9" s="30" t="s">
        <v>412</v>
      </c>
      <c r="B9" s="30" t="s">
        <v>413</v>
      </c>
      <c r="C9" s="31" t="s">
        <v>46</v>
      </c>
      <c r="D9" s="31" t="s">
        <v>46</v>
      </c>
      <c r="E9" s="31" t="s">
        <v>46</v>
      </c>
      <c r="F9" s="31">
        <v>0</v>
      </c>
      <c r="G9" s="31">
        <v>15.3</v>
      </c>
      <c r="H9" s="31" t="s">
        <v>46</v>
      </c>
      <c r="I9" s="31" t="s">
        <v>46</v>
      </c>
      <c r="J9" s="31" t="s">
        <v>46</v>
      </c>
      <c r="K9" s="31" t="s">
        <v>46</v>
      </c>
      <c r="L9" s="31" t="s">
        <v>46</v>
      </c>
      <c r="M9" s="31" t="s">
        <v>46</v>
      </c>
    </row>
    <row r="10" spans="1:13" x14ac:dyDescent="0.25">
      <c r="A10" s="30" t="s">
        <v>414</v>
      </c>
      <c r="B10" s="30" t="s">
        <v>415</v>
      </c>
      <c r="C10" s="31">
        <v>0</v>
      </c>
      <c r="D10" s="31" t="s">
        <v>46</v>
      </c>
      <c r="E10" s="31" t="s">
        <v>46</v>
      </c>
      <c r="F10" s="31" t="s">
        <v>46</v>
      </c>
      <c r="G10" s="31" t="s">
        <v>46</v>
      </c>
      <c r="H10" s="31" t="s">
        <v>46</v>
      </c>
      <c r="I10" s="31" t="s">
        <v>46</v>
      </c>
      <c r="J10" s="31" t="s">
        <v>46</v>
      </c>
      <c r="K10" s="31" t="s">
        <v>46</v>
      </c>
      <c r="L10" s="31" t="s">
        <v>46</v>
      </c>
      <c r="M10" s="31" t="s">
        <v>46</v>
      </c>
    </row>
    <row r="11" spans="1:13" x14ac:dyDescent="0.25">
      <c r="A11" s="30" t="s">
        <v>416</v>
      </c>
      <c r="B11" s="30" t="s">
        <v>417</v>
      </c>
      <c r="C11" s="31">
        <v>13.7</v>
      </c>
      <c r="D11" s="31" t="s">
        <v>46</v>
      </c>
      <c r="E11" s="31" t="s">
        <v>46</v>
      </c>
      <c r="F11" s="31">
        <v>0</v>
      </c>
      <c r="G11" s="31">
        <v>25</v>
      </c>
      <c r="H11" s="31">
        <v>5.2</v>
      </c>
      <c r="I11" s="31">
        <v>61.5</v>
      </c>
      <c r="J11" s="31">
        <v>15.7</v>
      </c>
      <c r="K11" s="31">
        <v>22.2</v>
      </c>
      <c r="L11" s="31">
        <v>16.3</v>
      </c>
      <c r="M11" s="31">
        <v>20.8</v>
      </c>
    </row>
    <row r="12" spans="1:13" x14ac:dyDescent="0.25">
      <c r="A12" s="30" t="s">
        <v>418</v>
      </c>
      <c r="B12" s="30" t="s">
        <v>419</v>
      </c>
      <c r="C12" s="31" t="s">
        <v>46</v>
      </c>
      <c r="D12" s="31" t="s">
        <v>46</v>
      </c>
      <c r="E12" s="31" t="s">
        <v>46</v>
      </c>
      <c r="F12" s="31" t="s">
        <v>46</v>
      </c>
      <c r="G12" s="31" t="s">
        <v>46</v>
      </c>
      <c r="H12" s="31" t="s">
        <v>46</v>
      </c>
      <c r="I12" s="31" t="s">
        <v>46</v>
      </c>
      <c r="J12" s="31">
        <v>0</v>
      </c>
      <c r="K12" s="31">
        <v>40.799999999999997</v>
      </c>
      <c r="L12" s="31">
        <v>22.5</v>
      </c>
      <c r="M12" s="31">
        <v>0</v>
      </c>
    </row>
    <row r="13" spans="1:13" x14ac:dyDescent="0.25">
      <c r="A13" s="30" t="s">
        <v>56</v>
      </c>
      <c r="B13" s="30" t="s">
        <v>420</v>
      </c>
      <c r="C13" s="31">
        <v>1327.2</v>
      </c>
      <c r="D13" s="31">
        <v>1417.7</v>
      </c>
      <c r="E13" s="31">
        <v>1522.5</v>
      </c>
      <c r="F13" s="31">
        <v>1617.8</v>
      </c>
      <c r="G13" s="31">
        <v>1665.8</v>
      </c>
      <c r="H13" s="31">
        <v>1730.2</v>
      </c>
      <c r="I13" s="31">
        <v>1737.3</v>
      </c>
      <c r="J13" s="31">
        <v>1831.7</v>
      </c>
      <c r="K13" s="31">
        <v>2010.2</v>
      </c>
      <c r="L13" s="31">
        <v>2093.3000000000002</v>
      </c>
      <c r="M13" s="31">
        <v>2145.3000000000002</v>
      </c>
    </row>
    <row r="14" spans="1:13" x14ac:dyDescent="0.25">
      <c r="A14" s="30" t="s">
        <v>421</v>
      </c>
      <c r="B14" s="30" t="s">
        <v>422</v>
      </c>
      <c r="C14" s="31">
        <v>466.9</v>
      </c>
      <c r="D14" s="31">
        <v>509.8</v>
      </c>
      <c r="E14" s="31">
        <v>540.29999999999995</v>
      </c>
      <c r="F14" s="31">
        <v>578.29999999999995</v>
      </c>
      <c r="G14" s="31">
        <v>550.5</v>
      </c>
      <c r="H14" s="31">
        <v>603</v>
      </c>
      <c r="I14" s="31">
        <v>548.4</v>
      </c>
      <c r="J14" s="31">
        <v>641</v>
      </c>
      <c r="K14" s="31">
        <v>702.4</v>
      </c>
      <c r="L14" s="31">
        <v>891.1</v>
      </c>
      <c r="M14" s="31">
        <v>957.7</v>
      </c>
    </row>
    <row r="15" spans="1:13" x14ac:dyDescent="0.25">
      <c r="A15" s="30" t="s">
        <v>423</v>
      </c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</row>
    <row r="16" spans="1:13" x14ac:dyDescent="0.25">
      <c r="A16" s="30" t="s">
        <v>424</v>
      </c>
      <c r="B16" s="30" t="s">
        <v>425</v>
      </c>
      <c r="C16" s="31">
        <v>52.8</v>
      </c>
      <c r="D16" s="31">
        <v>49.3</v>
      </c>
      <c r="E16" s="31">
        <v>51.2</v>
      </c>
      <c r="F16" s="31">
        <v>54.6</v>
      </c>
      <c r="G16" s="31">
        <v>53.3</v>
      </c>
      <c r="H16" s="31">
        <v>49.7</v>
      </c>
      <c r="I16" s="31">
        <v>53.3</v>
      </c>
      <c r="J16" s="31">
        <v>56</v>
      </c>
      <c r="K16" s="31">
        <v>95.7</v>
      </c>
      <c r="L16" s="31">
        <v>174.6</v>
      </c>
      <c r="M16" s="31">
        <v>165.2</v>
      </c>
    </row>
    <row r="17" spans="1:13" x14ac:dyDescent="0.25">
      <c r="A17" s="30" t="s">
        <v>426</v>
      </c>
      <c r="B17" s="30" t="s">
        <v>427</v>
      </c>
      <c r="C17" s="31">
        <v>-16.3</v>
      </c>
      <c r="D17" s="31" t="s">
        <v>46</v>
      </c>
      <c r="E17" s="31" t="s">
        <v>46</v>
      </c>
      <c r="F17" s="31" t="s">
        <v>46</v>
      </c>
      <c r="G17" s="31" t="s">
        <v>46</v>
      </c>
      <c r="H17" s="31" t="s">
        <v>46</v>
      </c>
      <c r="I17" s="31" t="s">
        <v>46</v>
      </c>
      <c r="J17" s="31" t="s">
        <v>46</v>
      </c>
      <c r="K17" s="31" t="s">
        <v>46</v>
      </c>
      <c r="L17" s="31" t="s">
        <v>46</v>
      </c>
      <c r="M17" s="31" t="s">
        <v>46</v>
      </c>
    </row>
    <row r="18" spans="1:13" x14ac:dyDescent="0.25">
      <c r="A18" s="30" t="s">
        <v>428</v>
      </c>
      <c r="B18" s="30" t="s">
        <v>429</v>
      </c>
      <c r="C18" s="31" t="s">
        <v>46</v>
      </c>
      <c r="D18" s="31" t="s">
        <v>46</v>
      </c>
      <c r="E18" s="31" t="s">
        <v>46</v>
      </c>
      <c r="F18" s="31" t="s">
        <v>46</v>
      </c>
      <c r="G18" s="31" t="s">
        <v>46</v>
      </c>
      <c r="H18" s="31" t="s">
        <v>46</v>
      </c>
      <c r="I18" s="31" t="s">
        <v>46</v>
      </c>
      <c r="J18" s="31">
        <v>0</v>
      </c>
      <c r="K18" s="31">
        <v>15.4</v>
      </c>
      <c r="L18" s="31">
        <v>0</v>
      </c>
      <c r="M18" s="31">
        <v>0</v>
      </c>
    </row>
    <row r="19" spans="1:13" x14ac:dyDescent="0.25">
      <c r="A19" s="30" t="s">
        <v>430</v>
      </c>
      <c r="B19" s="30" t="s">
        <v>431</v>
      </c>
      <c r="C19" s="31">
        <v>133</v>
      </c>
      <c r="D19" s="31">
        <v>118</v>
      </c>
      <c r="E19" s="31">
        <v>142.6</v>
      </c>
      <c r="F19" s="31">
        <v>139.80000000000001</v>
      </c>
      <c r="G19" s="31">
        <v>133.6</v>
      </c>
      <c r="H19" s="31">
        <v>145.9</v>
      </c>
      <c r="I19" s="31">
        <v>131.30000000000001</v>
      </c>
      <c r="J19" s="31">
        <v>153</v>
      </c>
      <c r="K19" s="31">
        <v>151.30000000000001</v>
      </c>
      <c r="L19" s="31">
        <v>-157.30000000000001</v>
      </c>
      <c r="M19" s="31">
        <v>157.4</v>
      </c>
    </row>
    <row r="20" spans="1:13" x14ac:dyDescent="0.25">
      <c r="A20" s="30" t="s">
        <v>432</v>
      </c>
      <c r="B20" s="30" t="s">
        <v>433</v>
      </c>
      <c r="C20" s="31">
        <v>416.5</v>
      </c>
      <c r="D20" s="31">
        <v>462.7</v>
      </c>
      <c r="E20" s="31">
        <v>491.4</v>
      </c>
      <c r="F20" s="31">
        <v>526.1</v>
      </c>
      <c r="G20" s="31">
        <v>499.4</v>
      </c>
      <c r="H20" s="31">
        <v>554.4</v>
      </c>
      <c r="I20" s="31">
        <v>496.2</v>
      </c>
      <c r="J20" s="31">
        <v>589.20000000000005</v>
      </c>
      <c r="K20" s="31">
        <v>594.79999999999995</v>
      </c>
      <c r="L20" s="31">
        <v>741.3</v>
      </c>
      <c r="M20" s="31">
        <v>819.2</v>
      </c>
    </row>
    <row r="21" spans="1:13" x14ac:dyDescent="0.25">
      <c r="A21" s="30" t="s">
        <v>434</v>
      </c>
      <c r="B21" s="30" t="s">
        <v>435</v>
      </c>
      <c r="C21" s="31">
        <v>283.5</v>
      </c>
      <c r="D21" s="31">
        <v>344.7</v>
      </c>
      <c r="E21" s="31">
        <v>348.8</v>
      </c>
      <c r="F21" s="31">
        <v>386.3</v>
      </c>
      <c r="G21" s="31">
        <v>365.8</v>
      </c>
      <c r="H21" s="31">
        <v>408.5</v>
      </c>
      <c r="I21" s="31">
        <v>364.9</v>
      </c>
      <c r="J21" s="31">
        <v>436.2</v>
      </c>
      <c r="K21" s="31">
        <v>443.5</v>
      </c>
      <c r="L21" s="31">
        <v>898.6</v>
      </c>
      <c r="M21" s="31">
        <v>661.8</v>
      </c>
    </row>
    <row r="22" spans="1:13" x14ac:dyDescent="0.25">
      <c r="A22" s="30" t="s">
        <v>436</v>
      </c>
      <c r="B22" s="30" t="s">
        <v>437</v>
      </c>
      <c r="C22" s="31">
        <v>-2.4</v>
      </c>
      <c r="D22" s="31">
        <v>-2.2000000000000002</v>
      </c>
      <c r="E22" s="31">
        <v>-2.2999999999999998</v>
      </c>
      <c r="F22" s="31">
        <v>-2.4</v>
      </c>
      <c r="G22" s="31">
        <v>-2.2000000000000002</v>
      </c>
      <c r="H22" s="31">
        <v>-1.1000000000000001</v>
      </c>
      <c r="I22" s="31">
        <v>-1.1000000000000001</v>
      </c>
      <c r="J22" s="31">
        <v>-4.2</v>
      </c>
      <c r="K22" s="31">
        <v>-3.5</v>
      </c>
      <c r="L22" s="31">
        <v>-24.8</v>
      </c>
      <c r="M22" s="31">
        <v>-26.7</v>
      </c>
    </row>
    <row r="23" spans="1:13" x14ac:dyDescent="0.25">
      <c r="A23" s="30" t="s">
        <v>438</v>
      </c>
      <c r="B23" s="30" t="s">
        <v>439</v>
      </c>
      <c r="C23" s="31">
        <v>-16.3</v>
      </c>
      <c r="D23" s="31">
        <v>-25.5</v>
      </c>
      <c r="E23" s="31">
        <v>-25.4</v>
      </c>
      <c r="F23" s="31">
        <v>-21.5</v>
      </c>
      <c r="G23" s="31">
        <v>-23.2</v>
      </c>
      <c r="H23" s="31">
        <v>-29.4</v>
      </c>
      <c r="I23" s="31">
        <v>-36.700000000000003</v>
      </c>
      <c r="J23" s="31">
        <v>-36.1</v>
      </c>
      <c r="K23" s="31">
        <v>-33.9</v>
      </c>
      <c r="L23" s="31">
        <v>-34.799999999999997</v>
      </c>
      <c r="M23" s="31">
        <v>-40.9</v>
      </c>
    </row>
    <row r="24" spans="1:13" x14ac:dyDescent="0.25">
      <c r="A24" s="30" t="s">
        <v>440</v>
      </c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</row>
    <row r="25" spans="1:13" x14ac:dyDescent="0.25">
      <c r="A25" s="30" t="s">
        <v>441</v>
      </c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</row>
    <row r="26" spans="1:13" x14ac:dyDescent="0.25">
      <c r="A26" s="30" t="s">
        <v>442</v>
      </c>
      <c r="B26" s="30" t="s">
        <v>443</v>
      </c>
      <c r="C26" s="34">
        <v>2.29</v>
      </c>
      <c r="D26" s="34">
        <v>2.79</v>
      </c>
      <c r="E26" s="34">
        <v>2.82</v>
      </c>
      <c r="F26" s="34">
        <v>3.07</v>
      </c>
      <c r="G26" s="34">
        <v>2.94</v>
      </c>
      <c r="H26" s="34">
        <v>3.37</v>
      </c>
      <c r="I26" s="34">
        <v>3.14</v>
      </c>
      <c r="J26" s="34">
        <v>3.73</v>
      </c>
      <c r="K26" s="34">
        <v>3.77</v>
      </c>
      <c r="L26" s="34">
        <v>7.1</v>
      </c>
      <c r="M26" s="34">
        <v>5.3</v>
      </c>
    </row>
    <row r="27" spans="1:13" x14ac:dyDescent="0.25">
      <c r="A27" s="30" t="s">
        <v>444</v>
      </c>
      <c r="B27" s="30" t="s">
        <v>445</v>
      </c>
      <c r="C27" s="31">
        <v>130.80000000000001</v>
      </c>
      <c r="D27" s="31">
        <v>132.9</v>
      </c>
      <c r="E27" s="31">
        <v>132.69999999999999</v>
      </c>
      <c r="F27" s="31">
        <v>132.69999999999999</v>
      </c>
      <c r="G27" s="31">
        <v>132.1</v>
      </c>
      <c r="H27" s="31">
        <v>129.9</v>
      </c>
      <c r="I27" s="31">
        <v>128</v>
      </c>
      <c r="J27" s="31">
        <v>126.6</v>
      </c>
      <c r="K27" s="31">
        <v>126.8</v>
      </c>
      <c r="L27" s="31">
        <v>131.5</v>
      </c>
      <c r="M27" s="31">
        <v>132.6</v>
      </c>
    </row>
    <row r="28" spans="1:13" x14ac:dyDescent="0.25">
      <c r="A28" s="30" t="s">
        <v>446</v>
      </c>
      <c r="B28" s="30" t="s">
        <v>447</v>
      </c>
      <c r="C28" s="34">
        <v>2.27</v>
      </c>
      <c r="D28" s="34">
        <v>2.75</v>
      </c>
      <c r="E28" s="34">
        <v>2.79</v>
      </c>
      <c r="F28" s="34">
        <v>3.04</v>
      </c>
      <c r="G28" s="34">
        <v>2.91</v>
      </c>
      <c r="H28" s="34">
        <v>3.34</v>
      </c>
      <c r="I28" s="34">
        <v>3.11</v>
      </c>
      <c r="J28" s="34" t="s">
        <v>46</v>
      </c>
      <c r="K28" s="34" t="s">
        <v>46</v>
      </c>
      <c r="L28" s="34">
        <v>7</v>
      </c>
      <c r="M28" s="34">
        <v>5.24</v>
      </c>
    </row>
    <row r="29" spans="1:13" x14ac:dyDescent="0.25">
      <c r="A29" s="30" t="s">
        <v>448</v>
      </c>
      <c r="B29" s="30" t="s">
        <v>449</v>
      </c>
      <c r="C29" s="31">
        <v>132.30000000000001</v>
      </c>
      <c r="D29" s="31">
        <v>134.69999999999999</v>
      </c>
      <c r="E29" s="31">
        <v>134.30000000000001</v>
      </c>
      <c r="F29" s="31">
        <v>134.30000000000001</v>
      </c>
      <c r="G29" s="31">
        <v>133.6</v>
      </c>
      <c r="H29" s="31">
        <v>131</v>
      </c>
      <c r="I29" s="31">
        <v>129.19999999999999</v>
      </c>
      <c r="J29" s="31">
        <v>128</v>
      </c>
      <c r="K29" s="31">
        <v>128.4</v>
      </c>
      <c r="L29" s="31">
        <v>133.19999999999999</v>
      </c>
      <c r="M29" s="31">
        <v>134.1</v>
      </c>
    </row>
    <row r="30" spans="1:13" x14ac:dyDescent="0.25">
      <c r="A30" s="30" t="s">
        <v>450</v>
      </c>
      <c r="B30" s="30" t="s">
        <v>451</v>
      </c>
      <c r="C30" s="31" t="s">
        <v>46</v>
      </c>
      <c r="D30" s="31" t="s">
        <v>46</v>
      </c>
      <c r="E30" s="31" t="s">
        <v>46</v>
      </c>
      <c r="F30" s="31" t="s">
        <v>46</v>
      </c>
      <c r="G30" s="31" t="s">
        <v>46</v>
      </c>
      <c r="H30" s="31" t="s">
        <v>46</v>
      </c>
      <c r="I30" s="31">
        <v>364.9</v>
      </c>
      <c r="J30" s="31">
        <v>436.2</v>
      </c>
      <c r="K30" s="31">
        <v>443.5</v>
      </c>
      <c r="L30" s="31">
        <v>898.6</v>
      </c>
      <c r="M30" s="31">
        <v>661.8</v>
      </c>
    </row>
    <row r="31" spans="1:13" x14ac:dyDescent="0.25">
      <c r="A31" s="30" t="s">
        <v>452</v>
      </c>
      <c r="B31" s="30" t="s">
        <v>453</v>
      </c>
      <c r="C31" s="31">
        <v>299.8</v>
      </c>
      <c r="D31" s="31">
        <v>370.2</v>
      </c>
      <c r="E31" s="31">
        <v>374.2</v>
      </c>
      <c r="F31" s="31">
        <v>407.8</v>
      </c>
      <c r="G31" s="31">
        <v>389</v>
      </c>
      <c r="H31" s="31">
        <v>437.9</v>
      </c>
      <c r="I31" s="31">
        <v>401.6</v>
      </c>
      <c r="J31" s="31">
        <v>472.3</v>
      </c>
      <c r="K31" s="31">
        <v>477.4</v>
      </c>
      <c r="L31" s="31">
        <v>933.4</v>
      </c>
      <c r="M31" s="31">
        <v>702.7</v>
      </c>
    </row>
    <row r="32" spans="1:13" x14ac:dyDescent="0.25">
      <c r="A32" s="30" t="s">
        <v>454</v>
      </c>
      <c r="B32" s="30" t="s">
        <v>455</v>
      </c>
      <c r="C32" s="34" t="s">
        <v>46</v>
      </c>
      <c r="D32" s="34" t="s">
        <v>46</v>
      </c>
      <c r="E32" s="34" t="s">
        <v>46</v>
      </c>
      <c r="F32" s="34" t="s">
        <v>46</v>
      </c>
      <c r="G32" s="34" t="s">
        <v>46</v>
      </c>
      <c r="H32" s="34" t="s">
        <v>46</v>
      </c>
      <c r="I32" s="34" t="s">
        <v>46</v>
      </c>
      <c r="J32" s="34" t="s">
        <v>46</v>
      </c>
      <c r="K32" s="34" t="s">
        <v>46</v>
      </c>
      <c r="L32" s="34" t="s">
        <v>46</v>
      </c>
      <c r="M32" s="34" t="s">
        <v>46</v>
      </c>
    </row>
    <row r="33" spans="1:13" x14ac:dyDescent="0.25">
      <c r="A33" s="28" t="s">
        <v>456</v>
      </c>
      <c r="B33" s="28" t="s">
        <v>457</v>
      </c>
      <c r="C33" s="32">
        <v>299.8</v>
      </c>
      <c r="D33" s="32">
        <v>370.2</v>
      </c>
      <c r="E33" s="32">
        <v>374.2</v>
      </c>
      <c r="F33" s="32">
        <v>407.8</v>
      </c>
      <c r="G33" s="32">
        <v>389</v>
      </c>
      <c r="H33" s="32">
        <v>437.9</v>
      </c>
      <c r="I33" s="32">
        <v>401.6</v>
      </c>
      <c r="J33" s="32">
        <v>472.3</v>
      </c>
      <c r="K33" s="32">
        <v>477.4</v>
      </c>
      <c r="L33" s="32">
        <v>933.4</v>
      </c>
      <c r="M33" s="32">
        <v>702.7</v>
      </c>
    </row>
    <row r="34" spans="1:13" x14ac:dyDescent="0.25">
      <c r="A34" s="30" t="s">
        <v>458</v>
      </c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</row>
    <row r="35" spans="1:13" x14ac:dyDescent="0.25">
      <c r="A35" s="30" t="s">
        <v>459</v>
      </c>
      <c r="B35" s="30" t="s">
        <v>460</v>
      </c>
      <c r="C35" s="31">
        <v>1.5</v>
      </c>
      <c r="D35" s="31" t="s">
        <v>46</v>
      </c>
      <c r="E35" s="31" t="s">
        <v>46</v>
      </c>
      <c r="F35" s="31" t="s">
        <v>46</v>
      </c>
      <c r="G35" s="31" t="s">
        <v>46</v>
      </c>
      <c r="H35" s="31" t="s">
        <v>46</v>
      </c>
      <c r="I35" s="31" t="s">
        <v>46</v>
      </c>
      <c r="J35" s="31" t="s">
        <v>46</v>
      </c>
      <c r="K35" s="31" t="s">
        <v>46</v>
      </c>
      <c r="L35" s="31" t="s">
        <v>46</v>
      </c>
      <c r="M35" s="31" t="s">
        <v>46</v>
      </c>
    </row>
    <row r="36" spans="1:13" x14ac:dyDescent="0.25">
      <c r="A36" s="30" t="s">
        <v>461</v>
      </c>
      <c r="B36" s="30" t="s">
        <v>462</v>
      </c>
      <c r="C36" s="31">
        <v>299.8</v>
      </c>
      <c r="D36" s="31">
        <v>370.2</v>
      </c>
      <c r="E36" s="31">
        <v>374.2</v>
      </c>
      <c r="F36" s="31">
        <v>407.8</v>
      </c>
      <c r="G36" s="31">
        <v>389</v>
      </c>
      <c r="H36" s="31">
        <v>437.9</v>
      </c>
      <c r="I36" s="31">
        <v>401.6</v>
      </c>
      <c r="J36" s="31">
        <v>472.3</v>
      </c>
      <c r="K36" s="31">
        <v>477.4</v>
      </c>
      <c r="L36" s="31">
        <v>933.4</v>
      </c>
      <c r="M36" s="31">
        <v>702.7</v>
      </c>
    </row>
    <row r="37" spans="1:13" x14ac:dyDescent="0.25">
      <c r="A37" s="30" t="s">
        <v>463</v>
      </c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</row>
    <row r="38" spans="1:13" x14ac:dyDescent="0.25">
      <c r="A38" s="28" t="s">
        <v>464</v>
      </c>
      <c r="B38" s="28" t="s">
        <v>465</v>
      </c>
      <c r="C38" s="29" t="s">
        <v>466</v>
      </c>
      <c r="D38" s="29" t="s">
        <v>466</v>
      </c>
      <c r="E38" s="29" t="s">
        <v>466</v>
      </c>
      <c r="F38" s="29" t="s">
        <v>466</v>
      </c>
      <c r="G38" s="29" t="s">
        <v>466</v>
      </c>
      <c r="H38" s="29" t="s">
        <v>466</v>
      </c>
      <c r="I38" s="29" t="s">
        <v>466</v>
      </c>
      <c r="J38" s="29" t="s">
        <v>466</v>
      </c>
      <c r="K38" s="29" t="s">
        <v>466</v>
      </c>
      <c r="L38" s="29" t="s">
        <v>466</v>
      </c>
      <c r="M38" s="29" t="s">
        <v>466</v>
      </c>
    </row>
    <row r="39" spans="1:13" x14ac:dyDescent="0.25">
      <c r="A39" s="30" t="s">
        <v>131</v>
      </c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</row>
    <row r="40" spans="1:13" x14ac:dyDescent="0.25">
      <c r="A40" s="30" t="s">
        <v>467</v>
      </c>
      <c r="B40" s="30" t="s">
        <v>468</v>
      </c>
      <c r="C40" s="31">
        <v>1.3</v>
      </c>
      <c r="D40" s="31">
        <v>3.5</v>
      </c>
      <c r="E40" s="31">
        <v>3.3</v>
      </c>
      <c r="F40" s="31">
        <v>4.3</v>
      </c>
      <c r="G40" s="31" t="s">
        <v>46</v>
      </c>
      <c r="H40" s="31" t="s">
        <v>46</v>
      </c>
      <c r="I40" s="31" t="s">
        <v>46</v>
      </c>
      <c r="J40" s="31" t="s">
        <v>46</v>
      </c>
      <c r="K40" s="31" t="s">
        <v>46</v>
      </c>
      <c r="L40" s="31">
        <v>20.6</v>
      </c>
      <c r="M40" s="31">
        <v>20.3</v>
      </c>
    </row>
    <row r="41" spans="1:13" x14ac:dyDescent="0.25">
      <c r="A41" s="30" t="s">
        <v>469</v>
      </c>
      <c r="B41" s="30" t="s">
        <v>470</v>
      </c>
      <c r="C41" s="31">
        <v>48.9</v>
      </c>
      <c r="D41" s="31">
        <v>52.7</v>
      </c>
      <c r="E41" s="31">
        <v>58.1</v>
      </c>
      <c r="F41" s="31">
        <v>57.8</v>
      </c>
      <c r="G41" s="31">
        <v>61.3</v>
      </c>
      <c r="H41" s="31">
        <v>62</v>
      </c>
      <c r="I41" s="31">
        <v>60.8</v>
      </c>
      <c r="J41" s="31">
        <v>61</v>
      </c>
      <c r="K41" s="31">
        <v>66.099999999999994</v>
      </c>
      <c r="L41" s="31">
        <v>69.400000000000006</v>
      </c>
      <c r="M41" s="31">
        <v>67.3</v>
      </c>
    </row>
    <row r="42" spans="1:13" x14ac:dyDescent="0.25">
      <c r="A42" s="30" t="s">
        <v>58</v>
      </c>
      <c r="B42" s="30" t="s">
        <v>471</v>
      </c>
      <c r="C42" s="31">
        <v>80.8</v>
      </c>
      <c r="D42" s="31">
        <v>54</v>
      </c>
      <c r="E42" s="31">
        <v>58.1</v>
      </c>
      <c r="F42" s="31">
        <v>63.6</v>
      </c>
      <c r="G42" s="31">
        <v>67.5</v>
      </c>
      <c r="H42" s="31">
        <v>67.7</v>
      </c>
      <c r="I42" s="31">
        <v>71.5</v>
      </c>
      <c r="J42" s="31">
        <v>71.2</v>
      </c>
      <c r="K42" s="31">
        <v>85.2</v>
      </c>
      <c r="L42" s="31">
        <v>104.8</v>
      </c>
      <c r="M42" s="31">
        <v>113.6</v>
      </c>
    </row>
    <row r="43" spans="1:13" x14ac:dyDescent="0.25">
      <c r="A43" s="30" t="s">
        <v>472</v>
      </c>
      <c r="B43" s="30" t="s">
        <v>473</v>
      </c>
      <c r="C43" s="31">
        <v>82.1</v>
      </c>
      <c r="D43" s="31">
        <v>57.5</v>
      </c>
      <c r="E43" s="31">
        <v>61.4</v>
      </c>
      <c r="F43" s="31">
        <v>67.900000000000006</v>
      </c>
      <c r="G43" s="31">
        <v>72.7</v>
      </c>
      <c r="H43" s="31">
        <v>73.3</v>
      </c>
      <c r="I43" s="31">
        <v>78.8</v>
      </c>
      <c r="J43" s="31">
        <v>82.5</v>
      </c>
      <c r="K43" s="31">
        <v>101.5</v>
      </c>
      <c r="L43" s="31">
        <v>150.69999999999999</v>
      </c>
      <c r="M43" s="31">
        <v>158.80000000000001</v>
      </c>
    </row>
    <row r="44" spans="1:13" x14ac:dyDescent="0.25">
      <c r="A44" s="30" t="s">
        <v>424</v>
      </c>
      <c r="B44" s="30" t="s">
        <v>474</v>
      </c>
      <c r="C44" s="31">
        <v>52.8</v>
      </c>
      <c r="D44" s="31">
        <v>49.3</v>
      </c>
      <c r="E44" s="31">
        <v>51.2</v>
      </c>
      <c r="F44" s="31">
        <v>54.6</v>
      </c>
      <c r="G44" s="31">
        <v>53.3</v>
      </c>
      <c r="H44" s="31">
        <v>49.7</v>
      </c>
      <c r="I44" s="31">
        <v>53.3</v>
      </c>
      <c r="J44" s="31">
        <v>56</v>
      </c>
      <c r="K44" s="31">
        <v>95.7</v>
      </c>
      <c r="L44" s="31">
        <v>174.6</v>
      </c>
      <c r="M44" s="31">
        <v>165.2</v>
      </c>
    </row>
    <row r="45" spans="1:13" x14ac:dyDescent="0.25">
      <c r="A45" s="30" t="s">
        <v>475</v>
      </c>
      <c r="B45" s="30" t="s">
        <v>476</v>
      </c>
      <c r="C45" s="31" t="s">
        <v>46</v>
      </c>
      <c r="D45" s="31" t="s">
        <v>46</v>
      </c>
      <c r="E45" s="31" t="s">
        <v>46</v>
      </c>
      <c r="F45" s="31" t="s">
        <v>46</v>
      </c>
      <c r="G45" s="31" t="s">
        <v>46</v>
      </c>
      <c r="H45" s="31" t="s">
        <v>46</v>
      </c>
      <c r="I45" s="31" t="s">
        <v>46</v>
      </c>
      <c r="J45" s="31" t="s">
        <v>46</v>
      </c>
      <c r="K45" s="31" t="s">
        <v>46</v>
      </c>
      <c r="L45" s="31">
        <v>-5.4</v>
      </c>
      <c r="M45" s="31">
        <v>-1.6</v>
      </c>
    </row>
    <row r="46" spans="1:13" x14ac:dyDescent="0.25">
      <c r="A46" s="30" t="s">
        <v>414</v>
      </c>
      <c r="B46" s="30" t="s">
        <v>477</v>
      </c>
      <c r="C46" s="31">
        <v>0</v>
      </c>
      <c r="D46" s="31" t="s">
        <v>46</v>
      </c>
      <c r="E46" s="31" t="s">
        <v>46</v>
      </c>
      <c r="F46" s="31" t="s">
        <v>46</v>
      </c>
      <c r="G46" s="31" t="s">
        <v>46</v>
      </c>
      <c r="H46" s="31" t="s">
        <v>46</v>
      </c>
      <c r="I46" s="31">
        <v>10.7</v>
      </c>
      <c r="J46" s="31" t="s">
        <v>46</v>
      </c>
      <c r="K46" s="31" t="s">
        <v>46</v>
      </c>
      <c r="L46" s="31">
        <v>3</v>
      </c>
      <c r="M46" s="31" t="s">
        <v>46</v>
      </c>
    </row>
    <row r="47" spans="1:13" x14ac:dyDescent="0.25">
      <c r="A47" s="30" t="s">
        <v>416</v>
      </c>
      <c r="B47" s="30" t="s">
        <v>478</v>
      </c>
      <c r="C47" s="31">
        <v>16.2</v>
      </c>
      <c r="D47" s="31" t="s">
        <v>46</v>
      </c>
      <c r="E47" s="31" t="s">
        <v>46</v>
      </c>
      <c r="F47" s="31" t="s">
        <v>46</v>
      </c>
      <c r="G47" s="31">
        <v>25</v>
      </c>
      <c r="H47" s="31">
        <v>5.2</v>
      </c>
      <c r="I47" s="31">
        <v>50.8</v>
      </c>
      <c r="J47" s="31">
        <v>16.8</v>
      </c>
      <c r="K47" s="31">
        <v>22.2</v>
      </c>
      <c r="L47" s="31">
        <v>2</v>
      </c>
      <c r="M47" s="31">
        <v>6.2</v>
      </c>
    </row>
    <row r="48" spans="1:13" x14ac:dyDescent="0.25">
      <c r="A48" s="30" t="s">
        <v>479</v>
      </c>
      <c r="B48" s="30" t="s">
        <v>480</v>
      </c>
      <c r="C48" s="31" t="s">
        <v>46</v>
      </c>
      <c r="D48" s="31" t="s">
        <v>46</v>
      </c>
      <c r="E48" s="31" t="s">
        <v>46</v>
      </c>
      <c r="F48" s="31">
        <v>0</v>
      </c>
      <c r="G48" s="31">
        <v>18.600000000000001</v>
      </c>
      <c r="H48" s="31" t="s">
        <v>46</v>
      </c>
      <c r="I48" s="31">
        <v>4</v>
      </c>
      <c r="J48" s="31" t="s">
        <v>46</v>
      </c>
      <c r="K48" s="31" t="s">
        <v>46</v>
      </c>
      <c r="L48" s="31">
        <v>11.3</v>
      </c>
      <c r="M48" s="31">
        <v>14.6</v>
      </c>
    </row>
    <row r="49" spans="1:13" x14ac:dyDescent="0.25">
      <c r="A49" s="30" t="s">
        <v>430</v>
      </c>
      <c r="B49" s="30" t="s">
        <v>481</v>
      </c>
      <c r="C49" s="31">
        <v>133</v>
      </c>
      <c r="D49" s="31">
        <v>118</v>
      </c>
      <c r="E49" s="31">
        <v>142.6</v>
      </c>
      <c r="F49" s="31">
        <v>139.80000000000001</v>
      </c>
      <c r="G49" s="31">
        <v>133.6</v>
      </c>
      <c r="H49" s="31">
        <v>145.9</v>
      </c>
      <c r="I49" s="31">
        <v>131.30000000000001</v>
      </c>
      <c r="J49" s="31">
        <v>153</v>
      </c>
      <c r="K49" s="31">
        <v>151.30000000000001</v>
      </c>
      <c r="L49" s="31">
        <v>-157.30000000000001</v>
      </c>
      <c r="M49" s="31">
        <v>157.4</v>
      </c>
    </row>
    <row r="50" spans="1:13" x14ac:dyDescent="0.25">
      <c r="A50" s="30" t="s">
        <v>482</v>
      </c>
      <c r="B50" s="30" t="s">
        <v>483</v>
      </c>
      <c r="C50" s="31">
        <v>187.8</v>
      </c>
      <c r="D50" s="31">
        <v>-108.4</v>
      </c>
      <c r="E50" s="31">
        <v>-8.1999999999999993</v>
      </c>
      <c r="F50" s="31">
        <v>-15.5</v>
      </c>
      <c r="G50" s="31">
        <v>-3.5</v>
      </c>
      <c r="H50" s="31">
        <v>-134.1</v>
      </c>
      <c r="I50" s="31">
        <v>-239.8</v>
      </c>
      <c r="J50" s="31">
        <v>-94.6</v>
      </c>
      <c r="K50" s="31">
        <v>174.6</v>
      </c>
      <c r="L50" s="31">
        <v>-119.8</v>
      </c>
      <c r="M50" s="31">
        <v>-25.5</v>
      </c>
    </row>
    <row r="51" spans="1:13" x14ac:dyDescent="0.25">
      <c r="A51" s="30" t="s">
        <v>484</v>
      </c>
      <c r="B51" s="30" t="s">
        <v>485</v>
      </c>
      <c r="C51" s="31">
        <v>-4.5999999999999996</v>
      </c>
      <c r="D51" s="31">
        <v>-0.1</v>
      </c>
      <c r="E51" s="31">
        <v>3.8</v>
      </c>
      <c r="F51" s="31">
        <v>-2.4</v>
      </c>
      <c r="G51" s="31">
        <v>11.8</v>
      </c>
      <c r="H51" s="31">
        <v>5.7</v>
      </c>
      <c r="I51" s="31">
        <v>-3.4</v>
      </c>
      <c r="J51" s="31">
        <v>4.0999999999999996</v>
      </c>
      <c r="K51" s="31">
        <v>-12.5</v>
      </c>
      <c r="L51" s="31">
        <v>2.2999999999999998</v>
      </c>
      <c r="M51" s="31">
        <v>1.1000000000000001</v>
      </c>
    </row>
    <row r="52" spans="1:13" x14ac:dyDescent="0.25">
      <c r="A52" s="30" t="s">
        <v>486</v>
      </c>
      <c r="B52" s="30" t="s">
        <v>487</v>
      </c>
      <c r="C52" s="31">
        <v>-121.4</v>
      </c>
      <c r="D52" s="31">
        <v>-4.2</v>
      </c>
      <c r="E52" s="31">
        <v>-81</v>
      </c>
      <c r="F52" s="31">
        <v>-126.9</v>
      </c>
      <c r="G52" s="31">
        <v>235.6</v>
      </c>
      <c r="H52" s="31">
        <v>-89</v>
      </c>
      <c r="I52" s="31">
        <v>27.4</v>
      </c>
      <c r="J52" s="31">
        <v>-28.5</v>
      </c>
      <c r="K52" s="31">
        <v>103.2</v>
      </c>
      <c r="L52" s="31">
        <v>72.599999999999994</v>
      </c>
      <c r="M52" s="31">
        <v>-149.80000000000001</v>
      </c>
    </row>
    <row r="53" spans="1:13" x14ac:dyDescent="0.25">
      <c r="A53" s="30" t="s">
        <v>488</v>
      </c>
      <c r="B53" s="30" t="s">
        <v>489</v>
      </c>
      <c r="C53" s="31" t="s">
        <v>46</v>
      </c>
      <c r="D53" s="31" t="s">
        <v>46</v>
      </c>
      <c r="E53" s="31">
        <v>25.8</v>
      </c>
      <c r="F53" s="31">
        <v>43</v>
      </c>
      <c r="G53" s="31">
        <v>-87.1</v>
      </c>
      <c r="H53" s="31">
        <v>31.2</v>
      </c>
      <c r="I53" s="31">
        <v>-5.3</v>
      </c>
      <c r="J53" s="31">
        <v>8.9</v>
      </c>
      <c r="K53" s="31">
        <v>-30.8</v>
      </c>
      <c r="L53" s="31">
        <v>-17.2</v>
      </c>
      <c r="M53" s="31">
        <v>33.200000000000003</v>
      </c>
    </row>
    <row r="54" spans="1:13" x14ac:dyDescent="0.25">
      <c r="A54" s="30" t="s">
        <v>57</v>
      </c>
      <c r="B54" s="30" t="s">
        <v>490</v>
      </c>
      <c r="C54" s="31">
        <v>125.4</v>
      </c>
      <c r="D54" s="31">
        <v>138.19999999999999</v>
      </c>
      <c r="E54" s="31">
        <v>148.5</v>
      </c>
      <c r="F54" s="31">
        <v>164.7</v>
      </c>
      <c r="G54" s="31">
        <v>179.9</v>
      </c>
      <c r="H54" s="31">
        <v>192.4</v>
      </c>
      <c r="I54" s="31">
        <v>204.9</v>
      </c>
      <c r="J54" s="31">
        <v>217.8</v>
      </c>
      <c r="K54" s="31">
        <v>237.6</v>
      </c>
      <c r="L54" s="31">
        <v>273.39999999999998</v>
      </c>
      <c r="M54" s="31">
        <v>302.2</v>
      </c>
    </row>
    <row r="55" spans="1:13" x14ac:dyDescent="0.25">
      <c r="A55" s="30" t="s">
        <v>491</v>
      </c>
      <c r="B55" s="30" t="s">
        <v>492</v>
      </c>
      <c r="C55" s="31">
        <v>681.8</v>
      </c>
      <c r="D55" s="31">
        <v>739.3</v>
      </c>
      <c r="E55" s="31">
        <v>839.6</v>
      </c>
      <c r="F55" s="31">
        <v>1036</v>
      </c>
      <c r="G55" s="31">
        <v>912.6</v>
      </c>
      <c r="H55" s="31">
        <v>1070</v>
      </c>
      <c r="I55" s="31">
        <v>1030.0999999999999</v>
      </c>
      <c r="J55" s="31">
        <v>1081.9000000000001</v>
      </c>
      <c r="K55" s="31">
        <v>1155.2</v>
      </c>
      <c r="L55" s="31">
        <v>1045.5</v>
      </c>
      <c r="M55" s="31">
        <v>1230.4000000000001</v>
      </c>
    </row>
    <row r="56" spans="1:13" x14ac:dyDescent="0.25">
      <c r="A56" s="30" t="s">
        <v>493</v>
      </c>
      <c r="B56" s="30" t="s">
        <v>494</v>
      </c>
      <c r="C56" s="31">
        <v>513.6</v>
      </c>
      <c r="D56" s="31">
        <v>582.5</v>
      </c>
      <c r="E56" s="31">
        <v>615.79999999999995</v>
      </c>
      <c r="F56" s="31">
        <v>767.4</v>
      </c>
      <c r="G56" s="31">
        <v>832.2</v>
      </c>
      <c r="H56" s="31">
        <v>881.6</v>
      </c>
      <c r="I56" s="31">
        <v>836.9</v>
      </c>
      <c r="J56" s="31">
        <v>848</v>
      </c>
      <c r="K56" s="31">
        <v>985.5</v>
      </c>
      <c r="L56" s="31">
        <v>946.9</v>
      </c>
      <c r="M56" s="31">
        <v>1012.8</v>
      </c>
    </row>
    <row r="57" spans="1:13" x14ac:dyDescent="0.25">
      <c r="A57" s="30" t="s">
        <v>454</v>
      </c>
      <c r="B57" s="30" t="s">
        <v>495</v>
      </c>
      <c r="C57" s="34">
        <v>0.96</v>
      </c>
      <c r="D57" s="34">
        <v>1.04</v>
      </c>
      <c r="E57" s="34">
        <v>1.1200000000000001</v>
      </c>
      <c r="F57" s="34">
        <v>1.24</v>
      </c>
      <c r="G57" s="34">
        <v>1.3599999999999999</v>
      </c>
      <c r="H57" s="34">
        <v>1.48</v>
      </c>
      <c r="I57" s="34">
        <v>1.6</v>
      </c>
      <c r="J57" s="34">
        <v>1.72</v>
      </c>
      <c r="K57" s="34">
        <v>1.88</v>
      </c>
      <c r="L57" s="34">
        <v>2.08</v>
      </c>
      <c r="M57" s="34">
        <v>2.2800000000000002</v>
      </c>
    </row>
    <row r="58" spans="1:13" x14ac:dyDescent="0.25">
      <c r="A58" s="30" t="s">
        <v>442</v>
      </c>
      <c r="B58" s="30" t="s">
        <v>496</v>
      </c>
      <c r="C58" s="34">
        <v>2.29</v>
      </c>
      <c r="D58" s="34">
        <v>2.79</v>
      </c>
      <c r="E58" s="34">
        <v>2.82</v>
      </c>
      <c r="F58" s="34">
        <v>3.07</v>
      </c>
      <c r="G58" s="34">
        <v>2.94</v>
      </c>
      <c r="H58" s="34">
        <v>3.37</v>
      </c>
      <c r="I58" s="34">
        <v>3.14</v>
      </c>
      <c r="J58" s="34">
        <v>3.73</v>
      </c>
      <c r="K58" s="34">
        <v>3.77</v>
      </c>
      <c r="L58" s="34">
        <v>7.1</v>
      </c>
      <c r="M58" s="34">
        <v>5.3</v>
      </c>
    </row>
    <row r="59" spans="1:13" x14ac:dyDescent="0.25">
      <c r="A59" s="30" t="s">
        <v>444</v>
      </c>
      <c r="B59" s="30" t="s">
        <v>497</v>
      </c>
      <c r="C59" s="31">
        <v>130.80000000000001</v>
      </c>
      <c r="D59" s="31">
        <v>132.9</v>
      </c>
      <c r="E59" s="31">
        <v>132.69999999999999</v>
      </c>
      <c r="F59" s="31">
        <v>132.69999999999999</v>
      </c>
      <c r="G59" s="31">
        <v>132.1</v>
      </c>
      <c r="H59" s="31">
        <v>129.9</v>
      </c>
      <c r="I59" s="31">
        <v>128</v>
      </c>
      <c r="J59" s="31">
        <v>126.6</v>
      </c>
      <c r="K59" s="31">
        <v>126.8</v>
      </c>
      <c r="L59" s="31">
        <v>131.5</v>
      </c>
      <c r="M59" s="31">
        <v>132.6</v>
      </c>
    </row>
    <row r="60" spans="1:13" x14ac:dyDescent="0.25">
      <c r="A60" s="30" t="s">
        <v>446</v>
      </c>
      <c r="B60" s="30" t="s">
        <v>498</v>
      </c>
      <c r="C60" s="34">
        <v>2.27</v>
      </c>
      <c r="D60" s="34">
        <v>2.75</v>
      </c>
      <c r="E60" s="34">
        <v>2.79</v>
      </c>
      <c r="F60" s="34">
        <v>3.04</v>
      </c>
      <c r="G60" s="34">
        <v>2.91</v>
      </c>
      <c r="H60" s="34">
        <v>3.34</v>
      </c>
      <c r="I60" s="34">
        <v>3.11</v>
      </c>
      <c r="J60" s="34">
        <v>3.69</v>
      </c>
      <c r="K60" s="34">
        <v>3.7199999999999998</v>
      </c>
      <c r="L60" s="34">
        <v>7</v>
      </c>
      <c r="M60" s="34">
        <v>5.24</v>
      </c>
    </row>
    <row r="61" spans="1:13" x14ac:dyDescent="0.25">
      <c r="A61" s="30" t="s">
        <v>448</v>
      </c>
      <c r="B61" s="30" t="s">
        <v>499</v>
      </c>
      <c r="C61" s="31">
        <v>132.30000000000001</v>
      </c>
      <c r="D61" s="31">
        <v>134.69999999999999</v>
      </c>
      <c r="E61" s="31">
        <v>134.30000000000001</v>
      </c>
      <c r="F61" s="31">
        <v>134.30000000000001</v>
      </c>
      <c r="G61" s="31">
        <v>133.6</v>
      </c>
      <c r="H61" s="31">
        <v>131</v>
      </c>
      <c r="I61" s="31">
        <v>129.19999999999999</v>
      </c>
      <c r="J61" s="31">
        <v>128</v>
      </c>
      <c r="K61" s="31">
        <v>128.4</v>
      </c>
      <c r="L61" s="31">
        <v>133.19999999999999</v>
      </c>
      <c r="M61" s="31">
        <v>134.1</v>
      </c>
    </row>
    <row r="62" spans="1:13" x14ac:dyDescent="0.25">
      <c r="A62" s="30" t="s">
        <v>500</v>
      </c>
      <c r="B62" s="30" t="s">
        <v>501</v>
      </c>
      <c r="C62" s="31">
        <v>12.9</v>
      </c>
      <c r="D62" s="31">
        <v>27.2</v>
      </c>
      <c r="E62" s="31">
        <v>30.8</v>
      </c>
      <c r="F62" s="31">
        <v>37</v>
      </c>
      <c r="G62" s="31">
        <v>68.099999999999994</v>
      </c>
      <c r="H62" s="31">
        <v>31.9</v>
      </c>
      <c r="I62" s="31">
        <v>41.1</v>
      </c>
      <c r="J62" s="31">
        <v>33.200000000000003</v>
      </c>
      <c r="K62" s="31">
        <v>17.600000000000001</v>
      </c>
      <c r="L62" s="31">
        <v>15.4</v>
      </c>
      <c r="M62" s="31">
        <v>-5.0999999999999996</v>
      </c>
    </row>
    <row r="63" spans="1:13" x14ac:dyDescent="0.25">
      <c r="A63" s="30" t="s">
        <v>502</v>
      </c>
      <c r="B63" s="30" t="s">
        <v>503</v>
      </c>
      <c r="C63" s="31">
        <v>13.1</v>
      </c>
      <c r="D63" s="31">
        <v>18.399999999999999</v>
      </c>
      <c r="E63" s="31">
        <v>21.3</v>
      </c>
      <c r="F63" s="31">
        <v>24.3</v>
      </c>
      <c r="G63" s="31">
        <v>32</v>
      </c>
      <c r="H63" s="31">
        <v>27.8</v>
      </c>
      <c r="I63" s="31">
        <v>31.8</v>
      </c>
      <c r="J63" s="31">
        <v>28.6</v>
      </c>
      <c r="K63" s="31">
        <v>21</v>
      </c>
      <c r="L63" s="31">
        <v>21.3</v>
      </c>
      <c r="M63" s="31">
        <v>5.7</v>
      </c>
    </row>
    <row r="64" spans="1:13" x14ac:dyDescent="0.25">
      <c r="A64" s="30" t="s">
        <v>504</v>
      </c>
      <c r="B64" s="30" t="s">
        <v>505</v>
      </c>
      <c r="C64" s="31">
        <v>-168.2</v>
      </c>
      <c r="D64" s="31">
        <v>-156.80000000000001</v>
      </c>
      <c r="E64" s="31">
        <v>-223.8</v>
      </c>
      <c r="F64" s="31">
        <v>-268.60000000000002</v>
      </c>
      <c r="G64" s="31">
        <v>-80.400000000000006</v>
      </c>
      <c r="H64" s="31">
        <v>-188.4</v>
      </c>
      <c r="I64" s="31">
        <v>-193.2</v>
      </c>
      <c r="J64" s="31">
        <v>-233.9</v>
      </c>
      <c r="K64" s="31">
        <v>-169.7</v>
      </c>
      <c r="L64" s="31">
        <v>-98.6</v>
      </c>
      <c r="M64" s="31">
        <v>-217.6</v>
      </c>
    </row>
    <row r="65" spans="1:13" x14ac:dyDescent="0.25">
      <c r="A65" s="30" t="s">
        <v>506</v>
      </c>
      <c r="B65" s="30" t="s">
        <v>507</v>
      </c>
      <c r="C65" s="31">
        <v>-102.2</v>
      </c>
      <c r="D65" s="31">
        <v>-101.8</v>
      </c>
      <c r="E65" s="31">
        <v>-99.3</v>
      </c>
      <c r="F65" s="31">
        <v>-112.8</v>
      </c>
      <c r="G65" s="31">
        <v>-94.9</v>
      </c>
      <c r="H65" s="31">
        <v>-96.3</v>
      </c>
      <c r="I65" s="31">
        <v>-92.4</v>
      </c>
      <c r="J65" s="31">
        <v>-95.5</v>
      </c>
      <c r="K65" s="31">
        <v>-70.900000000000006</v>
      </c>
      <c r="L65" s="31">
        <v>-62.9</v>
      </c>
      <c r="M65" s="31">
        <v>-67.2</v>
      </c>
    </row>
    <row r="66" spans="1:13" x14ac:dyDescent="0.25">
      <c r="A66" s="30" t="s">
        <v>508</v>
      </c>
      <c r="B66" s="30" t="s">
        <v>509</v>
      </c>
      <c r="C66" s="34">
        <v>8.3000000000000007</v>
      </c>
      <c r="D66" s="34">
        <v>8.3000000000000007</v>
      </c>
      <c r="E66" s="34">
        <v>8.3000000000000007</v>
      </c>
      <c r="F66" s="34">
        <v>8.3000000000000007</v>
      </c>
      <c r="G66" s="34">
        <v>8</v>
      </c>
      <c r="H66" s="34">
        <v>8</v>
      </c>
      <c r="I66" s="34">
        <v>7.8</v>
      </c>
      <c r="J66" s="34">
        <v>7.5</v>
      </c>
      <c r="K66" s="34">
        <v>7.3</v>
      </c>
      <c r="L66" s="34">
        <v>7.3</v>
      </c>
      <c r="M66" s="34">
        <v>7</v>
      </c>
    </row>
    <row r="67" spans="1:13" x14ac:dyDescent="0.25">
      <c r="A67" s="30" t="s">
        <v>510</v>
      </c>
      <c r="B67" s="30" t="s">
        <v>511</v>
      </c>
      <c r="C67" s="34">
        <v>6.3</v>
      </c>
      <c r="D67" s="34">
        <v>5.88</v>
      </c>
      <c r="E67" s="34">
        <v>5.5</v>
      </c>
      <c r="F67" s="34">
        <v>4.3</v>
      </c>
      <c r="G67" s="34">
        <v>5.2</v>
      </c>
      <c r="H67" s="34">
        <v>4.4000000000000004</v>
      </c>
      <c r="I67" s="34">
        <v>4.7</v>
      </c>
      <c r="J67" s="34">
        <v>4.5999999999999996</v>
      </c>
      <c r="K67" s="34">
        <v>4</v>
      </c>
      <c r="L67" s="34">
        <v>4.7</v>
      </c>
      <c r="M67" s="34">
        <v>3.4</v>
      </c>
    </row>
    <row r="68" spans="1:13" x14ac:dyDescent="0.25">
      <c r="A68" s="30" t="s">
        <v>512</v>
      </c>
      <c r="B68" s="30" t="s">
        <v>513</v>
      </c>
      <c r="C68" s="34">
        <v>3.8</v>
      </c>
      <c r="D68" s="34">
        <v>3.8</v>
      </c>
      <c r="E68" s="34">
        <v>3.8</v>
      </c>
      <c r="F68" s="34">
        <v>3.8</v>
      </c>
      <c r="G68" s="34">
        <v>3.8</v>
      </c>
      <c r="H68" s="34">
        <v>3.8</v>
      </c>
      <c r="I68" s="34">
        <v>3.8</v>
      </c>
      <c r="J68" s="34">
        <v>3.8</v>
      </c>
      <c r="K68" s="34">
        <v>3.8</v>
      </c>
      <c r="L68" s="34" t="s">
        <v>46</v>
      </c>
      <c r="M68" s="34">
        <v>0</v>
      </c>
    </row>
    <row r="69" spans="1:13" x14ac:dyDescent="0.25">
      <c r="A69" s="30" t="s">
        <v>514</v>
      </c>
      <c r="B69" s="30" t="s">
        <v>515</v>
      </c>
      <c r="C69" s="34">
        <v>9</v>
      </c>
      <c r="D69" s="34" t="s">
        <v>46</v>
      </c>
      <c r="E69" s="34">
        <v>8.4</v>
      </c>
      <c r="F69" s="34">
        <v>7.6</v>
      </c>
      <c r="G69" s="34">
        <v>7</v>
      </c>
      <c r="H69" s="34">
        <v>7</v>
      </c>
      <c r="I69" s="34">
        <v>7.1</v>
      </c>
      <c r="J69" s="34">
        <v>7.6</v>
      </c>
      <c r="K69" s="34">
        <v>8</v>
      </c>
      <c r="L69" s="34">
        <v>7.3</v>
      </c>
      <c r="M69" s="34">
        <v>6.5</v>
      </c>
    </row>
    <row r="70" spans="1:13" x14ac:dyDescent="0.25">
      <c r="A70" s="30" t="s">
        <v>516</v>
      </c>
      <c r="B70" s="30" t="s">
        <v>517</v>
      </c>
      <c r="C70" s="34">
        <v>9</v>
      </c>
      <c r="D70" s="34" t="s">
        <v>46</v>
      </c>
      <c r="E70" s="34" t="s">
        <v>46</v>
      </c>
      <c r="F70" s="34" t="s">
        <v>46</v>
      </c>
      <c r="G70" s="34" t="s">
        <v>46</v>
      </c>
      <c r="H70" s="34" t="s">
        <v>46</v>
      </c>
      <c r="I70" s="34" t="s">
        <v>46</v>
      </c>
      <c r="J70" s="34" t="s">
        <v>46</v>
      </c>
      <c r="K70" s="34" t="s">
        <v>46</v>
      </c>
      <c r="L70" s="34" t="s">
        <v>46</v>
      </c>
      <c r="M70" s="34" t="s">
        <v>46</v>
      </c>
    </row>
    <row r="71" spans="1:13" x14ac:dyDescent="0.25">
      <c r="A71" s="30" t="s">
        <v>518</v>
      </c>
      <c r="B71" s="30" t="s">
        <v>519</v>
      </c>
      <c r="C71" s="31">
        <v>28.5</v>
      </c>
      <c r="D71" s="31">
        <v>49.9</v>
      </c>
      <c r="E71" s="31">
        <v>16.399999999999999</v>
      </c>
      <c r="F71" s="31">
        <v>74.400000000000006</v>
      </c>
      <c r="G71" s="31">
        <v>115.9</v>
      </c>
      <c r="H71" s="31">
        <v>88.7</v>
      </c>
      <c r="I71" s="31">
        <v>8.5</v>
      </c>
      <c r="J71" s="31">
        <v>63.6</v>
      </c>
      <c r="K71" s="31">
        <v>122.4</v>
      </c>
      <c r="L71" s="31">
        <v>12.9</v>
      </c>
      <c r="M71" s="31">
        <v>104.9</v>
      </c>
    </row>
    <row r="72" spans="1:13" x14ac:dyDescent="0.25">
      <c r="A72" s="30" t="s">
        <v>520</v>
      </c>
      <c r="B72" s="30" t="s">
        <v>521</v>
      </c>
      <c r="C72" s="34">
        <v>5.2</v>
      </c>
      <c r="D72" s="34" t="s">
        <v>46</v>
      </c>
      <c r="E72" s="34">
        <v>5.2</v>
      </c>
      <c r="F72" s="34">
        <v>3.8</v>
      </c>
      <c r="G72" s="34">
        <v>4.7</v>
      </c>
      <c r="H72" s="34">
        <v>4</v>
      </c>
      <c r="I72" s="34">
        <v>4.2</v>
      </c>
      <c r="J72" s="34">
        <v>4.0999999999999996</v>
      </c>
      <c r="K72" s="34">
        <v>3.6</v>
      </c>
      <c r="L72" s="34">
        <v>4.5</v>
      </c>
      <c r="M72" s="34">
        <v>3.1</v>
      </c>
    </row>
    <row r="73" spans="1:13" x14ac:dyDescent="0.25">
      <c r="A73" s="30" t="s">
        <v>522</v>
      </c>
      <c r="B73" s="30" t="s">
        <v>523</v>
      </c>
      <c r="C73" s="31">
        <v>12.7</v>
      </c>
      <c r="D73" s="31">
        <v>11.9</v>
      </c>
      <c r="E73" s="31">
        <v>13</v>
      </c>
      <c r="F73" s="31">
        <v>20.2</v>
      </c>
      <c r="G73" s="31">
        <v>18.7</v>
      </c>
      <c r="H73" s="31">
        <v>18.2</v>
      </c>
      <c r="I73" s="31">
        <v>18.7</v>
      </c>
      <c r="J73" s="31">
        <v>25.6</v>
      </c>
      <c r="K73" s="31">
        <v>23.9</v>
      </c>
      <c r="L73" s="31">
        <v>25.6</v>
      </c>
      <c r="M73" s="31">
        <v>37.200000000000003</v>
      </c>
    </row>
    <row r="74" spans="1:13" x14ac:dyDescent="0.25">
      <c r="A74" s="30" t="s">
        <v>524</v>
      </c>
      <c r="B74" s="30" t="s">
        <v>525</v>
      </c>
      <c r="C74" s="31">
        <v>362.2</v>
      </c>
      <c r="D74" s="31">
        <v>258.10000000000002</v>
      </c>
      <c r="E74" s="31">
        <v>315.39999999999998</v>
      </c>
      <c r="F74" s="31">
        <v>307.89999999999998</v>
      </c>
      <c r="G74" s="31">
        <v>547.1</v>
      </c>
      <c r="H74" s="31">
        <v>254.2</v>
      </c>
      <c r="I74" s="31">
        <v>181</v>
      </c>
      <c r="J74" s="31">
        <v>360.9</v>
      </c>
      <c r="K74" s="31">
        <v>713.5</v>
      </c>
      <c r="L74" s="31">
        <v>874.6</v>
      </c>
      <c r="M74" s="31">
        <v>563.6</v>
      </c>
    </row>
    <row r="75" spans="1:13" x14ac:dyDescent="0.25">
      <c r="A75" s="30" t="s">
        <v>418</v>
      </c>
      <c r="B75" s="30" t="s">
        <v>526</v>
      </c>
      <c r="C75" s="31" t="s">
        <v>46</v>
      </c>
      <c r="D75" s="31" t="s">
        <v>46</v>
      </c>
      <c r="E75" s="31" t="s">
        <v>46</v>
      </c>
      <c r="F75" s="31">
        <v>1.7</v>
      </c>
      <c r="G75" s="31">
        <v>4.3</v>
      </c>
      <c r="H75" s="31" t="s">
        <v>46</v>
      </c>
      <c r="I75" s="31">
        <v>3.6</v>
      </c>
      <c r="J75" s="31">
        <v>5.5</v>
      </c>
      <c r="K75" s="31">
        <v>77.099999999999994</v>
      </c>
      <c r="L75" s="31">
        <v>22.5</v>
      </c>
      <c r="M75" s="31" t="s">
        <v>46</v>
      </c>
    </row>
    <row r="76" spans="1:13" x14ac:dyDescent="0.25">
      <c r="A76" s="30" t="s">
        <v>527</v>
      </c>
      <c r="B76" s="30" t="s">
        <v>528</v>
      </c>
      <c r="C76" s="31" t="s">
        <v>46</v>
      </c>
      <c r="D76" s="31" t="s">
        <v>46</v>
      </c>
      <c r="E76" s="31" t="s">
        <v>46</v>
      </c>
      <c r="F76" s="31" t="s">
        <v>46</v>
      </c>
      <c r="G76" s="31" t="s">
        <v>46</v>
      </c>
      <c r="H76" s="31" t="s">
        <v>46</v>
      </c>
      <c r="I76" s="31" t="s">
        <v>46</v>
      </c>
      <c r="J76" s="31" t="s">
        <v>46</v>
      </c>
      <c r="K76" s="31" t="s">
        <v>46</v>
      </c>
      <c r="L76" s="31" t="s">
        <v>46</v>
      </c>
      <c r="M76" s="31" t="s">
        <v>46</v>
      </c>
    </row>
    <row r="77" spans="1:13" x14ac:dyDescent="0.25">
      <c r="A77" s="30" t="s">
        <v>529</v>
      </c>
      <c r="B77" s="30" t="s">
        <v>530</v>
      </c>
      <c r="C77" s="31">
        <v>102.2</v>
      </c>
      <c r="D77" s="31">
        <v>101.8</v>
      </c>
      <c r="E77" s="31">
        <v>99.3</v>
      </c>
      <c r="F77" s="31">
        <v>112.8</v>
      </c>
      <c r="G77" s="31">
        <v>94.9</v>
      </c>
      <c r="H77" s="31">
        <v>96.3</v>
      </c>
      <c r="I77" s="31">
        <v>92.4</v>
      </c>
      <c r="J77" s="31">
        <v>95.5</v>
      </c>
      <c r="K77" s="31">
        <v>70.900000000000006</v>
      </c>
      <c r="L77" s="31">
        <v>62.9</v>
      </c>
      <c r="M77" s="31">
        <v>67.2</v>
      </c>
    </row>
    <row r="78" spans="1:13" x14ac:dyDescent="0.25">
      <c r="A78" s="30" t="s">
        <v>531</v>
      </c>
      <c r="B78" s="30" t="s">
        <v>532</v>
      </c>
      <c r="C78" s="31">
        <v>1.3</v>
      </c>
      <c r="D78" s="31">
        <v>3.5</v>
      </c>
      <c r="E78" s="31">
        <v>3.3</v>
      </c>
      <c r="F78" s="31">
        <v>4.3</v>
      </c>
      <c r="G78" s="31">
        <v>5.2</v>
      </c>
      <c r="H78" s="31">
        <v>5.6</v>
      </c>
      <c r="I78" s="31">
        <v>7.3</v>
      </c>
      <c r="J78" s="31">
        <v>11.3</v>
      </c>
      <c r="K78" s="31">
        <v>16.3</v>
      </c>
      <c r="L78" s="31">
        <v>20.6</v>
      </c>
      <c r="M78" s="31">
        <v>20.3</v>
      </c>
    </row>
    <row r="79" spans="1:13" x14ac:dyDescent="0.25">
      <c r="A79" s="30" t="s">
        <v>533</v>
      </c>
      <c r="B79" s="30" t="s">
        <v>534</v>
      </c>
      <c r="C79" s="31" t="s">
        <v>46</v>
      </c>
      <c r="D79" s="31" t="s">
        <v>46</v>
      </c>
      <c r="E79" s="31" t="s">
        <v>46</v>
      </c>
      <c r="F79" s="31" t="s">
        <v>46</v>
      </c>
      <c r="G79" s="31" t="s">
        <v>46</v>
      </c>
      <c r="H79" s="31" t="s">
        <v>46</v>
      </c>
      <c r="I79" s="31" t="s">
        <v>46</v>
      </c>
      <c r="J79" s="31">
        <v>2.6</v>
      </c>
      <c r="K79" s="31" t="s">
        <v>46</v>
      </c>
      <c r="L79" s="31" t="s">
        <v>46</v>
      </c>
      <c r="M79" s="31" t="s">
        <v>46</v>
      </c>
    </row>
    <row r="80" spans="1:13" x14ac:dyDescent="0.25">
      <c r="A80" s="30" t="s">
        <v>535</v>
      </c>
      <c r="B80" s="30" t="s">
        <v>536</v>
      </c>
      <c r="C80" s="31">
        <v>109</v>
      </c>
      <c r="D80" s="31">
        <v>107.5</v>
      </c>
      <c r="E80" s="31">
        <v>104.6</v>
      </c>
      <c r="F80" s="31">
        <v>115.5</v>
      </c>
      <c r="G80" s="31">
        <v>148.9</v>
      </c>
      <c r="H80" s="31">
        <v>139.80000000000001</v>
      </c>
      <c r="I80" s="31">
        <v>130.30000000000001</v>
      </c>
      <c r="J80" s="31">
        <v>193</v>
      </c>
      <c r="K80" s="31">
        <v>127.2</v>
      </c>
      <c r="L80" s="31">
        <v>182.6</v>
      </c>
      <c r="M80" s="31">
        <v>136.5</v>
      </c>
    </row>
    <row r="81" spans="1:13" x14ac:dyDescent="0.25">
      <c r="A81" s="30" t="s">
        <v>537</v>
      </c>
      <c r="B81" s="30" t="s">
        <v>538</v>
      </c>
      <c r="C81" s="31">
        <v>24</v>
      </c>
      <c r="D81" s="31">
        <v>10.5</v>
      </c>
      <c r="E81" s="31">
        <v>38</v>
      </c>
      <c r="F81" s="31">
        <v>24.3</v>
      </c>
      <c r="G81" s="31">
        <v>-15.3</v>
      </c>
      <c r="H81" s="31">
        <v>6.1</v>
      </c>
      <c r="I81" s="31">
        <v>1</v>
      </c>
      <c r="J81" s="31">
        <v>-40</v>
      </c>
      <c r="K81" s="31">
        <v>24.1</v>
      </c>
      <c r="L81" s="31">
        <v>-339.9</v>
      </c>
      <c r="M81" s="31">
        <v>20.9</v>
      </c>
    </row>
    <row r="82" spans="1:13" x14ac:dyDescent="0.25">
      <c r="A82" s="30" t="s">
        <v>539</v>
      </c>
      <c r="B82" s="30" t="s">
        <v>540</v>
      </c>
      <c r="C82" s="31" t="s">
        <v>46</v>
      </c>
      <c r="D82" s="31" t="s">
        <v>46</v>
      </c>
      <c r="E82" s="31" t="s">
        <v>46</v>
      </c>
      <c r="F82" s="31" t="s">
        <v>46</v>
      </c>
      <c r="G82" s="31" t="s">
        <v>46</v>
      </c>
      <c r="H82" s="31" t="s">
        <v>46</v>
      </c>
      <c r="I82" s="31" t="s">
        <v>46</v>
      </c>
      <c r="J82" s="31">
        <v>16.7</v>
      </c>
      <c r="K82" s="31">
        <v>9.9</v>
      </c>
      <c r="L82" s="31">
        <v>12.7</v>
      </c>
      <c r="M82" s="31">
        <v>3.5</v>
      </c>
    </row>
    <row r="83" spans="1:13" x14ac:dyDescent="0.25">
      <c r="A83" s="30" t="s">
        <v>541</v>
      </c>
      <c r="B83" s="30" t="s">
        <v>542</v>
      </c>
      <c r="C83" s="31">
        <v>310.7</v>
      </c>
      <c r="D83" s="31">
        <v>356.3</v>
      </c>
      <c r="E83" s="31">
        <v>374.2</v>
      </c>
      <c r="F83" s="31">
        <v>407.8</v>
      </c>
      <c r="G83" s="31">
        <v>418.2</v>
      </c>
      <c r="H83" s="31">
        <v>441.6</v>
      </c>
      <c r="I83" s="31">
        <v>449.5</v>
      </c>
      <c r="J83" s="31">
        <v>483.4</v>
      </c>
      <c r="K83" s="31">
        <v>546.70000000000005</v>
      </c>
      <c r="L83" s="31">
        <v>662</v>
      </c>
      <c r="M83" s="31">
        <v>717.3</v>
      </c>
    </row>
    <row r="84" spans="1:13" x14ac:dyDescent="0.25">
      <c r="A84" s="30" t="s">
        <v>543</v>
      </c>
      <c r="B84" s="30" t="s">
        <v>544</v>
      </c>
      <c r="C84" s="34">
        <v>31.9</v>
      </c>
      <c r="D84" s="34" t="s">
        <v>46</v>
      </c>
      <c r="E84" s="34" t="s">
        <v>46</v>
      </c>
      <c r="F84" s="34">
        <v>26.6</v>
      </c>
      <c r="G84" s="34">
        <v>26.8</v>
      </c>
      <c r="H84" s="34">
        <v>26.3</v>
      </c>
      <c r="I84" s="34">
        <v>26.5</v>
      </c>
      <c r="J84" s="34">
        <v>26</v>
      </c>
      <c r="K84" s="34">
        <v>25.4</v>
      </c>
      <c r="L84" s="34">
        <v>-21.2</v>
      </c>
      <c r="M84" s="34">
        <v>19.2</v>
      </c>
    </row>
    <row r="85" spans="1:13" x14ac:dyDescent="0.25">
      <c r="A85" s="30" t="s">
        <v>545</v>
      </c>
      <c r="B85" s="30" t="s">
        <v>546</v>
      </c>
      <c r="C85" s="31">
        <v>72.3</v>
      </c>
      <c r="D85" s="31">
        <v>49.5</v>
      </c>
      <c r="E85" s="31">
        <v>42.7</v>
      </c>
      <c r="F85" s="31">
        <v>104.3</v>
      </c>
      <c r="G85" s="31">
        <v>42.7</v>
      </c>
      <c r="H85" s="31">
        <v>16.8</v>
      </c>
      <c r="I85" s="31">
        <v>15.7</v>
      </c>
      <c r="J85" s="31">
        <v>25.1</v>
      </c>
      <c r="K85" s="31">
        <v>18.7</v>
      </c>
      <c r="L85" s="31">
        <v>13.5</v>
      </c>
      <c r="M85" s="31">
        <v>11.4</v>
      </c>
    </row>
    <row r="86" spans="1:13" x14ac:dyDescent="0.25">
      <c r="A86" s="30" t="s">
        <v>547</v>
      </c>
      <c r="B86" s="30" t="s">
        <v>548</v>
      </c>
      <c r="C86" s="31">
        <v>-26.3</v>
      </c>
      <c r="D86" s="31">
        <v>-27</v>
      </c>
      <c r="E86" s="31">
        <v>-28.4</v>
      </c>
      <c r="F86" s="31">
        <v>-32.299999999999997</v>
      </c>
      <c r="G86" s="31">
        <v>-29.4</v>
      </c>
      <c r="H86" s="31">
        <v>-38.299999999999997</v>
      </c>
      <c r="I86" s="31">
        <v>-43.5</v>
      </c>
      <c r="J86" s="31">
        <v>-45.3</v>
      </c>
      <c r="K86" s="31">
        <v>-50.5</v>
      </c>
      <c r="L86" s="31">
        <v>-49.5</v>
      </c>
      <c r="M86" s="31">
        <v>-53.6</v>
      </c>
    </row>
    <row r="87" spans="1:13" x14ac:dyDescent="0.25">
      <c r="A87" s="30" t="s">
        <v>549</v>
      </c>
      <c r="B87" s="30" t="s">
        <v>550</v>
      </c>
      <c r="C87" s="31">
        <v>6.1</v>
      </c>
      <c r="D87" s="31">
        <v>5.5</v>
      </c>
      <c r="E87" s="31">
        <v>5.6</v>
      </c>
      <c r="F87" s="31">
        <v>5.5</v>
      </c>
      <c r="G87" s="31">
        <v>5.5</v>
      </c>
      <c r="H87" s="31">
        <v>5.4</v>
      </c>
      <c r="I87" s="31">
        <v>6.4</v>
      </c>
      <c r="J87" s="31">
        <v>5.9</v>
      </c>
      <c r="K87" s="31">
        <v>6</v>
      </c>
      <c r="L87" s="31">
        <v>4.8</v>
      </c>
      <c r="M87" s="31">
        <v>3.9</v>
      </c>
    </row>
    <row r="88" spans="1:13" x14ac:dyDescent="0.25">
      <c r="A88" s="30" t="s">
        <v>551</v>
      </c>
      <c r="B88" s="30" t="s">
        <v>552</v>
      </c>
      <c r="C88" s="31">
        <v>-9.6</v>
      </c>
      <c r="D88" s="31">
        <v>-8.8000000000000007</v>
      </c>
      <c r="E88" s="31">
        <v>-7.9</v>
      </c>
      <c r="F88" s="31">
        <v>-8.6</v>
      </c>
      <c r="G88" s="31">
        <v>-8.4</v>
      </c>
      <c r="H88" s="31">
        <v>-8.3000000000000007</v>
      </c>
      <c r="I88" s="31">
        <v>-9.8000000000000007</v>
      </c>
      <c r="J88" s="31">
        <v>-9.5</v>
      </c>
      <c r="K88" s="31">
        <v>-9.1999999999999993</v>
      </c>
      <c r="L88" s="31">
        <v>-5.2</v>
      </c>
      <c r="M88" s="31">
        <v>-4.2</v>
      </c>
    </row>
    <row r="89" spans="1:13" x14ac:dyDescent="0.25">
      <c r="A89" s="30" t="s">
        <v>553</v>
      </c>
      <c r="B89" s="30" t="s">
        <v>554</v>
      </c>
      <c r="C89" s="31">
        <v>38.200000000000003</v>
      </c>
      <c r="D89" s="31">
        <v>40.700000000000003</v>
      </c>
      <c r="E89" s="31">
        <v>42.8</v>
      </c>
      <c r="F89" s="31">
        <v>44.6</v>
      </c>
      <c r="G89" s="31">
        <v>43.8</v>
      </c>
      <c r="H89" s="31">
        <v>44.9</v>
      </c>
      <c r="I89" s="31">
        <v>43.6</v>
      </c>
      <c r="J89" s="31">
        <v>44.6</v>
      </c>
      <c r="K89" s="31">
        <v>42.1</v>
      </c>
      <c r="L89" s="31">
        <v>40.799999999999997</v>
      </c>
      <c r="M89" s="31">
        <v>43.9</v>
      </c>
    </row>
    <row r="90" spans="1:13" x14ac:dyDescent="0.25">
      <c r="A90" s="30" t="s">
        <v>555</v>
      </c>
      <c r="B90" s="30" t="s">
        <v>556</v>
      </c>
      <c r="C90" s="31">
        <v>-39.700000000000003</v>
      </c>
      <c r="D90" s="31">
        <v>-45.7</v>
      </c>
      <c r="E90" s="31">
        <v>-49.9</v>
      </c>
      <c r="F90" s="31">
        <v>-54</v>
      </c>
      <c r="G90" s="31">
        <v>-58.6</v>
      </c>
      <c r="H90" s="31">
        <v>-57.5</v>
      </c>
      <c r="I90" s="31">
        <v>-57.4</v>
      </c>
      <c r="J90" s="31">
        <v>-57</v>
      </c>
      <c r="K90" s="31">
        <v>-56.7</v>
      </c>
      <c r="L90" s="31">
        <v>-60</v>
      </c>
      <c r="M90" s="31">
        <v>-58.9</v>
      </c>
    </row>
    <row r="91" spans="1:13" x14ac:dyDescent="0.25">
      <c r="A91" s="30" t="s">
        <v>557</v>
      </c>
      <c r="B91" s="30" t="s">
        <v>558</v>
      </c>
      <c r="C91" s="34">
        <v>64.900000000000006</v>
      </c>
      <c r="D91" s="34" t="s">
        <v>46</v>
      </c>
      <c r="E91" s="34" t="s">
        <v>46</v>
      </c>
      <c r="F91" s="34" t="s">
        <v>46</v>
      </c>
      <c r="G91" s="34">
        <v>70.2</v>
      </c>
      <c r="H91" s="34">
        <v>70.400000000000006</v>
      </c>
      <c r="I91" s="34">
        <v>68.5</v>
      </c>
      <c r="J91" s="34">
        <v>69</v>
      </c>
      <c r="K91" s="34">
        <v>69.3</v>
      </c>
      <c r="L91" s="34">
        <v>65.8</v>
      </c>
      <c r="M91" s="34">
        <v>63.3</v>
      </c>
    </row>
    <row r="92" spans="1:13" x14ac:dyDescent="0.25">
      <c r="A92" s="30" t="s">
        <v>559</v>
      </c>
      <c r="B92" s="30" t="s">
        <v>560</v>
      </c>
      <c r="C92" s="34">
        <v>24.3</v>
      </c>
      <c r="D92" s="34" t="s">
        <v>46</v>
      </c>
      <c r="E92" s="34" t="s">
        <v>46</v>
      </c>
      <c r="F92" s="34">
        <v>24.5</v>
      </c>
      <c r="G92" s="34">
        <v>23.1</v>
      </c>
      <c r="H92" s="34">
        <v>15.5</v>
      </c>
      <c r="I92" s="34">
        <v>16.7</v>
      </c>
      <c r="J92" s="34">
        <v>16.7</v>
      </c>
      <c r="K92" s="34">
        <v>18.600000000000001</v>
      </c>
      <c r="L92" s="34">
        <v>20.5</v>
      </c>
      <c r="M92" s="34">
        <v>21.5</v>
      </c>
    </row>
    <row r="93" spans="1:13" x14ac:dyDescent="0.25">
      <c r="A93" s="30" t="s">
        <v>561</v>
      </c>
      <c r="B93" s="30" t="s">
        <v>562</v>
      </c>
      <c r="C93" s="34">
        <v>2.35</v>
      </c>
      <c r="D93" s="34">
        <v>2.65</v>
      </c>
      <c r="E93" s="34">
        <v>2.79</v>
      </c>
      <c r="F93" s="34">
        <v>3.04</v>
      </c>
      <c r="G93" s="34">
        <v>3.13</v>
      </c>
      <c r="H93" s="34">
        <v>3.37</v>
      </c>
      <c r="I93" s="34">
        <v>3.48</v>
      </c>
      <c r="J93" s="34">
        <v>3.7800000000000002</v>
      </c>
      <c r="K93" s="34">
        <v>4.26</v>
      </c>
      <c r="L93" s="34">
        <v>4.97</v>
      </c>
      <c r="M93" s="34">
        <v>5.35</v>
      </c>
    </row>
    <row r="94" spans="1:13" x14ac:dyDescent="0.25">
      <c r="A94" s="30" t="s">
        <v>563</v>
      </c>
      <c r="B94" s="30" t="s">
        <v>564</v>
      </c>
      <c r="C94" s="34">
        <v>10.8</v>
      </c>
      <c r="D94" s="34" t="s">
        <v>46</v>
      </c>
      <c r="E94" s="34" t="s">
        <v>46</v>
      </c>
      <c r="F94" s="34" t="s">
        <v>46</v>
      </c>
      <c r="G94" s="34" t="s">
        <v>46</v>
      </c>
      <c r="H94" s="34">
        <v>14.1</v>
      </c>
      <c r="I94" s="34">
        <v>14.8</v>
      </c>
      <c r="J94" s="34">
        <v>14.3</v>
      </c>
      <c r="K94" s="34">
        <v>12.1</v>
      </c>
      <c r="L94" s="34">
        <v>13.7</v>
      </c>
      <c r="M94" s="34">
        <v>15.2</v>
      </c>
    </row>
    <row r="95" spans="1:13" x14ac:dyDescent="0.25">
      <c r="A95" s="30" t="s">
        <v>565</v>
      </c>
      <c r="B95" s="30" t="s">
        <v>566</v>
      </c>
      <c r="C95" s="31">
        <v>565.70000000000005</v>
      </c>
      <c r="D95" s="31">
        <v>581.79999999999995</v>
      </c>
      <c r="E95" s="31">
        <v>674.6</v>
      </c>
      <c r="F95" s="31">
        <v>842.4</v>
      </c>
      <c r="G95" s="31">
        <v>268.2</v>
      </c>
      <c r="H95" s="31">
        <v>275.89999999999998</v>
      </c>
      <c r="I95" s="31">
        <v>670</v>
      </c>
      <c r="J95" s="31">
        <v>883.7</v>
      </c>
      <c r="K95" s="31">
        <v>814.3</v>
      </c>
      <c r="L95" s="31">
        <v>763</v>
      </c>
      <c r="M95" s="31">
        <v>975.2</v>
      </c>
    </row>
    <row r="96" spans="1:13" x14ac:dyDescent="0.25">
      <c r="A96" s="30" t="s">
        <v>567</v>
      </c>
      <c r="B96" s="30" t="s">
        <v>568</v>
      </c>
      <c r="C96" s="31" t="s">
        <v>46</v>
      </c>
      <c r="D96" s="31" t="s">
        <v>46</v>
      </c>
      <c r="E96" s="31" t="s">
        <v>46</v>
      </c>
      <c r="F96" s="31" t="s">
        <v>46</v>
      </c>
      <c r="G96" s="31" t="s">
        <v>46</v>
      </c>
      <c r="H96" s="31" t="s">
        <v>46</v>
      </c>
      <c r="I96" s="31" t="s">
        <v>46</v>
      </c>
      <c r="J96" s="31" t="s">
        <v>46</v>
      </c>
      <c r="K96" s="31" t="s">
        <v>46</v>
      </c>
      <c r="L96" s="31">
        <v>1101.4000000000001</v>
      </c>
      <c r="M96" s="31">
        <v>1184.0999999999999</v>
      </c>
    </row>
    <row r="97" spans="1:13" x14ac:dyDescent="0.25">
      <c r="A97" s="30" t="s">
        <v>569</v>
      </c>
      <c r="B97" s="30" t="s">
        <v>570</v>
      </c>
      <c r="C97" s="31" t="s">
        <v>46</v>
      </c>
      <c r="D97" s="31" t="s">
        <v>46</v>
      </c>
      <c r="E97" s="31" t="s">
        <v>46</v>
      </c>
      <c r="F97" s="31" t="s">
        <v>46</v>
      </c>
      <c r="G97" s="31">
        <v>6.4</v>
      </c>
      <c r="H97" s="31" t="s">
        <v>46</v>
      </c>
      <c r="I97" s="31" t="s">
        <v>46</v>
      </c>
      <c r="J97" s="31" t="s">
        <v>46</v>
      </c>
      <c r="K97" s="31" t="s">
        <v>46</v>
      </c>
      <c r="L97" s="31" t="s">
        <v>46</v>
      </c>
      <c r="M97" s="31" t="s">
        <v>46</v>
      </c>
    </row>
    <row r="98" spans="1:13" x14ac:dyDescent="0.25">
      <c r="A98" s="30" t="s">
        <v>571</v>
      </c>
      <c r="B98" s="30" t="s">
        <v>572</v>
      </c>
      <c r="C98" s="31">
        <v>48.9</v>
      </c>
      <c r="D98" s="31">
        <v>52.7</v>
      </c>
      <c r="E98" s="31">
        <v>58.1</v>
      </c>
      <c r="F98" s="31">
        <v>57.8</v>
      </c>
      <c r="G98" s="31">
        <v>61.3</v>
      </c>
      <c r="H98" s="31">
        <v>62</v>
      </c>
      <c r="I98" s="31">
        <v>60.8</v>
      </c>
      <c r="J98" s="31">
        <v>61</v>
      </c>
      <c r="K98" s="31">
        <v>66.099999999999994</v>
      </c>
      <c r="L98" s="31">
        <v>69.400000000000006</v>
      </c>
      <c r="M98" s="31">
        <v>67.3</v>
      </c>
    </row>
    <row r="99" spans="1:13" x14ac:dyDescent="0.25">
      <c r="A99" s="30" t="s">
        <v>573</v>
      </c>
      <c r="B99" s="30" t="s">
        <v>574</v>
      </c>
      <c r="C99" s="34">
        <v>35</v>
      </c>
      <c r="D99" s="34">
        <v>35</v>
      </c>
      <c r="E99" s="34">
        <v>35</v>
      </c>
      <c r="F99" s="34">
        <v>35</v>
      </c>
      <c r="G99" s="34">
        <v>35</v>
      </c>
      <c r="H99" s="34">
        <v>35</v>
      </c>
      <c r="I99" s="34">
        <v>35</v>
      </c>
      <c r="J99" s="34">
        <v>35</v>
      </c>
      <c r="K99" s="34">
        <v>35</v>
      </c>
      <c r="L99" s="34">
        <v>22.2</v>
      </c>
      <c r="M99" s="34">
        <v>21</v>
      </c>
    </row>
    <row r="100" spans="1:13" x14ac:dyDescent="0.25">
      <c r="A100" s="30" t="s">
        <v>575</v>
      </c>
      <c r="B100" s="30" t="s">
        <v>576</v>
      </c>
      <c r="C100" s="31">
        <v>0</v>
      </c>
      <c r="D100" s="31" t="s">
        <v>46</v>
      </c>
      <c r="E100" s="31" t="s">
        <v>46</v>
      </c>
      <c r="F100" s="31" t="s">
        <v>46</v>
      </c>
      <c r="G100" s="31" t="s">
        <v>46</v>
      </c>
      <c r="H100" s="31" t="s">
        <v>46</v>
      </c>
      <c r="I100" s="31" t="s">
        <v>46</v>
      </c>
      <c r="J100" s="31" t="s">
        <v>46</v>
      </c>
      <c r="K100" s="31" t="s">
        <v>46</v>
      </c>
      <c r="L100" s="31">
        <v>-301.5</v>
      </c>
      <c r="M100" s="31">
        <v>-1.5</v>
      </c>
    </row>
    <row r="101" spans="1:13" x14ac:dyDescent="0.25">
      <c r="A101" s="30" t="s">
        <v>577</v>
      </c>
      <c r="B101" s="30" t="s">
        <v>578</v>
      </c>
      <c r="C101" s="31" t="s">
        <v>46</v>
      </c>
      <c r="D101" s="31" t="s">
        <v>46</v>
      </c>
      <c r="E101" s="31" t="s">
        <v>46</v>
      </c>
      <c r="F101" s="31" t="s">
        <v>46</v>
      </c>
      <c r="G101" s="31" t="s">
        <v>46</v>
      </c>
      <c r="H101" s="31" t="s">
        <v>46</v>
      </c>
      <c r="I101" s="31" t="s">
        <v>46</v>
      </c>
      <c r="J101" s="31" t="s">
        <v>46</v>
      </c>
      <c r="K101" s="31">
        <v>53.5</v>
      </c>
      <c r="L101" s="31">
        <v>17.600000000000001</v>
      </c>
      <c r="M101" s="31" t="s">
        <v>46</v>
      </c>
    </row>
    <row r="102" spans="1:13" x14ac:dyDescent="0.25">
      <c r="A102" s="30" t="s">
        <v>579</v>
      </c>
      <c r="B102" s="30" t="s">
        <v>580</v>
      </c>
      <c r="C102" s="31">
        <v>10.9</v>
      </c>
      <c r="D102" s="31" t="s">
        <v>46</v>
      </c>
      <c r="E102" s="31" t="s">
        <v>46</v>
      </c>
      <c r="F102" s="31">
        <v>0</v>
      </c>
      <c r="G102" s="31" t="s">
        <v>46</v>
      </c>
      <c r="H102" s="31">
        <v>3.7</v>
      </c>
      <c r="I102" s="31" t="s">
        <v>46</v>
      </c>
      <c r="J102" s="31" t="s">
        <v>46</v>
      </c>
      <c r="K102" s="31">
        <v>15.8</v>
      </c>
      <c r="L102" s="31" t="s">
        <v>46</v>
      </c>
      <c r="M102" s="31" t="s">
        <v>46</v>
      </c>
    </row>
    <row r="103" spans="1:13" x14ac:dyDescent="0.25">
      <c r="A103" s="30" t="s">
        <v>581</v>
      </c>
      <c r="B103" s="30" t="s">
        <v>582</v>
      </c>
      <c r="C103" s="31">
        <v>63.8</v>
      </c>
      <c r="D103" s="31">
        <v>71.7</v>
      </c>
      <c r="E103" s="31">
        <v>77.2</v>
      </c>
      <c r="F103" s="31">
        <v>86.2</v>
      </c>
      <c r="G103" s="31">
        <v>85</v>
      </c>
      <c r="H103" s="31">
        <v>100.4</v>
      </c>
      <c r="I103" s="31">
        <v>106.8</v>
      </c>
      <c r="J103" s="31">
        <v>102.9</v>
      </c>
      <c r="K103" s="31">
        <v>117.8</v>
      </c>
      <c r="L103" s="31">
        <v>147.19999999999999</v>
      </c>
      <c r="M103" s="31">
        <v>150.80000000000001</v>
      </c>
    </row>
    <row r="104" spans="1:13" x14ac:dyDescent="0.25">
      <c r="A104" s="30" t="s">
        <v>583</v>
      </c>
      <c r="B104" s="30" t="s">
        <v>584</v>
      </c>
      <c r="C104" s="31" t="s">
        <v>46</v>
      </c>
      <c r="D104" s="31" t="s">
        <v>46</v>
      </c>
      <c r="E104" s="31" t="s">
        <v>46</v>
      </c>
      <c r="F104" s="31" t="s">
        <v>46</v>
      </c>
      <c r="G104" s="31" t="s">
        <v>46</v>
      </c>
      <c r="H104" s="31" t="s">
        <v>46</v>
      </c>
      <c r="I104" s="31" t="s">
        <v>46</v>
      </c>
      <c r="J104" s="31">
        <v>2.6</v>
      </c>
      <c r="K104" s="31" t="s">
        <v>46</v>
      </c>
      <c r="L104" s="31" t="s">
        <v>46</v>
      </c>
      <c r="M104" s="31" t="s">
        <v>46</v>
      </c>
    </row>
    <row r="105" spans="1:13" x14ac:dyDescent="0.25">
      <c r="A105" s="30" t="s">
        <v>585</v>
      </c>
      <c r="B105" s="30" t="s">
        <v>586</v>
      </c>
      <c r="C105" s="31">
        <v>0.6</v>
      </c>
      <c r="D105" s="31">
        <v>0.6</v>
      </c>
      <c r="E105" s="31">
        <v>0.8</v>
      </c>
      <c r="F105" s="31">
        <v>1.9</v>
      </c>
      <c r="G105" s="31">
        <v>1.3</v>
      </c>
      <c r="H105" s="31">
        <v>2.5</v>
      </c>
      <c r="I105" s="31">
        <v>0.5</v>
      </c>
      <c r="J105" s="31">
        <v>-1.3</v>
      </c>
      <c r="K105" s="31">
        <v>1.6</v>
      </c>
      <c r="L105" s="31">
        <v>3.3</v>
      </c>
      <c r="M105" s="31">
        <v>1.9</v>
      </c>
    </row>
    <row r="106" spans="1:13" x14ac:dyDescent="0.25">
      <c r="A106" s="30" t="s">
        <v>587</v>
      </c>
      <c r="B106" s="30" t="s">
        <v>588</v>
      </c>
      <c r="C106" s="31" t="s">
        <v>46</v>
      </c>
      <c r="D106" s="31" t="s">
        <v>46</v>
      </c>
      <c r="E106" s="31">
        <v>383.2</v>
      </c>
      <c r="F106" s="31">
        <v>462.7</v>
      </c>
      <c r="G106" s="31">
        <v>549.29999999999995</v>
      </c>
      <c r="H106" s="31">
        <v>584.79999999999995</v>
      </c>
      <c r="I106" s="31">
        <v>532.6</v>
      </c>
      <c r="J106" s="31">
        <v>546.70000000000005</v>
      </c>
      <c r="K106" s="31">
        <v>628.1</v>
      </c>
      <c r="L106" s="31">
        <v>575.4</v>
      </c>
      <c r="M106" s="31">
        <v>593.6</v>
      </c>
    </row>
    <row r="107" spans="1:13" x14ac:dyDescent="0.25">
      <c r="A107" s="30" t="s">
        <v>589</v>
      </c>
      <c r="B107" s="30" t="s">
        <v>590</v>
      </c>
      <c r="C107" s="31">
        <v>954.1</v>
      </c>
      <c r="D107" s="31" t="s">
        <v>46</v>
      </c>
      <c r="E107" s="31">
        <v>202.5</v>
      </c>
      <c r="F107" s="31">
        <v>233</v>
      </c>
      <c r="G107" s="31">
        <v>245.4</v>
      </c>
      <c r="H107" s="31">
        <v>221.5</v>
      </c>
      <c r="I107" s="31">
        <v>222.4</v>
      </c>
      <c r="J107" s="31">
        <v>221.3</v>
      </c>
      <c r="K107" s="31">
        <v>274.8</v>
      </c>
      <c r="L107" s="31">
        <v>276.3</v>
      </c>
      <c r="M107" s="31">
        <v>311</v>
      </c>
    </row>
    <row r="108" spans="1:13" x14ac:dyDescent="0.25">
      <c r="A108" s="30" t="s">
        <v>591</v>
      </c>
      <c r="B108" s="30" t="s">
        <v>592</v>
      </c>
      <c r="C108" s="31" t="s">
        <v>46</v>
      </c>
      <c r="D108" s="31" t="s">
        <v>46</v>
      </c>
      <c r="E108" s="31" t="s">
        <v>46</v>
      </c>
      <c r="F108" s="31" t="s">
        <v>46</v>
      </c>
      <c r="G108" s="31" t="s">
        <v>46</v>
      </c>
      <c r="H108" s="31">
        <v>6.4</v>
      </c>
      <c r="I108" s="31">
        <v>16.5</v>
      </c>
      <c r="J108" s="31">
        <v>16.8</v>
      </c>
      <c r="K108" s="31">
        <v>19.8</v>
      </c>
      <c r="L108" s="31">
        <v>22.3</v>
      </c>
      <c r="M108" s="31">
        <v>25.9</v>
      </c>
    </row>
    <row r="109" spans="1:13" x14ac:dyDescent="0.25">
      <c r="A109" s="30" t="s">
        <v>593</v>
      </c>
      <c r="B109" s="30" t="s">
        <v>594</v>
      </c>
      <c r="C109" s="31" t="s">
        <v>46</v>
      </c>
      <c r="D109" s="31" t="s">
        <v>46</v>
      </c>
      <c r="E109" s="31">
        <v>5.5</v>
      </c>
      <c r="F109" s="31">
        <v>45.3</v>
      </c>
      <c r="G109" s="31">
        <v>14.1</v>
      </c>
      <c r="H109" s="31">
        <v>15.6</v>
      </c>
      <c r="I109" s="31">
        <v>11.9</v>
      </c>
      <c r="J109" s="31">
        <v>6</v>
      </c>
      <c r="K109" s="31">
        <v>6.7</v>
      </c>
      <c r="L109" s="31">
        <v>18</v>
      </c>
      <c r="M109" s="31">
        <v>17.8</v>
      </c>
    </row>
    <row r="110" spans="1:13" x14ac:dyDescent="0.25">
      <c r="A110" s="30" t="s">
        <v>595</v>
      </c>
      <c r="B110" s="30" t="s">
        <v>596</v>
      </c>
      <c r="C110" s="31">
        <v>62.9</v>
      </c>
      <c r="D110" s="31" t="s">
        <v>46</v>
      </c>
      <c r="E110" s="31" t="s">
        <v>46</v>
      </c>
      <c r="F110" s="31" t="s">
        <v>46</v>
      </c>
      <c r="G110" s="31" t="s">
        <v>46</v>
      </c>
      <c r="H110" s="31" t="s">
        <v>46</v>
      </c>
      <c r="I110" s="31">
        <v>11</v>
      </c>
      <c r="J110" s="31">
        <v>12.4</v>
      </c>
      <c r="K110" s="31">
        <v>11.4</v>
      </c>
      <c r="L110" s="31">
        <v>12.6</v>
      </c>
      <c r="M110" s="31">
        <v>12</v>
      </c>
    </row>
    <row r="111" spans="1:13" x14ac:dyDescent="0.25">
      <c r="A111" s="30" t="s">
        <v>597</v>
      </c>
      <c r="B111" s="30" t="s">
        <v>598</v>
      </c>
      <c r="C111" s="31">
        <v>3.1</v>
      </c>
      <c r="D111" s="31">
        <v>5</v>
      </c>
      <c r="E111" s="31">
        <v>3.8</v>
      </c>
      <c r="F111" s="31">
        <v>4</v>
      </c>
      <c r="G111" s="31">
        <v>5.0999999999999996</v>
      </c>
      <c r="H111" s="31">
        <v>3.6</v>
      </c>
      <c r="I111" s="31">
        <v>3.1</v>
      </c>
      <c r="J111" s="31">
        <v>2.7</v>
      </c>
      <c r="K111" s="31">
        <v>2.6</v>
      </c>
      <c r="L111" s="31">
        <v>2</v>
      </c>
      <c r="M111" s="31">
        <v>1.8</v>
      </c>
    </row>
    <row r="112" spans="1:13" x14ac:dyDescent="0.25">
      <c r="A112" s="30" t="s">
        <v>599</v>
      </c>
      <c r="B112" s="30" t="s">
        <v>600</v>
      </c>
      <c r="C112" s="31">
        <v>6.7</v>
      </c>
      <c r="D112" s="31">
        <v>5</v>
      </c>
      <c r="E112" s="31">
        <v>4.5</v>
      </c>
      <c r="F112" s="31">
        <v>4.9000000000000004</v>
      </c>
      <c r="G112" s="31">
        <v>4.0999999999999996</v>
      </c>
      <c r="H112" s="31">
        <v>4.3</v>
      </c>
      <c r="I112" s="31">
        <v>3.7</v>
      </c>
      <c r="J112" s="31">
        <v>3.8</v>
      </c>
      <c r="K112" s="31">
        <v>3.3</v>
      </c>
      <c r="L112" s="31">
        <v>2.4</v>
      </c>
      <c r="M112" s="31">
        <v>2.7</v>
      </c>
    </row>
    <row r="113" spans="1:13" x14ac:dyDescent="0.25">
      <c r="A113" s="30" t="s">
        <v>601</v>
      </c>
      <c r="B113" s="30" t="s">
        <v>602</v>
      </c>
      <c r="C113" s="31">
        <v>5.6</v>
      </c>
      <c r="D113" s="31">
        <v>5.8</v>
      </c>
      <c r="E113" s="31">
        <v>3.4</v>
      </c>
      <c r="F113" s="31">
        <v>4.8</v>
      </c>
      <c r="G113" s="31">
        <v>9.4</v>
      </c>
      <c r="H113" s="31">
        <v>7.9</v>
      </c>
      <c r="I113" s="31">
        <v>6.8</v>
      </c>
      <c r="J113" s="31">
        <v>6.5</v>
      </c>
      <c r="K113" s="31">
        <v>3.4</v>
      </c>
      <c r="L113" s="31">
        <v>-4.3</v>
      </c>
      <c r="M113" s="31">
        <v>-5.0999999999999996</v>
      </c>
    </row>
    <row r="114" spans="1:13" x14ac:dyDescent="0.25">
      <c r="A114" s="30" t="s">
        <v>603</v>
      </c>
      <c r="B114" s="30" t="s">
        <v>604</v>
      </c>
      <c r="C114" s="31">
        <v>26.6</v>
      </c>
      <c r="D114" s="31">
        <v>27.1</v>
      </c>
      <c r="E114" s="31">
        <v>44.1</v>
      </c>
      <c r="F114" s="31">
        <v>31.6</v>
      </c>
      <c r="G114" s="31">
        <v>32</v>
      </c>
      <c r="H114" s="31">
        <v>33</v>
      </c>
      <c r="I114" s="31">
        <v>33.9</v>
      </c>
      <c r="J114" s="31">
        <v>38.200000000000003</v>
      </c>
      <c r="K114" s="31">
        <v>55.8</v>
      </c>
      <c r="L114" s="31">
        <v>51.5</v>
      </c>
      <c r="M114" s="31">
        <v>55.5</v>
      </c>
    </row>
    <row r="115" spans="1:13" x14ac:dyDescent="0.25">
      <c r="A115" s="30" t="s">
        <v>605</v>
      </c>
      <c r="B115" s="30" t="s">
        <v>606</v>
      </c>
      <c r="C115" s="31">
        <v>28.3</v>
      </c>
      <c r="D115" s="31">
        <v>29</v>
      </c>
      <c r="E115" s="31">
        <v>51.8</v>
      </c>
      <c r="F115" s="31">
        <v>34.5</v>
      </c>
      <c r="G115" s="31">
        <v>33.4</v>
      </c>
      <c r="H115" s="31">
        <v>34.4</v>
      </c>
      <c r="I115" s="31">
        <v>36.1</v>
      </c>
      <c r="J115" s="31">
        <v>39.299999999999997</v>
      </c>
      <c r="K115" s="31">
        <v>54.4</v>
      </c>
      <c r="L115" s="31">
        <v>51.3</v>
      </c>
      <c r="M115" s="31">
        <v>55.8</v>
      </c>
    </row>
    <row r="116" spans="1:13" x14ac:dyDescent="0.25">
      <c r="A116" s="30" t="s">
        <v>607</v>
      </c>
      <c r="B116" s="30" t="s">
        <v>608</v>
      </c>
      <c r="C116" s="31">
        <v>30.1</v>
      </c>
      <c r="D116" s="31">
        <v>31.2</v>
      </c>
      <c r="E116" s="31">
        <v>210.6</v>
      </c>
      <c r="F116" s="31">
        <v>36.4</v>
      </c>
      <c r="G116" s="31">
        <v>35.4</v>
      </c>
      <c r="H116" s="31">
        <v>37.299999999999997</v>
      </c>
      <c r="I116" s="31">
        <v>38.4</v>
      </c>
      <c r="J116" s="31">
        <v>41.5</v>
      </c>
      <c r="K116" s="31">
        <v>55</v>
      </c>
      <c r="L116" s="31">
        <v>53.7</v>
      </c>
      <c r="M116" s="31">
        <v>57.5</v>
      </c>
    </row>
    <row r="117" spans="1:13" x14ac:dyDescent="0.25">
      <c r="A117" s="30" t="s">
        <v>609</v>
      </c>
      <c r="B117" s="30" t="s">
        <v>610</v>
      </c>
      <c r="C117" s="31">
        <v>32.9</v>
      </c>
      <c r="D117" s="31">
        <v>32.299999999999997</v>
      </c>
      <c r="E117" s="31">
        <v>15.3</v>
      </c>
      <c r="F117" s="31">
        <v>40</v>
      </c>
      <c r="G117" s="31">
        <v>39.200000000000003</v>
      </c>
      <c r="H117" s="31">
        <v>40.9</v>
      </c>
      <c r="I117" s="31">
        <v>41.6</v>
      </c>
      <c r="J117" s="31">
        <v>44.1</v>
      </c>
      <c r="K117" s="31">
        <v>59</v>
      </c>
      <c r="L117" s="31">
        <v>56.5</v>
      </c>
      <c r="M117" s="31">
        <v>60.2</v>
      </c>
    </row>
    <row r="118" spans="1:13" x14ac:dyDescent="0.25">
      <c r="A118" s="30" t="s">
        <v>611</v>
      </c>
      <c r="B118" s="30" t="s">
        <v>612</v>
      </c>
      <c r="C118" s="31">
        <v>35.200000000000003</v>
      </c>
      <c r="D118" s="31">
        <v>36.9</v>
      </c>
      <c r="E118" s="31">
        <v>18</v>
      </c>
      <c r="F118" s="31">
        <v>43.9</v>
      </c>
      <c r="G118" s="31">
        <v>42.1</v>
      </c>
      <c r="H118" s="31">
        <v>44</v>
      </c>
      <c r="I118" s="31">
        <v>44</v>
      </c>
      <c r="J118" s="31">
        <v>46.9</v>
      </c>
      <c r="K118" s="31">
        <v>60.8</v>
      </c>
      <c r="L118" s="31">
        <v>58.2</v>
      </c>
      <c r="M118" s="31">
        <v>62</v>
      </c>
    </row>
    <row r="119" spans="1:13" x14ac:dyDescent="0.25">
      <c r="A119" s="30" t="s">
        <v>613</v>
      </c>
      <c r="B119" s="30" t="s">
        <v>614</v>
      </c>
      <c r="C119" s="31">
        <v>215.9</v>
      </c>
      <c r="D119" s="31">
        <v>233.3</v>
      </c>
      <c r="E119" s="31">
        <v>77.7</v>
      </c>
      <c r="F119" s="31">
        <v>271.8</v>
      </c>
      <c r="G119" s="31">
        <v>262</v>
      </c>
      <c r="H119" s="31">
        <v>275.10000000000002</v>
      </c>
      <c r="I119" s="31">
        <v>264.10000000000002</v>
      </c>
      <c r="J119" s="31">
        <v>276.7</v>
      </c>
      <c r="K119" s="31">
        <v>331.3</v>
      </c>
      <c r="L119" s="31">
        <v>310.3</v>
      </c>
      <c r="M119" s="31">
        <v>321.10000000000002</v>
      </c>
    </row>
    <row r="120" spans="1:13" x14ac:dyDescent="0.25">
      <c r="A120" s="30" t="s">
        <v>615</v>
      </c>
      <c r="B120" s="30" t="s">
        <v>616</v>
      </c>
      <c r="C120" s="31">
        <v>483.1</v>
      </c>
      <c r="D120" s="31" t="s">
        <v>46</v>
      </c>
      <c r="E120" s="31">
        <v>540.29999999999995</v>
      </c>
      <c r="F120" s="31">
        <v>578.29999999999995</v>
      </c>
      <c r="G120" s="31">
        <v>590.79999999999995</v>
      </c>
      <c r="H120" s="31">
        <v>608.20000000000005</v>
      </c>
      <c r="I120" s="31">
        <v>613.9</v>
      </c>
      <c r="J120" s="31">
        <v>657</v>
      </c>
      <c r="K120" s="31">
        <v>786.3</v>
      </c>
      <c r="L120" s="31">
        <v>929.9</v>
      </c>
      <c r="M120" s="31">
        <v>978.5</v>
      </c>
    </row>
    <row r="121" spans="1:13" x14ac:dyDescent="0.25">
      <c r="A121" s="30" t="s">
        <v>617</v>
      </c>
      <c r="B121" s="30" t="s">
        <v>618</v>
      </c>
      <c r="C121" s="31">
        <v>12.7</v>
      </c>
      <c r="D121" s="31">
        <v>11.9</v>
      </c>
      <c r="E121" s="31">
        <v>13</v>
      </c>
      <c r="F121" s="31">
        <v>20.2</v>
      </c>
      <c r="G121" s="31">
        <v>18.7</v>
      </c>
      <c r="H121" s="31">
        <v>18.2</v>
      </c>
      <c r="I121" s="31">
        <v>18.7</v>
      </c>
      <c r="J121" s="31">
        <v>25.6</v>
      </c>
      <c r="K121" s="31">
        <v>23.9</v>
      </c>
      <c r="L121" s="31">
        <v>25.6</v>
      </c>
      <c r="M121" s="31">
        <v>37.200000000000003</v>
      </c>
    </row>
    <row r="122" spans="1:13" x14ac:dyDescent="0.25">
      <c r="A122" s="30" t="s">
        <v>619</v>
      </c>
      <c r="B122" s="30" t="s">
        <v>620</v>
      </c>
      <c r="C122" s="31">
        <v>14.7</v>
      </c>
      <c r="D122" s="31">
        <v>18.899999999999999</v>
      </c>
      <c r="E122" s="31">
        <v>17.600000000000001</v>
      </c>
      <c r="F122" s="31">
        <v>26</v>
      </c>
      <c r="G122" s="31">
        <v>42.2</v>
      </c>
      <c r="H122" s="31">
        <v>37.200000000000003</v>
      </c>
      <c r="I122" s="31">
        <v>42.4</v>
      </c>
      <c r="J122" s="31">
        <v>50.2</v>
      </c>
      <c r="K122" s="31">
        <v>53.9</v>
      </c>
      <c r="L122" s="31">
        <v>78.7</v>
      </c>
      <c r="M122" s="31">
        <v>73.5</v>
      </c>
    </row>
    <row r="123" spans="1:13" x14ac:dyDescent="0.25">
      <c r="A123" s="30" t="s">
        <v>621</v>
      </c>
      <c r="B123" s="30" t="s">
        <v>622</v>
      </c>
      <c r="C123" s="31">
        <v>83.4</v>
      </c>
      <c r="D123" s="31">
        <v>78</v>
      </c>
      <c r="E123" s="31">
        <v>76.5</v>
      </c>
      <c r="F123" s="31">
        <v>79.400000000000006</v>
      </c>
      <c r="G123" s="31">
        <v>96.4</v>
      </c>
      <c r="H123" s="31">
        <v>91.3</v>
      </c>
      <c r="I123" s="31">
        <v>78.8</v>
      </c>
      <c r="J123" s="31">
        <v>127.7</v>
      </c>
      <c r="K123" s="31">
        <v>67.099999999999994</v>
      </c>
      <c r="L123" s="31">
        <v>92.9</v>
      </c>
      <c r="M123" s="31">
        <v>52.3</v>
      </c>
    </row>
    <row r="124" spans="1:13" x14ac:dyDescent="0.25">
      <c r="A124" s="30" t="s">
        <v>623</v>
      </c>
      <c r="B124" s="30" t="s">
        <v>624</v>
      </c>
      <c r="C124" s="31">
        <v>10.9</v>
      </c>
      <c r="D124" s="31">
        <v>10.6</v>
      </c>
      <c r="E124" s="31">
        <v>10.5</v>
      </c>
      <c r="F124" s="31">
        <v>10.1</v>
      </c>
      <c r="G124" s="31">
        <v>10.3</v>
      </c>
      <c r="H124" s="31">
        <v>11.3</v>
      </c>
      <c r="I124" s="31">
        <v>9.1</v>
      </c>
      <c r="J124" s="31">
        <v>15.1</v>
      </c>
      <c r="K124" s="31">
        <v>6.2</v>
      </c>
      <c r="L124" s="31">
        <v>11</v>
      </c>
      <c r="M124" s="31">
        <v>10.7</v>
      </c>
    </row>
    <row r="125" spans="1:13" x14ac:dyDescent="0.25">
      <c r="A125" s="30" t="s">
        <v>625</v>
      </c>
      <c r="B125" s="30" t="s">
        <v>626</v>
      </c>
      <c r="C125" s="31">
        <v>-3.2</v>
      </c>
      <c r="D125" s="31">
        <v>-1</v>
      </c>
      <c r="E125" s="31">
        <v>1.9</v>
      </c>
      <c r="F125" s="31">
        <v>-1</v>
      </c>
      <c r="G125" s="31">
        <v>-14.8</v>
      </c>
      <c r="H125" s="31">
        <v>3</v>
      </c>
      <c r="I125" s="31">
        <v>-8.6999999999999993</v>
      </c>
      <c r="J125" s="31">
        <v>-8</v>
      </c>
      <c r="K125" s="31">
        <v>-0.6</v>
      </c>
      <c r="L125" s="31">
        <v>-1.1000000000000001</v>
      </c>
      <c r="M125" s="31">
        <v>-9.1</v>
      </c>
    </row>
    <row r="126" spans="1:13" x14ac:dyDescent="0.25">
      <c r="A126" s="30" t="s">
        <v>627</v>
      </c>
      <c r="B126" s="30" t="s">
        <v>628</v>
      </c>
      <c r="C126" s="31">
        <v>24.5</v>
      </c>
      <c r="D126" s="31">
        <v>9.4</v>
      </c>
      <c r="E126" s="31">
        <v>32</v>
      </c>
      <c r="F126" s="31">
        <v>21.3</v>
      </c>
      <c r="G126" s="31">
        <v>-0.1</v>
      </c>
      <c r="H126" s="31">
        <v>2.8</v>
      </c>
      <c r="I126" s="31">
        <v>9.3000000000000007</v>
      </c>
      <c r="J126" s="31">
        <v>-29.6</v>
      </c>
      <c r="K126" s="31">
        <v>23.8</v>
      </c>
      <c r="L126" s="31">
        <v>-340.3</v>
      </c>
      <c r="M126" s="31">
        <v>26.4</v>
      </c>
    </row>
    <row r="127" spans="1:13" x14ac:dyDescent="0.25">
      <c r="A127" s="30" t="s">
        <v>629</v>
      </c>
      <c r="B127" s="30" t="s">
        <v>630</v>
      </c>
      <c r="C127" s="31">
        <v>2.7</v>
      </c>
      <c r="D127" s="31">
        <v>2.1</v>
      </c>
      <c r="E127" s="31">
        <v>4.0999999999999996</v>
      </c>
      <c r="F127" s="31">
        <v>4</v>
      </c>
      <c r="G127" s="31">
        <v>-0.4</v>
      </c>
      <c r="H127" s="31">
        <v>0.3</v>
      </c>
      <c r="I127" s="31">
        <v>0.4</v>
      </c>
      <c r="J127" s="31">
        <v>-2.4</v>
      </c>
      <c r="K127" s="31">
        <v>0.9</v>
      </c>
      <c r="L127" s="31">
        <v>1.5</v>
      </c>
      <c r="M127" s="31">
        <v>3.6</v>
      </c>
    </row>
    <row r="128" spans="1:13" x14ac:dyDescent="0.25">
      <c r="A128" s="30" t="s">
        <v>631</v>
      </c>
      <c r="B128" s="30" t="s">
        <v>632</v>
      </c>
      <c r="C128" s="31" t="s">
        <v>46</v>
      </c>
      <c r="D128" s="31">
        <v>8.6999999999999993</v>
      </c>
      <c r="E128" s="31">
        <v>7.9</v>
      </c>
      <c r="F128" s="31">
        <v>7.6</v>
      </c>
      <c r="G128" s="31">
        <v>6.8</v>
      </c>
      <c r="H128" s="31">
        <v>6.9</v>
      </c>
      <c r="I128" s="31">
        <v>6.8</v>
      </c>
      <c r="J128" s="31">
        <v>7.4</v>
      </c>
      <c r="K128" s="31">
        <v>82.8</v>
      </c>
      <c r="L128" s="31">
        <v>5.4</v>
      </c>
      <c r="M128" s="31">
        <v>5.0999999999999996</v>
      </c>
    </row>
    <row r="129" spans="1:13" x14ac:dyDescent="0.25">
      <c r="A129" s="30" t="s">
        <v>633</v>
      </c>
      <c r="B129" s="30" t="s">
        <v>634</v>
      </c>
      <c r="C129" s="31" t="s">
        <v>46</v>
      </c>
      <c r="D129" s="31">
        <v>8.6999999999999993</v>
      </c>
      <c r="E129" s="31">
        <v>8.3000000000000007</v>
      </c>
      <c r="F129" s="31">
        <v>7.9</v>
      </c>
      <c r="G129" s="31">
        <v>7</v>
      </c>
      <c r="H129" s="31">
        <v>6.8</v>
      </c>
      <c r="I129" s="31">
        <v>6.8</v>
      </c>
      <c r="J129" s="31">
        <v>7.4</v>
      </c>
      <c r="K129" s="31">
        <v>5.6</v>
      </c>
      <c r="L129" s="31">
        <v>5.4</v>
      </c>
      <c r="M129" s="31">
        <v>5.0999999999999996</v>
      </c>
    </row>
    <row r="130" spans="1:13" x14ac:dyDescent="0.25">
      <c r="A130" s="30" t="s">
        <v>635</v>
      </c>
      <c r="B130" s="30" t="s">
        <v>636</v>
      </c>
      <c r="C130" s="31" t="s">
        <v>46</v>
      </c>
      <c r="D130" s="31">
        <v>8.6999999999999993</v>
      </c>
      <c r="E130" s="31">
        <v>8.4</v>
      </c>
      <c r="F130" s="31">
        <v>8.1999999999999993</v>
      </c>
      <c r="G130" s="31">
        <v>7</v>
      </c>
      <c r="H130" s="31">
        <v>6.9</v>
      </c>
      <c r="I130" s="31">
        <v>6.9</v>
      </c>
      <c r="J130" s="31">
        <v>7.3</v>
      </c>
      <c r="K130" s="31">
        <v>5.5</v>
      </c>
      <c r="L130" s="31">
        <v>5.4</v>
      </c>
      <c r="M130" s="31">
        <v>5.0999999999999996</v>
      </c>
    </row>
    <row r="131" spans="1:13" x14ac:dyDescent="0.25">
      <c r="A131" s="30" t="s">
        <v>637</v>
      </c>
      <c r="B131" s="30" t="s">
        <v>638</v>
      </c>
      <c r="C131" s="31" t="s">
        <v>46</v>
      </c>
      <c r="D131" s="31">
        <v>8.6</v>
      </c>
      <c r="E131" s="31">
        <v>8.5</v>
      </c>
      <c r="F131" s="31">
        <v>8.3000000000000007</v>
      </c>
      <c r="G131" s="31">
        <v>7.1</v>
      </c>
      <c r="H131" s="31">
        <v>7</v>
      </c>
      <c r="I131" s="31">
        <v>7</v>
      </c>
      <c r="J131" s="31">
        <v>7.3</v>
      </c>
      <c r="K131" s="31">
        <v>5.5</v>
      </c>
      <c r="L131" s="31">
        <v>5.4</v>
      </c>
      <c r="M131" s="31">
        <v>5.0999999999999996</v>
      </c>
    </row>
    <row r="132" spans="1:13" x14ac:dyDescent="0.25">
      <c r="A132" s="30" t="s">
        <v>639</v>
      </c>
      <c r="B132" s="30" t="s">
        <v>640</v>
      </c>
      <c r="C132" s="31" t="s">
        <v>46</v>
      </c>
      <c r="D132" s="31">
        <v>8.6999999999999993</v>
      </c>
      <c r="E132" s="31">
        <v>8.5</v>
      </c>
      <c r="F132" s="31">
        <v>8.5</v>
      </c>
      <c r="G132" s="31">
        <v>7.3</v>
      </c>
      <c r="H132" s="31">
        <v>7.1</v>
      </c>
      <c r="I132" s="31">
        <v>7.1</v>
      </c>
      <c r="J132" s="31">
        <v>7.2</v>
      </c>
      <c r="K132" s="31">
        <v>5.5</v>
      </c>
      <c r="L132" s="31">
        <v>5.3</v>
      </c>
      <c r="M132" s="31">
        <v>5.0999999999999996</v>
      </c>
    </row>
    <row r="133" spans="1:13" x14ac:dyDescent="0.25">
      <c r="A133" s="30" t="s">
        <v>641</v>
      </c>
      <c r="B133" s="30" t="s">
        <v>642</v>
      </c>
      <c r="C133" s="31" t="s">
        <v>46</v>
      </c>
      <c r="D133" s="31">
        <v>42.2</v>
      </c>
      <c r="E133" s="31">
        <v>42.9</v>
      </c>
      <c r="F133" s="31">
        <v>43.6</v>
      </c>
      <c r="G133" s="31">
        <v>39.1</v>
      </c>
      <c r="H133" s="31">
        <v>35.700000000000003</v>
      </c>
      <c r="I133" s="31">
        <v>35.299999999999997</v>
      </c>
      <c r="J133" s="31">
        <v>35.4</v>
      </c>
      <c r="K133" s="31">
        <v>26.8</v>
      </c>
      <c r="L133" s="31">
        <v>25.6</v>
      </c>
      <c r="M133" s="31">
        <v>24.5</v>
      </c>
    </row>
    <row r="134" spans="1:13" x14ac:dyDescent="0.25">
      <c r="A134" s="30" t="s">
        <v>643</v>
      </c>
      <c r="B134" s="30" t="s">
        <v>644</v>
      </c>
      <c r="C134" s="34" t="s">
        <v>46</v>
      </c>
      <c r="D134" s="34" t="s">
        <v>46</v>
      </c>
      <c r="E134" s="34" t="s">
        <v>46</v>
      </c>
      <c r="F134" s="34" t="s">
        <v>46</v>
      </c>
      <c r="G134" s="34" t="s">
        <v>46</v>
      </c>
      <c r="H134" s="34" t="s">
        <v>46</v>
      </c>
      <c r="I134" s="34" t="s">
        <v>46</v>
      </c>
      <c r="J134" s="34">
        <v>41.5</v>
      </c>
      <c r="K134" s="34">
        <v>42</v>
      </c>
      <c r="L134" s="34">
        <v>39.5</v>
      </c>
      <c r="M134" s="34">
        <v>40.1</v>
      </c>
    </row>
    <row r="135" spans="1:13" x14ac:dyDescent="0.25">
      <c r="A135" s="30" t="s">
        <v>645</v>
      </c>
      <c r="B135" s="30" t="s">
        <v>646</v>
      </c>
      <c r="C135" s="31">
        <v>2.5</v>
      </c>
      <c r="D135" s="31" t="s">
        <v>46</v>
      </c>
      <c r="E135" s="31" t="s">
        <v>46</v>
      </c>
      <c r="F135" s="31" t="s">
        <v>46</v>
      </c>
      <c r="G135" s="31" t="s">
        <v>46</v>
      </c>
      <c r="H135" s="31" t="s">
        <v>46</v>
      </c>
      <c r="I135" s="31" t="s">
        <v>46</v>
      </c>
      <c r="J135" s="31" t="s">
        <v>46</v>
      </c>
      <c r="K135" s="31" t="s">
        <v>46</v>
      </c>
      <c r="L135" s="31" t="s">
        <v>46</v>
      </c>
      <c r="M135" s="31" t="s">
        <v>46</v>
      </c>
    </row>
    <row r="136" spans="1:13" x14ac:dyDescent="0.25">
      <c r="A136" s="30" t="s">
        <v>647</v>
      </c>
      <c r="B136" s="30" t="s">
        <v>648</v>
      </c>
      <c r="C136" s="31" t="s">
        <v>46</v>
      </c>
      <c r="D136" s="31" t="s">
        <v>46</v>
      </c>
      <c r="E136" s="31" t="s">
        <v>46</v>
      </c>
      <c r="F136" s="31">
        <v>1.7</v>
      </c>
      <c r="G136" s="31">
        <v>4.3</v>
      </c>
      <c r="H136" s="31" t="s">
        <v>46</v>
      </c>
      <c r="I136" s="31">
        <v>3.6</v>
      </c>
      <c r="J136" s="31" t="s">
        <v>46</v>
      </c>
      <c r="K136" s="31" t="s">
        <v>46</v>
      </c>
      <c r="L136" s="31" t="s">
        <v>46</v>
      </c>
      <c r="M136" s="31" t="s">
        <v>46</v>
      </c>
    </row>
    <row r="137" spans="1:13" x14ac:dyDescent="0.25">
      <c r="A137" s="30" t="s">
        <v>649</v>
      </c>
      <c r="B137" s="30" t="s">
        <v>650</v>
      </c>
      <c r="C137" s="31" t="s">
        <v>46</v>
      </c>
      <c r="D137" s="31" t="s">
        <v>46</v>
      </c>
      <c r="E137" s="31" t="s">
        <v>46</v>
      </c>
      <c r="F137" s="31" t="s">
        <v>46</v>
      </c>
      <c r="G137" s="31">
        <v>0</v>
      </c>
      <c r="H137" s="31" t="s">
        <v>46</v>
      </c>
      <c r="I137" s="31">
        <v>4</v>
      </c>
      <c r="J137" s="31" t="s">
        <v>46</v>
      </c>
      <c r="K137" s="31" t="s">
        <v>46</v>
      </c>
      <c r="L137" s="31" t="s">
        <v>46</v>
      </c>
      <c r="M137" s="31" t="s">
        <v>46</v>
      </c>
    </row>
    <row r="138" spans="1:13" x14ac:dyDescent="0.25">
      <c r="A138" s="30" t="s">
        <v>651</v>
      </c>
      <c r="B138" s="30" t="s">
        <v>652</v>
      </c>
      <c r="C138" s="31" t="s">
        <v>46</v>
      </c>
      <c r="D138" s="31" t="s">
        <v>46</v>
      </c>
      <c r="E138" s="31" t="s">
        <v>46</v>
      </c>
      <c r="F138" s="31" t="s">
        <v>46</v>
      </c>
      <c r="G138" s="31" t="s">
        <v>46</v>
      </c>
      <c r="H138" s="31" t="s">
        <v>46</v>
      </c>
      <c r="I138" s="31" t="s">
        <v>46</v>
      </c>
      <c r="J138" s="31" t="s">
        <v>46</v>
      </c>
      <c r="K138" s="31" t="s">
        <v>46</v>
      </c>
      <c r="L138" s="31" t="s">
        <v>46</v>
      </c>
      <c r="M138" s="31">
        <v>-4.7</v>
      </c>
    </row>
    <row r="139" spans="1:13" x14ac:dyDescent="0.25">
      <c r="A139" s="30" t="s">
        <v>653</v>
      </c>
      <c r="B139" s="30" t="s">
        <v>654</v>
      </c>
      <c r="C139" s="31" t="s">
        <v>46</v>
      </c>
      <c r="D139" s="31" t="s">
        <v>46</v>
      </c>
      <c r="E139" s="31" t="s">
        <v>46</v>
      </c>
      <c r="F139" s="31" t="s">
        <v>46</v>
      </c>
      <c r="G139" s="31" t="s">
        <v>46</v>
      </c>
      <c r="H139" s="31" t="s">
        <v>46</v>
      </c>
      <c r="I139" s="31" t="s">
        <v>46</v>
      </c>
      <c r="J139" s="31">
        <v>0.3</v>
      </c>
      <c r="K139" s="31">
        <v>1.3</v>
      </c>
      <c r="L139" s="31">
        <v>0.6</v>
      </c>
      <c r="M139" s="31">
        <v>0.7</v>
      </c>
    </row>
    <row r="140" spans="1:13" x14ac:dyDescent="0.25">
      <c r="A140" s="30" t="s">
        <v>655</v>
      </c>
      <c r="B140" s="30" t="s">
        <v>656</v>
      </c>
      <c r="C140" s="31" t="s">
        <v>46</v>
      </c>
      <c r="D140" s="31">
        <v>-5.5</v>
      </c>
      <c r="E140" s="31" t="s">
        <v>46</v>
      </c>
      <c r="F140" s="31" t="s">
        <v>46</v>
      </c>
      <c r="G140" s="31" t="s">
        <v>46</v>
      </c>
      <c r="H140" s="31" t="s">
        <v>46</v>
      </c>
      <c r="I140" s="31" t="s">
        <v>46</v>
      </c>
      <c r="J140" s="31" t="s">
        <v>46</v>
      </c>
      <c r="K140" s="31">
        <v>-2.5</v>
      </c>
      <c r="L140" s="31">
        <v>-8.6999999999999993</v>
      </c>
      <c r="M140" s="31">
        <v>-9.6</v>
      </c>
    </row>
    <row r="141" spans="1:13" x14ac:dyDescent="0.25">
      <c r="A141" s="30" t="s">
        <v>657</v>
      </c>
      <c r="B141" s="30" t="s">
        <v>658</v>
      </c>
      <c r="C141" s="31" t="s">
        <v>46</v>
      </c>
      <c r="D141" s="31">
        <v>1.3</v>
      </c>
      <c r="E141" s="31" t="s">
        <v>46</v>
      </c>
      <c r="F141" s="31" t="s">
        <v>46</v>
      </c>
      <c r="G141" s="31" t="s">
        <v>46</v>
      </c>
      <c r="H141" s="31" t="s">
        <v>46</v>
      </c>
      <c r="I141" s="31" t="s">
        <v>46</v>
      </c>
      <c r="J141" s="31" t="s">
        <v>46</v>
      </c>
      <c r="K141" s="31" t="s">
        <v>46</v>
      </c>
      <c r="L141" s="31" t="s">
        <v>46</v>
      </c>
      <c r="M141" s="31" t="s">
        <v>46</v>
      </c>
    </row>
    <row r="142" spans="1:13" x14ac:dyDescent="0.25">
      <c r="A142" s="30" t="s">
        <v>659</v>
      </c>
      <c r="B142" s="30" t="s">
        <v>660</v>
      </c>
      <c r="C142" s="31" t="s">
        <v>46</v>
      </c>
      <c r="D142" s="31">
        <v>0</v>
      </c>
      <c r="E142" s="31" t="s">
        <v>46</v>
      </c>
      <c r="F142" s="31" t="s">
        <v>46</v>
      </c>
      <c r="G142" s="31" t="s">
        <v>46</v>
      </c>
      <c r="H142" s="31" t="s">
        <v>46</v>
      </c>
      <c r="I142" s="31" t="s">
        <v>46</v>
      </c>
      <c r="J142" s="31" t="s">
        <v>46</v>
      </c>
      <c r="K142" s="31" t="s">
        <v>46</v>
      </c>
      <c r="L142" s="31" t="s">
        <v>46</v>
      </c>
      <c r="M142" s="31" t="s">
        <v>46</v>
      </c>
    </row>
    <row r="143" spans="1:13" x14ac:dyDescent="0.25">
      <c r="A143" s="30" t="s">
        <v>661</v>
      </c>
      <c r="B143" s="30" t="s">
        <v>662</v>
      </c>
      <c r="C143" s="34">
        <v>70</v>
      </c>
      <c r="D143" s="34">
        <v>70</v>
      </c>
      <c r="E143" s="34">
        <v>61.73</v>
      </c>
      <c r="F143" s="34">
        <v>64.510000000000005</v>
      </c>
      <c r="G143" s="34">
        <v>64.28</v>
      </c>
      <c r="H143" s="34">
        <v>65</v>
      </c>
      <c r="I143" s="34">
        <v>59</v>
      </c>
      <c r="J143" s="34">
        <v>61</v>
      </c>
      <c r="K143" s="34">
        <v>61</v>
      </c>
      <c r="L143" s="34">
        <v>59</v>
      </c>
      <c r="M143" s="34">
        <v>59</v>
      </c>
    </row>
    <row r="144" spans="1:13" x14ac:dyDescent="0.25">
      <c r="A144" s="30" t="s">
        <v>663</v>
      </c>
      <c r="B144" s="30" t="s">
        <v>664</v>
      </c>
      <c r="C144" s="34">
        <v>20</v>
      </c>
      <c r="D144" s="34">
        <v>25</v>
      </c>
      <c r="E144" s="34">
        <v>35.85</v>
      </c>
      <c r="F144" s="34">
        <v>29.5</v>
      </c>
      <c r="G144" s="34">
        <v>30.38</v>
      </c>
      <c r="H144" s="34">
        <v>17.5</v>
      </c>
      <c r="I144" s="34">
        <v>29.25</v>
      </c>
      <c r="J144" s="34">
        <v>17</v>
      </c>
      <c r="K144" s="34">
        <v>17</v>
      </c>
      <c r="L144" s="34">
        <v>23.2</v>
      </c>
      <c r="M144" s="34">
        <v>23.2</v>
      </c>
    </row>
    <row r="145" spans="1:13" x14ac:dyDescent="0.25">
      <c r="A145" s="30" t="s">
        <v>665</v>
      </c>
      <c r="B145" s="30" t="s">
        <v>666</v>
      </c>
      <c r="C145" s="34">
        <v>10</v>
      </c>
      <c r="D145" s="34">
        <v>5</v>
      </c>
      <c r="E145" s="34">
        <v>2.42</v>
      </c>
      <c r="F145" s="34">
        <v>5.99</v>
      </c>
      <c r="G145" s="34">
        <v>5.34</v>
      </c>
      <c r="H145" s="34">
        <v>17.5</v>
      </c>
      <c r="I145" s="34">
        <v>11.75</v>
      </c>
      <c r="J145" s="34">
        <v>22</v>
      </c>
      <c r="K145" s="34">
        <v>22</v>
      </c>
      <c r="L145" s="34">
        <v>17.8</v>
      </c>
      <c r="M145" s="34">
        <v>17.8</v>
      </c>
    </row>
    <row r="146" spans="1:13" x14ac:dyDescent="0.25">
      <c r="A146" s="30" t="s">
        <v>667</v>
      </c>
      <c r="B146" s="30" t="s">
        <v>668</v>
      </c>
      <c r="C146" s="34" t="s">
        <v>46</v>
      </c>
      <c r="D146" s="34" t="s">
        <v>46</v>
      </c>
      <c r="E146" s="34" t="s">
        <v>46</v>
      </c>
      <c r="F146" s="34">
        <v>0</v>
      </c>
      <c r="G146" s="34" t="s">
        <v>46</v>
      </c>
      <c r="H146" s="34">
        <v>0.03</v>
      </c>
      <c r="I146" s="34">
        <v>0.38</v>
      </c>
      <c r="J146" s="34">
        <v>0.1</v>
      </c>
      <c r="K146" s="34">
        <v>0.12</v>
      </c>
      <c r="L146" s="34" t="s">
        <v>46</v>
      </c>
      <c r="M146" s="34">
        <v>0.12</v>
      </c>
    </row>
    <row r="147" spans="1:13" x14ac:dyDescent="0.25">
      <c r="A147" s="30" t="s">
        <v>669</v>
      </c>
      <c r="B147" s="30" t="s">
        <v>670</v>
      </c>
      <c r="C147" s="34" t="s">
        <v>46</v>
      </c>
      <c r="D147" s="34" t="s">
        <v>46</v>
      </c>
      <c r="E147" s="34" t="s">
        <v>46</v>
      </c>
      <c r="F147" s="34" t="s">
        <v>46</v>
      </c>
      <c r="G147" s="34" t="s">
        <v>46</v>
      </c>
      <c r="H147" s="34" t="s">
        <v>46</v>
      </c>
      <c r="I147" s="34" t="s">
        <v>46</v>
      </c>
      <c r="J147" s="34" t="s">
        <v>46</v>
      </c>
      <c r="K147" s="34">
        <v>0.42</v>
      </c>
      <c r="L147" s="34">
        <v>0.13</v>
      </c>
      <c r="M147" s="34" t="s">
        <v>46</v>
      </c>
    </row>
    <row r="148" spans="1:13" x14ac:dyDescent="0.25">
      <c r="A148" s="30" t="s">
        <v>671</v>
      </c>
      <c r="B148" s="30" t="s">
        <v>672</v>
      </c>
      <c r="C148" s="34" t="s">
        <v>46</v>
      </c>
      <c r="D148" s="34" t="s">
        <v>46</v>
      </c>
      <c r="E148" s="34" t="s">
        <v>46</v>
      </c>
      <c r="F148" s="34" t="s">
        <v>46</v>
      </c>
      <c r="G148" s="34" t="s">
        <v>46</v>
      </c>
      <c r="H148" s="34" t="s">
        <v>46</v>
      </c>
      <c r="I148" s="34" t="s">
        <v>46</v>
      </c>
      <c r="J148" s="34" t="s">
        <v>46</v>
      </c>
      <c r="K148" s="34" t="s">
        <v>46</v>
      </c>
      <c r="L148" s="34">
        <v>-2.2599999999999998</v>
      </c>
      <c r="M148" s="34">
        <v>-0.01</v>
      </c>
    </row>
    <row r="149" spans="1:13" x14ac:dyDescent="0.25">
      <c r="A149" s="30" t="s">
        <v>673</v>
      </c>
      <c r="B149" s="30" t="s">
        <v>674</v>
      </c>
      <c r="C149" s="34" t="s">
        <v>46</v>
      </c>
      <c r="D149" s="34" t="s">
        <v>46</v>
      </c>
      <c r="E149" s="34" t="s">
        <v>46</v>
      </c>
      <c r="F149" s="34" t="s">
        <v>46</v>
      </c>
      <c r="G149" s="34" t="s">
        <v>46</v>
      </c>
      <c r="H149" s="34" t="s">
        <v>46</v>
      </c>
      <c r="I149" s="34" t="s">
        <v>46</v>
      </c>
      <c r="J149" s="34">
        <v>1.5</v>
      </c>
      <c r="K149" s="34">
        <v>2.1</v>
      </c>
      <c r="L149" s="34">
        <v>0.5</v>
      </c>
      <c r="M149" s="34">
        <v>0.2</v>
      </c>
    </row>
    <row r="150" spans="1:13" x14ac:dyDescent="0.25">
      <c r="A150" s="30" t="s">
        <v>675</v>
      </c>
      <c r="B150" s="30" t="s">
        <v>676</v>
      </c>
      <c r="C150" s="34" t="s">
        <v>46</v>
      </c>
      <c r="D150" s="34" t="s">
        <v>46</v>
      </c>
      <c r="E150" s="34" t="s">
        <v>46</v>
      </c>
      <c r="F150" s="34" t="s">
        <v>46</v>
      </c>
      <c r="G150" s="34" t="s">
        <v>46</v>
      </c>
      <c r="H150" s="34" t="s">
        <v>46</v>
      </c>
      <c r="I150" s="34" t="s">
        <v>46</v>
      </c>
      <c r="J150" s="34">
        <v>-2.8</v>
      </c>
      <c r="K150" s="34">
        <v>-0.7</v>
      </c>
      <c r="L150" s="34">
        <v>1.2</v>
      </c>
      <c r="M150" s="34">
        <v>-1.9</v>
      </c>
    </row>
    <row r="151" spans="1:13" x14ac:dyDescent="0.25">
      <c r="A151" s="30" t="s">
        <v>677</v>
      </c>
      <c r="B151" s="30" t="s">
        <v>678</v>
      </c>
      <c r="C151" s="31" t="s">
        <v>46</v>
      </c>
      <c r="D151" s="31" t="s">
        <v>46</v>
      </c>
      <c r="E151" s="31">
        <v>19.8</v>
      </c>
      <c r="F151" s="31">
        <v>5.3</v>
      </c>
      <c r="G151" s="31">
        <v>4.9000000000000004</v>
      </c>
      <c r="H151" s="31">
        <v>5</v>
      </c>
      <c r="I151" s="31">
        <v>4.9000000000000004</v>
      </c>
      <c r="J151" s="31">
        <v>4.0999999999999996</v>
      </c>
      <c r="K151" s="31">
        <v>3.2</v>
      </c>
      <c r="L151" s="31">
        <v>5.6</v>
      </c>
      <c r="M151" s="31">
        <v>3.2</v>
      </c>
    </row>
    <row r="152" spans="1:13" x14ac:dyDescent="0.25">
      <c r="A152" s="30" t="s">
        <v>679</v>
      </c>
      <c r="B152" s="30" t="s">
        <v>680</v>
      </c>
      <c r="C152" s="31" t="s">
        <v>46</v>
      </c>
      <c r="D152" s="31" t="s">
        <v>46</v>
      </c>
      <c r="E152" s="31">
        <v>4.8</v>
      </c>
      <c r="F152" s="31">
        <v>21.1</v>
      </c>
      <c r="G152" s="31">
        <v>18.5</v>
      </c>
      <c r="H152" s="31">
        <v>54.7</v>
      </c>
      <c r="I152" s="31">
        <v>37.6</v>
      </c>
      <c r="J152" s="31">
        <v>40.700000000000003</v>
      </c>
      <c r="K152" s="31">
        <v>41.5</v>
      </c>
      <c r="L152" s="31">
        <v>36.700000000000003</v>
      </c>
      <c r="M152" s="31">
        <v>49.3</v>
      </c>
    </row>
    <row r="153" spans="1:13" x14ac:dyDescent="0.25">
      <c r="A153" s="30" t="s">
        <v>681</v>
      </c>
      <c r="B153" s="30" t="s">
        <v>682</v>
      </c>
      <c r="C153" s="34">
        <v>14.6</v>
      </c>
      <c r="D153" s="34">
        <v>15.3</v>
      </c>
      <c r="E153" s="34">
        <v>14.6</v>
      </c>
      <c r="F153" s="34">
        <v>14.4</v>
      </c>
      <c r="G153" s="34">
        <v>13.4</v>
      </c>
      <c r="H153" s="34">
        <v>14.2</v>
      </c>
      <c r="I153" s="34">
        <v>12.8</v>
      </c>
      <c r="J153" s="34">
        <v>14.5</v>
      </c>
      <c r="K153" s="34">
        <v>14.5</v>
      </c>
      <c r="L153" s="34">
        <v>16.8</v>
      </c>
      <c r="M153" s="34">
        <v>17.899999999999999</v>
      </c>
    </row>
    <row r="154" spans="1:13" x14ac:dyDescent="0.25">
      <c r="A154" s="30" t="s">
        <v>683</v>
      </c>
      <c r="B154" s="30" t="s">
        <v>684</v>
      </c>
      <c r="C154" s="34">
        <v>41.6</v>
      </c>
      <c r="D154" s="34">
        <v>42.5</v>
      </c>
      <c r="E154" s="34">
        <v>41.2</v>
      </c>
      <c r="F154" s="34">
        <v>40.299999999999997</v>
      </c>
      <c r="G154" s="34">
        <v>40.4</v>
      </c>
      <c r="H154" s="34">
        <v>40.799999999999997</v>
      </c>
      <c r="I154" s="34">
        <v>40.4</v>
      </c>
      <c r="J154" s="34">
        <v>41.5</v>
      </c>
      <c r="K154" s="34">
        <v>41.6</v>
      </c>
      <c r="L154" s="34">
        <v>39.5</v>
      </c>
      <c r="M154" s="34">
        <v>40.1</v>
      </c>
    </row>
    <row r="155" spans="1:13" x14ac:dyDescent="0.25">
      <c r="A155" s="30" t="s">
        <v>685</v>
      </c>
      <c r="B155" s="30" t="s">
        <v>686</v>
      </c>
      <c r="C155" s="34">
        <v>0.5</v>
      </c>
      <c r="D155" s="34">
        <v>4.5</v>
      </c>
      <c r="E155" s="34">
        <v>10.8</v>
      </c>
      <c r="F155" s="34">
        <v>8.6</v>
      </c>
      <c r="G155" s="34">
        <v>2.7</v>
      </c>
      <c r="H155" s="34">
        <v>2.9</v>
      </c>
      <c r="I155" s="34">
        <v>1.3</v>
      </c>
      <c r="J155" s="34">
        <v>2.7</v>
      </c>
      <c r="K155" s="34">
        <v>9.6</v>
      </c>
      <c r="L155" s="34">
        <v>12.1</v>
      </c>
      <c r="M155" s="34">
        <v>0.8</v>
      </c>
    </row>
    <row r="156" spans="1:13" x14ac:dyDescent="0.25">
      <c r="A156" s="30" t="s">
        <v>687</v>
      </c>
      <c r="B156" s="30" t="s">
        <v>688</v>
      </c>
      <c r="C156" s="34" t="s">
        <v>46</v>
      </c>
      <c r="D156" s="34" t="s">
        <v>46</v>
      </c>
      <c r="E156" s="34" t="s">
        <v>46</v>
      </c>
      <c r="F156" s="34" t="s">
        <v>46</v>
      </c>
      <c r="G156" s="34" t="s">
        <v>46</v>
      </c>
      <c r="H156" s="34" t="s">
        <v>46</v>
      </c>
      <c r="I156" s="34" t="s">
        <v>46</v>
      </c>
      <c r="J156" s="34">
        <v>14.9</v>
      </c>
      <c r="K156" s="34">
        <v>16.3</v>
      </c>
      <c r="L156" s="34">
        <v>17.5</v>
      </c>
      <c r="M156" s="34">
        <v>18.3</v>
      </c>
    </row>
    <row r="157" spans="1:13" x14ac:dyDescent="0.25">
      <c r="A157" s="30" t="s">
        <v>689</v>
      </c>
      <c r="B157" s="30" t="s">
        <v>690</v>
      </c>
      <c r="C157" s="31" t="s">
        <v>46</v>
      </c>
      <c r="D157" s="31" t="s">
        <v>46</v>
      </c>
      <c r="E157" s="31" t="s">
        <v>46</v>
      </c>
      <c r="F157" s="31" t="s">
        <v>46</v>
      </c>
      <c r="G157" s="31" t="s">
        <v>46</v>
      </c>
      <c r="H157" s="31" t="s">
        <v>46</v>
      </c>
      <c r="I157" s="31" t="s">
        <v>46</v>
      </c>
      <c r="J157" s="31" t="s">
        <v>46</v>
      </c>
      <c r="K157" s="31" t="s">
        <v>46</v>
      </c>
      <c r="L157" s="31">
        <v>169.1</v>
      </c>
      <c r="M157" s="31">
        <v>173.7</v>
      </c>
    </row>
    <row r="158" spans="1:13" x14ac:dyDescent="0.25">
      <c r="A158" s="30" t="s">
        <v>691</v>
      </c>
      <c r="B158" s="30" t="s">
        <v>692</v>
      </c>
      <c r="C158" s="31">
        <v>12.7</v>
      </c>
      <c r="D158" s="31">
        <v>11.9</v>
      </c>
      <c r="E158" s="31">
        <v>13</v>
      </c>
      <c r="F158" s="31">
        <v>20.2</v>
      </c>
      <c r="G158" s="31">
        <v>18.7</v>
      </c>
      <c r="H158" s="31">
        <v>18.2</v>
      </c>
      <c r="I158" s="31">
        <v>18.7</v>
      </c>
      <c r="J158" s="31">
        <v>25.6</v>
      </c>
      <c r="K158" s="31">
        <v>23.9</v>
      </c>
      <c r="L158" s="31">
        <v>25.6</v>
      </c>
      <c r="M158" s="31">
        <v>37.200000000000003</v>
      </c>
    </row>
    <row r="159" spans="1:13" x14ac:dyDescent="0.25">
      <c r="A159" s="30" t="s">
        <v>693</v>
      </c>
      <c r="B159" s="30" t="s">
        <v>694</v>
      </c>
      <c r="C159" s="31" t="s">
        <v>46</v>
      </c>
      <c r="D159" s="31" t="s">
        <v>46</v>
      </c>
      <c r="E159" s="31" t="s">
        <v>46</v>
      </c>
      <c r="F159" s="31" t="s">
        <v>46</v>
      </c>
      <c r="G159" s="31" t="s">
        <v>46</v>
      </c>
      <c r="H159" s="31" t="s">
        <v>46</v>
      </c>
      <c r="I159" s="31" t="s">
        <v>46</v>
      </c>
      <c r="J159" s="31" t="s">
        <v>46</v>
      </c>
      <c r="K159" s="31" t="s">
        <v>46</v>
      </c>
      <c r="L159" s="31">
        <v>152.9</v>
      </c>
      <c r="M159" s="31">
        <v>163.6</v>
      </c>
    </row>
    <row r="160" spans="1:13" x14ac:dyDescent="0.25">
      <c r="A160" s="30" t="s">
        <v>695</v>
      </c>
      <c r="B160" s="30" t="s">
        <v>696</v>
      </c>
      <c r="C160" s="31" t="s">
        <v>46</v>
      </c>
      <c r="D160" s="31">
        <v>632.6</v>
      </c>
      <c r="E160" s="31">
        <v>666.3</v>
      </c>
      <c r="F160" s="31">
        <v>705</v>
      </c>
      <c r="G160" s="31">
        <v>722.2</v>
      </c>
      <c r="H160" s="31">
        <v>741.4</v>
      </c>
      <c r="I160" s="31">
        <v>755.6</v>
      </c>
      <c r="J160" s="31">
        <v>826.1</v>
      </c>
      <c r="K160" s="31">
        <v>967</v>
      </c>
      <c r="L160" s="31">
        <v>1158.7</v>
      </c>
      <c r="M160" s="31">
        <v>1232</v>
      </c>
    </row>
    <row r="161" spans="1:13" x14ac:dyDescent="0.25">
      <c r="A161" s="30" t="s">
        <v>697</v>
      </c>
      <c r="B161" s="30" t="s">
        <v>698</v>
      </c>
      <c r="C161" s="31" t="s">
        <v>46</v>
      </c>
      <c r="D161" s="31" t="s">
        <v>46</v>
      </c>
      <c r="E161" s="31" t="s">
        <v>46</v>
      </c>
      <c r="F161" s="31" t="s">
        <v>46</v>
      </c>
      <c r="G161" s="31" t="s">
        <v>46</v>
      </c>
      <c r="H161" s="31" t="s">
        <v>46</v>
      </c>
      <c r="I161" s="31" t="s">
        <v>46</v>
      </c>
      <c r="J161" s="31" t="s">
        <v>46</v>
      </c>
      <c r="K161" s="31" t="s">
        <v>46</v>
      </c>
      <c r="L161" s="31" t="s">
        <v>46</v>
      </c>
      <c r="M161" s="31" t="s">
        <v>46</v>
      </c>
    </row>
    <row r="162" spans="1:13" x14ac:dyDescent="0.25">
      <c r="A162" s="35" t="s">
        <v>54</v>
      </c>
      <c r="B162" s="35"/>
      <c r="C162" s="35" t="s">
        <v>55</v>
      </c>
      <c r="D162" s="35"/>
      <c r="E162" s="35"/>
      <c r="F162" s="35"/>
      <c r="G162" s="35"/>
      <c r="H162" s="35"/>
      <c r="I162" s="35"/>
      <c r="J162" s="35"/>
      <c r="K162" s="35"/>
      <c r="L162" s="35"/>
      <c r="M162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XFD208"/>
  <sheetViews>
    <sheetView showGridLines="0" workbookViewId="0">
      <pane xSplit="1" ySplit="1" topLeftCell="B2" activePane="bottomRight" state="frozenSplit"/>
      <selection pane="topRight" activeCell="S1" sqref="S1"/>
      <selection pane="bottomLeft" activeCell="A28" sqref="A28"/>
      <selection pane="bottomRight"/>
    </sheetView>
  </sheetViews>
  <sheetFormatPr defaultRowHeight="15" x14ac:dyDescent="0.25"/>
  <cols>
    <col min="1" max="1" width="51.7109375" style="4" bestFit="1" customWidth="1"/>
    <col min="2" max="12" width="10.28515625" style="50" customWidth="1"/>
    <col min="13" max="16384" width="9.140625" style="4"/>
  </cols>
  <sheetData>
    <row r="1" spans="1:12 16384:16384" x14ac:dyDescent="0.25">
      <c r="A1" s="38" t="s">
        <v>66</v>
      </c>
      <c r="B1" s="42" t="s">
        <v>34</v>
      </c>
      <c r="C1" s="42" t="s">
        <v>35</v>
      </c>
      <c r="D1" s="42" t="s">
        <v>36</v>
      </c>
      <c r="E1" s="42" t="s">
        <v>37</v>
      </c>
      <c r="F1" s="42" t="s">
        <v>38</v>
      </c>
      <c r="G1" s="42" t="s">
        <v>39</v>
      </c>
      <c r="H1" s="42" t="s">
        <v>40</v>
      </c>
      <c r="I1" s="42" t="s">
        <v>41</v>
      </c>
      <c r="J1" s="42" t="s">
        <v>42</v>
      </c>
      <c r="K1" s="42" t="s">
        <v>43</v>
      </c>
      <c r="L1" s="42" t="s">
        <v>44</v>
      </c>
    </row>
    <row r="2" spans="1:12 16384:16384" x14ac:dyDescent="0.25">
      <c r="A2" s="52" t="s">
        <v>396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</row>
    <row r="3" spans="1:12 16384:16384" x14ac:dyDescent="0.25">
      <c r="A3" s="54" t="s">
        <v>76</v>
      </c>
      <c r="B3" s="44">
        <v>39.5</v>
      </c>
      <c r="C3" s="44">
        <v>50.8</v>
      </c>
      <c r="D3" s="44">
        <v>53.9</v>
      </c>
      <c r="E3" s="44">
        <v>79</v>
      </c>
      <c r="F3" s="44">
        <v>63</v>
      </c>
      <c r="G3" s="44">
        <v>77.3</v>
      </c>
      <c r="H3" s="44">
        <v>112.6</v>
      </c>
      <c r="I3" s="44">
        <v>118.4</v>
      </c>
      <c r="J3" s="44">
        <v>186.8</v>
      </c>
      <c r="K3" s="44">
        <v>96.6</v>
      </c>
      <c r="L3" s="44">
        <v>155.4</v>
      </c>
    </row>
    <row r="4" spans="1:12 16384:16384" x14ac:dyDescent="0.25">
      <c r="A4" s="54" t="s">
        <v>78</v>
      </c>
      <c r="B4" s="44">
        <v>365.3</v>
      </c>
      <c r="C4" s="44">
        <v>386.7</v>
      </c>
      <c r="D4" s="44">
        <v>427</v>
      </c>
      <c r="E4" s="44">
        <v>465.9</v>
      </c>
      <c r="F4" s="44">
        <v>495.5</v>
      </c>
      <c r="G4" s="44">
        <v>493.6</v>
      </c>
      <c r="H4" s="44">
        <v>455.2</v>
      </c>
      <c r="I4" s="44">
        <v>465.2</v>
      </c>
      <c r="J4" s="44">
        <v>555.1</v>
      </c>
      <c r="K4" s="44">
        <v>518.1</v>
      </c>
      <c r="L4" s="44">
        <v>502.9</v>
      </c>
    </row>
    <row r="5" spans="1:12 16384:16384" x14ac:dyDescent="0.25">
      <c r="A5" s="54" t="s">
        <v>69</v>
      </c>
      <c r="B5" s="44">
        <v>457.6</v>
      </c>
      <c r="C5" s="44">
        <v>477.6</v>
      </c>
      <c r="D5" s="44">
        <v>613.70000000000005</v>
      </c>
      <c r="E5" s="44">
        <v>615</v>
      </c>
      <c r="F5" s="44">
        <v>676.9</v>
      </c>
      <c r="G5" s="44">
        <v>713.8</v>
      </c>
      <c r="H5" s="44">
        <v>710.8</v>
      </c>
      <c r="I5" s="44">
        <v>756.3</v>
      </c>
      <c r="J5" s="44">
        <v>793.3</v>
      </c>
      <c r="K5" s="44">
        <v>786.3</v>
      </c>
      <c r="L5" s="44">
        <v>801.2</v>
      </c>
    </row>
    <row r="6" spans="1:12 16384:16384" x14ac:dyDescent="0.25">
      <c r="A6" s="54" t="s">
        <v>81</v>
      </c>
      <c r="B6" s="44">
        <v>108.1</v>
      </c>
      <c r="C6" s="44">
        <v>100.8</v>
      </c>
      <c r="D6" s="44">
        <v>128.30000000000001</v>
      </c>
      <c r="E6" s="44">
        <v>125.5</v>
      </c>
      <c r="F6" s="44">
        <v>134.80000000000001</v>
      </c>
      <c r="G6" s="44">
        <v>131.5</v>
      </c>
      <c r="H6" s="44">
        <v>78.8</v>
      </c>
      <c r="I6" s="44">
        <v>81.900000000000006</v>
      </c>
      <c r="J6" s="44">
        <v>81.8</v>
      </c>
      <c r="K6" s="44">
        <v>78.900000000000006</v>
      </c>
      <c r="L6" s="44">
        <v>90.7</v>
      </c>
    </row>
    <row r="7" spans="1:12 16384:16384" x14ac:dyDescent="0.25">
      <c r="A7" s="54" t="s">
        <v>83</v>
      </c>
      <c r="B7" s="44">
        <v>4.5</v>
      </c>
      <c r="C7" s="44">
        <v>2.9</v>
      </c>
      <c r="D7" s="44">
        <v>4.5</v>
      </c>
      <c r="E7" s="44">
        <v>4</v>
      </c>
      <c r="F7" s="44">
        <v>4.0999999999999996</v>
      </c>
      <c r="G7" s="44">
        <v>4</v>
      </c>
      <c r="H7" s="44">
        <v>8</v>
      </c>
      <c r="I7" s="44" t="s">
        <v>46</v>
      </c>
      <c r="J7" s="44">
        <v>6.6</v>
      </c>
      <c r="K7" s="44">
        <v>6.4</v>
      </c>
      <c r="L7" s="44">
        <v>5.6</v>
      </c>
    </row>
    <row r="8" spans="1:12 16384:16384" x14ac:dyDescent="0.25">
      <c r="A8" s="53" t="s">
        <v>47</v>
      </c>
      <c r="B8" s="44">
        <v>970.5</v>
      </c>
      <c r="C8" s="44">
        <v>1015.9</v>
      </c>
      <c r="D8" s="44">
        <v>1222.9000000000001</v>
      </c>
      <c r="E8" s="44">
        <v>1285.4000000000001</v>
      </c>
      <c r="F8" s="44">
        <v>1370.2</v>
      </c>
      <c r="G8" s="44">
        <v>1416.2</v>
      </c>
      <c r="H8" s="44">
        <v>1357.4</v>
      </c>
      <c r="I8" s="44">
        <v>1421.8</v>
      </c>
      <c r="J8" s="44">
        <v>1617</v>
      </c>
      <c r="K8" s="44">
        <v>1479.9</v>
      </c>
      <c r="L8" s="44">
        <v>1550.2</v>
      </c>
    </row>
    <row r="9" spans="1:12 16384:16384" x14ac:dyDescent="0.25">
      <c r="A9" s="53"/>
      <c r="B9" s="44">
        <f>SUM(B3:B6)</f>
        <v>970.50000000000011</v>
      </c>
      <c r="C9" s="44">
        <f t="shared" ref="C9:L9" si="0">SUM(C3:C6)</f>
        <v>1015.9</v>
      </c>
      <c r="D9" s="44">
        <f t="shared" si="0"/>
        <v>1222.8999999999999</v>
      </c>
      <c r="E9" s="44">
        <f t="shared" si="0"/>
        <v>1285.4000000000001</v>
      </c>
      <c r="F9" s="44">
        <f t="shared" si="0"/>
        <v>1370.2</v>
      </c>
      <c r="G9" s="44">
        <f t="shared" si="0"/>
        <v>1416.1999999999998</v>
      </c>
      <c r="H9" s="44">
        <f t="shared" si="0"/>
        <v>1357.3999999999999</v>
      </c>
      <c r="I9" s="44">
        <f t="shared" si="0"/>
        <v>1421.8000000000002</v>
      </c>
      <c r="J9" s="44">
        <f t="shared" si="0"/>
        <v>1617</v>
      </c>
      <c r="K9" s="44">
        <f t="shared" si="0"/>
        <v>1479.9</v>
      </c>
      <c r="L9" s="44">
        <f t="shared" si="0"/>
        <v>1550.2</v>
      </c>
      <c r="XFD9" s="44"/>
    </row>
    <row r="10" spans="1:12 16384:16384" x14ac:dyDescent="0.25">
      <c r="A10" s="51" t="s">
        <v>397</v>
      </c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</row>
    <row r="11" spans="1:12 16384:16384" x14ac:dyDescent="0.25">
      <c r="A11" s="54" t="s">
        <v>86</v>
      </c>
      <c r="B11" s="44">
        <v>210.5</v>
      </c>
      <c r="C11" s="44">
        <v>265.89999999999998</v>
      </c>
      <c r="D11" s="44">
        <v>297.60000000000002</v>
      </c>
      <c r="E11" s="44">
        <v>313.89999999999998</v>
      </c>
      <c r="F11" s="44">
        <v>371</v>
      </c>
      <c r="G11" s="44">
        <v>342.4</v>
      </c>
      <c r="H11" s="44">
        <v>365.4</v>
      </c>
      <c r="I11" s="44">
        <v>348.4</v>
      </c>
      <c r="J11" s="44">
        <v>398.5</v>
      </c>
      <c r="K11" s="44" t="s">
        <v>46</v>
      </c>
      <c r="L11" s="44" t="s">
        <v>46</v>
      </c>
    </row>
    <row r="12" spans="1:12 16384:16384" x14ac:dyDescent="0.25">
      <c r="A12" s="54" t="s">
        <v>88</v>
      </c>
      <c r="B12" s="44">
        <v>489.8</v>
      </c>
      <c r="C12" s="44">
        <v>488</v>
      </c>
      <c r="D12" s="44">
        <v>523.1</v>
      </c>
      <c r="E12" s="44">
        <v>547.29999999999995</v>
      </c>
      <c r="F12" s="44">
        <v>576.6</v>
      </c>
      <c r="G12" s="44">
        <v>602.70000000000005</v>
      </c>
      <c r="H12" s="44">
        <v>618.4</v>
      </c>
      <c r="I12" s="44">
        <v>669.4</v>
      </c>
      <c r="J12" s="44">
        <v>809.1</v>
      </c>
      <c r="K12" s="44">
        <v>941.5</v>
      </c>
      <c r="L12" s="44">
        <v>952.6</v>
      </c>
    </row>
    <row r="13" spans="1:12 16384:16384" x14ac:dyDescent="0.25">
      <c r="A13" s="54" t="s">
        <v>74</v>
      </c>
      <c r="B13" s="44">
        <v>237.3</v>
      </c>
      <c r="C13" s="44">
        <v>232.5</v>
      </c>
      <c r="D13" s="44">
        <v>350</v>
      </c>
      <c r="E13" s="44">
        <v>323.5</v>
      </c>
      <c r="F13" s="44">
        <v>333.4</v>
      </c>
      <c r="G13" s="44">
        <v>330.8</v>
      </c>
      <c r="H13" s="44">
        <v>372.1</v>
      </c>
      <c r="I13" s="44">
        <v>424.9</v>
      </c>
      <c r="J13" s="44">
        <v>3071.1</v>
      </c>
      <c r="K13" s="44">
        <v>2873.3</v>
      </c>
      <c r="L13" s="44">
        <v>2847</v>
      </c>
    </row>
    <row r="14" spans="1:12 16384:16384" x14ac:dyDescent="0.25">
      <c r="A14" s="54" t="s">
        <v>73</v>
      </c>
      <c r="B14" s="44">
        <v>1479.7</v>
      </c>
      <c r="C14" s="44">
        <v>1417.4</v>
      </c>
      <c r="D14" s="44">
        <v>1694.2</v>
      </c>
      <c r="E14" s="44">
        <v>1695.3</v>
      </c>
      <c r="F14" s="44">
        <v>1798.5</v>
      </c>
      <c r="G14" s="44">
        <v>1722.2</v>
      </c>
      <c r="H14" s="44">
        <v>1759.3</v>
      </c>
      <c r="I14" s="44">
        <v>1771.4</v>
      </c>
      <c r="J14" s="44">
        <v>4490.1000000000004</v>
      </c>
      <c r="K14" s="44">
        <v>4527.8999999999996</v>
      </c>
      <c r="L14" s="44">
        <v>4505.2</v>
      </c>
    </row>
    <row r="15" spans="1:12 16384:16384" x14ac:dyDescent="0.25">
      <c r="A15" s="54" t="s">
        <v>92</v>
      </c>
      <c r="B15" s="44" t="s">
        <v>46</v>
      </c>
      <c r="C15" s="44" t="s">
        <v>46</v>
      </c>
      <c r="D15" s="44" t="s">
        <v>46</v>
      </c>
      <c r="E15" s="44" t="s">
        <v>46</v>
      </c>
      <c r="F15" s="44" t="s">
        <v>46</v>
      </c>
      <c r="G15" s="44" t="s">
        <v>46</v>
      </c>
      <c r="H15" s="44" t="s">
        <v>46</v>
      </c>
      <c r="I15" s="44" t="s">
        <v>46</v>
      </c>
      <c r="J15" s="44" t="s">
        <v>46</v>
      </c>
      <c r="K15" s="44">
        <v>390.2</v>
      </c>
      <c r="L15" s="44">
        <v>430.7</v>
      </c>
    </row>
    <row r="16" spans="1:12 16384:16384" x14ac:dyDescent="0.25">
      <c r="A16" s="54" t="s">
        <v>94</v>
      </c>
      <c r="B16" s="44" t="s">
        <v>46</v>
      </c>
      <c r="C16" s="44" t="s">
        <v>46</v>
      </c>
      <c r="D16" s="44" t="s">
        <v>46</v>
      </c>
      <c r="E16" s="44" t="s">
        <v>46</v>
      </c>
      <c r="F16" s="44" t="s">
        <v>46</v>
      </c>
      <c r="G16" s="44" t="s">
        <v>46</v>
      </c>
      <c r="H16" s="44" t="s">
        <v>46</v>
      </c>
      <c r="I16" s="44" t="s">
        <v>46</v>
      </c>
      <c r="J16" s="44" t="s">
        <v>46</v>
      </c>
      <c r="K16" s="44" t="s">
        <v>46</v>
      </c>
      <c r="L16" s="44" t="s">
        <v>46</v>
      </c>
    </row>
    <row r="17" spans="1:12" x14ac:dyDescent="0.25">
      <c r="A17" s="5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</row>
    <row r="18" spans="1:12" x14ac:dyDescent="0.25">
      <c r="A18" s="56" t="s">
        <v>45</v>
      </c>
      <c r="B18" s="57">
        <v>3387.8</v>
      </c>
      <c r="C18" s="57">
        <v>3419.7</v>
      </c>
      <c r="D18" s="57">
        <v>4087.8</v>
      </c>
      <c r="E18" s="57">
        <v>4165.3999999999996</v>
      </c>
      <c r="F18" s="57">
        <v>4449.7</v>
      </c>
      <c r="G18" s="57">
        <v>4414.3</v>
      </c>
      <c r="H18" s="57">
        <v>4472.6000000000004</v>
      </c>
      <c r="I18" s="57">
        <v>4635.8999999999996</v>
      </c>
      <c r="J18" s="57">
        <v>10385.799999999999</v>
      </c>
      <c r="K18" s="57">
        <v>10256.4</v>
      </c>
      <c r="L18" s="57">
        <v>10362.1</v>
      </c>
    </row>
    <row r="19" spans="1:12" x14ac:dyDescent="0.25">
      <c r="A19" s="39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</row>
    <row r="20" spans="1:12" x14ac:dyDescent="0.25">
      <c r="A20" s="43" t="s">
        <v>398</v>
      </c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</row>
    <row r="21" spans="1:12" x14ac:dyDescent="0.25">
      <c r="A21" s="54" t="s">
        <v>97</v>
      </c>
      <c r="B21" s="44">
        <v>298.7</v>
      </c>
      <c r="C21" s="44">
        <v>302.7</v>
      </c>
      <c r="D21" s="44">
        <v>366.6</v>
      </c>
      <c r="E21" s="44">
        <v>375.8</v>
      </c>
      <c r="F21" s="44">
        <v>387.3</v>
      </c>
      <c r="G21" s="44">
        <v>372.1</v>
      </c>
      <c r="H21" s="44">
        <v>411.9</v>
      </c>
      <c r="I21" s="44">
        <v>450.8</v>
      </c>
      <c r="J21" s="44">
        <v>639.9</v>
      </c>
      <c r="K21" s="44">
        <v>710</v>
      </c>
      <c r="L21" s="44">
        <v>846.9</v>
      </c>
    </row>
    <row r="22" spans="1:12" x14ac:dyDescent="0.25">
      <c r="A22" s="54" t="s">
        <v>99</v>
      </c>
      <c r="B22" s="44">
        <v>14.9</v>
      </c>
      <c r="C22" s="44">
        <v>100.2</v>
      </c>
      <c r="D22" s="44">
        <v>5.4</v>
      </c>
      <c r="E22" s="44">
        <v>252.3</v>
      </c>
      <c r="F22" s="44">
        <v>2.5</v>
      </c>
      <c r="G22" s="44">
        <v>1.2</v>
      </c>
      <c r="H22" s="44">
        <v>203.5</v>
      </c>
      <c r="I22" s="44">
        <v>2.9</v>
      </c>
      <c r="J22" s="44">
        <v>325.60000000000002</v>
      </c>
      <c r="K22" s="44">
        <v>83.5</v>
      </c>
      <c r="L22" s="44">
        <v>97.7</v>
      </c>
    </row>
    <row r="23" spans="1:12" x14ac:dyDescent="0.25">
      <c r="A23" s="54" t="s">
        <v>101</v>
      </c>
      <c r="B23" s="44">
        <v>101.2</v>
      </c>
      <c r="C23" s="44">
        <v>0.2</v>
      </c>
      <c r="D23" s="44">
        <v>217</v>
      </c>
      <c r="E23" s="44">
        <v>140.30000000000001</v>
      </c>
      <c r="F23" s="44">
        <v>211.6</v>
      </c>
      <c r="G23" s="44">
        <v>269.60000000000002</v>
      </c>
      <c r="H23" s="44">
        <v>139.5</v>
      </c>
      <c r="I23" s="44">
        <v>390.3</v>
      </c>
      <c r="J23" s="44">
        <v>257.60000000000002</v>
      </c>
      <c r="K23" s="44">
        <v>560</v>
      </c>
      <c r="L23" s="44">
        <v>600.70000000000005</v>
      </c>
    </row>
    <row r="24" spans="1:12" x14ac:dyDescent="0.25">
      <c r="A24" s="54" t="s">
        <v>103</v>
      </c>
      <c r="B24" s="44">
        <v>403.4</v>
      </c>
      <c r="C24" s="44">
        <v>431.7</v>
      </c>
      <c r="D24" s="44">
        <v>404.3</v>
      </c>
      <c r="E24" s="44">
        <v>419.2</v>
      </c>
      <c r="F24" s="44">
        <v>461.7</v>
      </c>
      <c r="G24" s="44">
        <v>479.1</v>
      </c>
      <c r="H24" s="44">
        <v>483.7</v>
      </c>
      <c r="I24" s="44">
        <v>578.70000000000005</v>
      </c>
      <c r="J24" s="44">
        <v>724.2</v>
      </c>
      <c r="K24" s="44">
        <v>648.20000000000005</v>
      </c>
      <c r="L24" s="44">
        <v>609.1</v>
      </c>
    </row>
    <row r="25" spans="1:12" x14ac:dyDescent="0.25">
      <c r="A25" s="53" t="s">
        <v>48</v>
      </c>
      <c r="B25" s="44">
        <v>818.2</v>
      </c>
      <c r="C25" s="44">
        <v>834.8</v>
      </c>
      <c r="D25" s="44">
        <v>993.3</v>
      </c>
      <c r="E25" s="44">
        <v>1187.5999999999999</v>
      </c>
      <c r="F25" s="44">
        <v>1063.0999999999999</v>
      </c>
      <c r="G25" s="44">
        <v>1122</v>
      </c>
      <c r="H25" s="44">
        <v>1238.5999999999999</v>
      </c>
      <c r="I25" s="44">
        <v>1422.7</v>
      </c>
      <c r="J25" s="44">
        <v>1947.3</v>
      </c>
      <c r="K25" s="44">
        <v>2001.7</v>
      </c>
      <c r="L25" s="44">
        <v>2154.4</v>
      </c>
    </row>
    <row r="26" spans="1:12" x14ac:dyDescent="0.25">
      <c r="A26" s="5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</row>
    <row r="27" spans="1:12" x14ac:dyDescent="0.25">
      <c r="A27" s="51" t="s">
        <v>399</v>
      </c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</row>
    <row r="28" spans="1:12" x14ac:dyDescent="0.25">
      <c r="A28" s="54" t="s">
        <v>106</v>
      </c>
      <c r="B28" s="44">
        <v>875</v>
      </c>
      <c r="C28" s="44">
        <v>779.9</v>
      </c>
      <c r="D28" s="44">
        <v>1029.7</v>
      </c>
      <c r="E28" s="44">
        <v>779.2</v>
      </c>
      <c r="F28" s="44">
        <v>1019</v>
      </c>
      <c r="G28" s="44">
        <v>1014.1</v>
      </c>
      <c r="H28" s="44">
        <v>1051.4000000000001</v>
      </c>
      <c r="I28" s="44">
        <v>1054</v>
      </c>
      <c r="J28" s="44">
        <v>4443.8999999999996</v>
      </c>
      <c r="K28" s="44">
        <v>4052.9</v>
      </c>
      <c r="L28" s="44">
        <v>3625.8</v>
      </c>
    </row>
    <row r="29" spans="1:12" x14ac:dyDescent="0.25">
      <c r="A29" s="62" t="s">
        <v>108</v>
      </c>
      <c r="B29" s="46" t="s">
        <v>46</v>
      </c>
      <c r="C29" s="46" t="s">
        <v>46</v>
      </c>
      <c r="D29" s="46" t="s">
        <v>46</v>
      </c>
      <c r="E29" s="46" t="s">
        <v>46</v>
      </c>
      <c r="F29" s="46" t="s">
        <v>46</v>
      </c>
      <c r="G29" s="46" t="s">
        <v>46</v>
      </c>
      <c r="H29" s="46" t="s">
        <v>46</v>
      </c>
      <c r="I29" s="46">
        <v>79.900000000000006</v>
      </c>
      <c r="J29" s="46">
        <v>1094.5</v>
      </c>
      <c r="K29" s="46">
        <v>706.5</v>
      </c>
      <c r="L29" s="46">
        <v>697.6</v>
      </c>
    </row>
    <row r="30" spans="1:12" x14ac:dyDescent="0.25">
      <c r="A30" s="62" t="s">
        <v>110</v>
      </c>
      <c r="B30" s="46" t="s">
        <v>46</v>
      </c>
      <c r="C30" s="46" t="s">
        <v>46</v>
      </c>
      <c r="D30" s="46" t="s">
        <v>46</v>
      </c>
      <c r="E30" s="46" t="s">
        <v>46</v>
      </c>
      <c r="F30" s="46" t="s">
        <v>46</v>
      </c>
      <c r="G30" s="46" t="s">
        <v>46</v>
      </c>
      <c r="H30" s="46" t="s">
        <v>46</v>
      </c>
      <c r="I30" s="46" t="s">
        <v>46</v>
      </c>
      <c r="J30" s="46" t="s">
        <v>46</v>
      </c>
      <c r="K30" s="46" t="s">
        <v>46</v>
      </c>
      <c r="L30" s="46" t="s">
        <v>46</v>
      </c>
    </row>
    <row r="31" spans="1:12" x14ac:dyDescent="0.25">
      <c r="A31" s="54" t="s">
        <v>112</v>
      </c>
      <c r="B31" s="44">
        <v>351.1</v>
      </c>
      <c r="C31" s="44">
        <v>342.3</v>
      </c>
      <c r="D31" s="44">
        <v>446.3</v>
      </c>
      <c r="E31" s="44">
        <v>498.4</v>
      </c>
      <c r="F31" s="44">
        <v>419.9</v>
      </c>
      <c r="G31" s="44">
        <v>468.8</v>
      </c>
      <c r="H31" s="44">
        <v>495.7</v>
      </c>
      <c r="I31" s="44">
        <v>441.2</v>
      </c>
      <c r="J31" s="44">
        <v>329.2</v>
      </c>
      <c r="K31" s="44">
        <v>313.10000000000002</v>
      </c>
      <c r="L31" s="44">
        <v>427.6</v>
      </c>
    </row>
    <row r="32" spans="1:12" x14ac:dyDescent="0.25">
      <c r="A32" s="5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</row>
    <row r="33" spans="1:12" x14ac:dyDescent="0.25">
      <c r="A33" s="56" t="s">
        <v>49</v>
      </c>
      <c r="B33" s="57">
        <v>2044.3</v>
      </c>
      <c r="C33" s="57">
        <v>1957</v>
      </c>
      <c r="D33" s="57">
        <v>2469.3000000000002</v>
      </c>
      <c r="E33" s="57">
        <v>2465.1999999999998</v>
      </c>
      <c r="F33" s="57">
        <v>2502</v>
      </c>
      <c r="G33" s="57">
        <v>2604.9</v>
      </c>
      <c r="H33" s="57">
        <v>2785.7</v>
      </c>
      <c r="I33" s="57">
        <v>2997.8</v>
      </c>
      <c r="J33" s="57">
        <v>7814.9</v>
      </c>
      <c r="K33" s="57">
        <v>7074.2</v>
      </c>
      <c r="L33" s="57">
        <v>6905.4</v>
      </c>
    </row>
    <row r="34" spans="1:12" x14ac:dyDescent="0.25">
      <c r="A34" s="39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</row>
    <row r="35" spans="1:12" x14ac:dyDescent="0.25">
      <c r="A35" s="51" t="s">
        <v>400</v>
      </c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</row>
    <row r="36" spans="1:12" x14ac:dyDescent="0.25">
      <c r="A36" s="54" t="s">
        <v>115</v>
      </c>
      <c r="B36" s="44">
        <v>8.9</v>
      </c>
      <c r="C36" s="44">
        <v>9</v>
      </c>
      <c r="D36" s="44">
        <v>16.8</v>
      </c>
      <c r="E36" s="44">
        <v>17.3</v>
      </c>
      <c r="F36" s="44">
        <v>15.2</v>
      </c>
      <c r="G36" s="44">
        <v>17.2</v>
      </c>
      <c r="H36" s="44">
        <v>16.7</v>
      </c>
      <c r="I36" s="44">
        <v>11.5</v>
      </c>
      <c r="J36" s="44">
        <v>11</v>
      </c>
      <c r="K36" s="44">
        <v>11.3</v>
      </c>
      <c r="L36" s="44">
        <v>12.5</v>
      </c>
    </row>
    <row r="37" spans="1:12" x14ac:dyDescent="0.25">
      <c r="A37" s="54" t="s">
        <v>123</v>
      </c>
      <c r="B37" s="60">
        <v>634</v>
      </c>
      <c r="C37" s="60">
        <v>756.5</v>
      </c>
      <c r="D37" s="60">
        <v>821.9</v>
      </c>
      <c r="E37" s="60">
        <v>908.2</v>
      </c>
      <c r="F37" s="60">
        <v>962.4</v>
      </c>
      <c r="G37" s="60">
        <v>995.6</v>
      </c>
      <c r="H37" s="60">
        <v>1039.5999999999999</v>
      </c>
      <c r="I37" s="60">
        <v>1084.2</v>
      </c>
      <c r="J37" s="60">
        <v>1672.9</v>
      </c>
      <c r="K37" s="60">
        <v>1770.6</v>
      </c>
      <c r="L37" s="60">
        <v>1888.6</v>
      </c>
    </row>
    <row r="38" spans="1:12" x14ac:dyDescent="0.25">
      <c r="A38" s="54" t="s">
        <v>118</v>
      </c>
      <c r="B38" s="60">
        <v>109.1</v>
      </c>
      <c r="C38" s="60">
        <v>-3.7</v>
      </c>
      <c r="D38" s="60">
        <v>-59</v>
      </c>
      <c r="E38" s="60">
        <v>-159.9</v>
      </c>
      <c r="F38" s="60">
        <v>-0.3</v>
      </c>
      <c r="G38" s="60">
        <v>-186</v>
      </c>
      <c r="H38" s="60">
        <v>-406.1</v>
      </c>
      <c r="I38" s="60">
        <v>-514.4</v>
      </c>
      <c r="J38" s="60">
        <v>-279.5</v>
      </c>
      <c r="K38" s="60">
        <v>-359.9</v>
      </c>
      <c r="L38" s="60">
        <v>-500.2</v>
      </c>
    </row>
    <row r="39" spans="1:12" x14ac:dyDescent="0.25">
      <c r="A39" s="54" t="s">
        <v>120</v>
      </c>
      <c r="B39" s="61">
        <v>591.5</v>
      </c>
      <c r="C39" s="61">
        <v>700.9</v>
      </c>
      <c r="D39" s="61">
        <v>838.8</v>
      </c>
      <c r="E39" s="61">
        <v>934.6</v>
      </c>
      <c r="F39" s="61">
        <v>970.4</v>
      </c>
      <c r="G39" s="61">
        <v>982.6</v>
      </c>
      <c r="H39" s="61">
        <v>1036.7</v>
      </c>
      <c r="I39" s="61">
        <v>1056.8</v>
      </c>
      <c r="J39" s="61">
        <v>1166.5</v>
      </c>
      <c r="K39" s="61">
        <v>1760.2</v>
      </c>
      <c r="L39" s="61">
        <v>2055.8000000000002</v>
      </c>
    </row>
    <row r="40" spans="1:12" x14ac:dyDescent="0.25">
      <c r="A40" s="54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</row>
    <row r="41" spans="1:12" x14ac:dyDescent="0.25">
      <c r="A41" s="56" t="s">
        <v>125</v>
      </c>
      <c r="B41" s="57">
        <v>1343.5</v>
      </c>
      <c r="C41" s="57">
        <v>1462.7</v>
      </c>
      <c r="D41" s="57">
        <v>1618.5</v>
      </c>
      <c r="E41" s="57">
        <v>1700.2</v>
      </c>
      <c r="F41" s="57">
        <v>1947.7</v>
      </c>
      <c r="G41" s="57">
        <v>1809.4</v>
      </c>
      <c r="H41" s="57">
        <v>1686.9</v>
      </c>
      <c r="I41" s="57">
        <v>1638.1</v>
      </c>
      <c r="J41" s="57">
        <v>2570.9</v>
      </c>
      <c r="K41" s="57">
        <v>3182.2</v>
      </c>
      <c r="L41" s="57">
        <v>3456.7</v>
      </c>
    </row>
    <row r="42" spans="1:12" x14ac:dyDescent="0.25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</row>
    <row r="43" spans="1:12" x14ac:dyDescent="0.25">
      <c r="A43" s="56" t="s">
        <v>129</v>
      </c>
      <c r="B43" s="57">
        <v>3387.8</v>
      </c>
      <c r="C43" s="57">
        <v>3419.7</v>
      </c>
      <c r="D43" s="57">
        <v>4087.8</v>
      </c>
      <c r="E43" s="57">
        <v>4165.3999999999996</v>
      </c>
      <c r="F43" s="57">
        <v>4449.7</v>
      </c>
      <c r="G43" s="57">
        <v>4414.3</v>
      </c>
      <c r="H43" s="57">
        <v>4472.6000000000004</v>
      </c>
      <c r="I43" s="57">
        <v>4635.8999999999996</v>
      </c>
      <c r="J43" s="57">
        <v>10385.799999999999</v>
      </c>
      <c r="K43" s="57">
        <v>10256.4</v>
      </c>
      <c r="L43" s="57">
        <v>10362.1</v>
      </c>
    </row>
    <row r="44" spans="1:12" x14ac:dyDescent="0.25">
      <c r="A44" s="39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</row>
    <row r="45" spans="1:12" x14ac:dyDescent="0.25">
      <c r="A45" s="43" t="s">
        <v>51</v>
      </c>
      <c r="B45" s="63">
        <v>131.80000000000001</v>
      </c>
      <c r="C45" s="63">
        <v>133.1</v>
      </c>
      <c r="D45" s="63">
        <v>132.9</v>
      </c>
      <c r="E45" s="63">
        <v>132.5</v>
      </c>
      <c r="F45" s="63">
        <v>131.1</v>
      </c>
      <c r="G45" s="63">
        <v>128.4</v>
      </c>
      <c r="H45" s="63">
        <v>127.3</v>
      </c>
      <c r="I45" s="63">
        <v>123.9</v>
      </c>
      <c r="J45" s="63">
        <v>131</v>
      </c>
      <c r="K45" s="63">
        <v>132.1</v>
      </c>
      <c r="L45" s="63">
        <v>132.9</v>
      </c>
    </row>
    <row r="46" spans="1:12" x14ac:dyDescent="0.25">
      <c r="A46" s="51" t="s">
        <v>127</v>
      </c>
      <c r="B46" s="55">
        <v>320</v>
      </c>
      <c r="C46" s="55">
        <v>320</v>
      </c>
      <c r="D46" s="55">
        <v>320</v>
      </c>
      <c r="E46" s="55" t="s">
        <v>46</v>
      </c>
      <c r="F46" s="55">
        <v>320</v>
      </c>
      <c r="G46" s="55">
        <v>640</v>
      </c>
      <c r="H46" s="55">
        <v>640</v>
      </c>
      <c r="I46" s="55">
        <v>640</v>
      </c>
      <c r="J46" s="55">
        <v>640</v>
      </c>
      <c r="K46" s="55">
        <v>640</v>
      </c>
      <c r="L46" s="55">
        <v>640</v>
      </c>
    </row>
    <row r="47" spans="1:12" x14ac:dyDescent="0.25">
      <c r="A47" s="39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</row>
    <row r="48" spans="1:12" ht="16.5" customHeight="1" x14ac:dyDescent="0.25">
      <c r="A48" s="58" t="s">
        <v>50</v>
      </c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</row>
    <row r="49" spans="1:12" x14ac:dyDescent="0.25">
      <c r="A49" s="39" t="s">
        <v>69</v>
      </c>
      <c r="B49" s="44">
        <v>457.6</v>
      </c>
      <c r="C49" s="44">
        <v>477.6</v>
      </c>
      <c r="D49" s="44">
        <v>613.70000000000005</v>
      </c>
      <c r="E49" s="44">
        <v>615</v>
      </c>
      <c r="F49" s="44">
        <v>676.9</v>
      </c>
      <c r="G49" s="44">
        <v>713.8</v>
      </c>
      <c r="H49" s="44">
        <v>710.8</v>
      </c>
      <c r="I49" s="44">
        <v>756.3</v>
      </c>
      <c r="J49" s="44">
        <v>793.3</v>
      </c>
      <c r="K49" s="44">
        <v>786.3</v>
      </c>
      <c r="L49" s="44">
        <v>801.2</v>
      </c>
    </row>
    <row r="50" spans="1:12" x14ac:dyDescent="0.25">
      <c r="A50" s="39" t="s">
        <v>133</v>
      </c>
      <c r="B50" s="44" t="s">
        <v>46</v>
      </c>
      <c r="C50" s="44" t="s">
        <v>46</v>
      </c>
      <c r="D50" s="44" t="s">
        <v>46</v>
      </c>
      <c r="E50" s="44" t="s">
        <v>46</v>
      </c>
      <c r="F50" s="44" t="s">
        <v>46</v>
      </c>
      <c r="G50" s="44" t="s">
        <v>46</v>
      </c>
      <c r="H50" s="44" t="s">
        <v>46</v>
      </c>
      <c r="I50" s="44" t="s">
        <v>46</v>
      </c>
      <c r="J50" s="44" t="s">
        <v>46</v>
      </c>
      <c r="K50" s="44">
        <v>27.2</v>
      </c>
      <c r="L50" s="44">
        <v>36</v>
      </c>
    </row>
    <row r="51" spans="1:12" x14ac:dyDescent="0.25">
      <c r="A51" s="39" t="s">
        <v>86</v>
      </c>
      <c r="B51" s="44" t="s">
        <v>46</v>
      </c>
      <c r="C51" s="44" t="s">
        <v>46</v>
      </c>
      <c r="D51" s="44" t="s">
        <v>46</v>
      </c>
      <c r="E51" s="44" t="s">
        <v>46</v>
      </c>
      <c r="F51" s="44" t="s">
        <v>46</v>
      </c>
      <c r="G51" s="44" t="s">
        <v>46</v>
      </c>
      <c r="H51" s="44" t="s">
        <v>46</v>
      </c>
      <c r="I51" s="44" t="s">
        <v>46</v>
      </c>
      <c r="J51" s="44" t="s">
        <v>46</v>
      </c>
      <c r="K51" s="44">
        <v>120.8</v>
      </c>
      <c r="L51" s="44">
        <v>124.4</v>
      </c>
    </row>
    <row r="52" spans="1:12" x14ac:dyDescent="0.25">
      <c r="A52" s="41" t="s">
        <v>136</v>
      </c>
      <c r="B52" s="65">
        <v>29.7</v>
      </c>
      <c r="C52" s="65">
        <v>29.5</v>
      </c>
      <c r="D52" s="65">
        <v>39.200000000000003</v>
      </c>
      <c r="E52" s="65">
        <v>43</v>
      </c>
      <c r="F52" s="65">
        <v>59.3</v>
      </c>
      <c r="G52" s="65">
        <v>57.6</v>
      </c>
      <c r="H52" s="65">
        <v>62.7</v>
      </c>
      <c r="I52" s="65">
        <v>62.4</v>
      </c>
      <c r="J52" s="65">
        <v>63.2</v>
      </c>
      <c r="K52" s="65">
        <v>62.6</v>
      </c>
      <c r="L52" s="65">
        <v>67.5</v>
      </c>
    </row>
    <row r="53" spans="1:12" x14ac:dyDescent="0.25">
      <c r="A53" s="39" t="s">
        <v>138</v>
      </c>
      <c r="B53" s="44">
        <v>290.10000000000002</v>
      </c>
      <c r="C53" s="44">
        <v>282.60000000000002</v>
      </c>
      <c r="D53" s="44">
        <v>306.89999999999998</v>
      </c>
      <c r="E53" s="44">
        <v>324.89999999999998</v>
      </c>
      <c r="F53" s="44">
        <v>335.4</v>
      </c>
      <c r="G53" s="44">
        <v>346.4</v>
      </c>
      <c r="H53" s="44">
        <v>360.1</v>
      </c>
      <c r="I53" s="44">
        <v>402.9</v>
      </c>
      <c r="J53" s="44">
        <v>488.3</v>
      </c>
      <c r="K53" s="44">
        <v>626.20000000000005</v>
      </c>
      <c r="L53" s="44">
        <v>658.5</v>
      </c>
    </row>
    <row r="54" spans="1:12" x14ac:dyDescent="0.25">
      <c r="A54" s="39" t="s">
        <v>140</v>
      </c>
      <c r="B54" s="44">
        <v>34.6</v>
      </c>
      <c r="C54" s="44">
        <v>39.299999999999997</v>
      </c>
      <c r="D54" s="44">
        <v>45.5</v>
      </c>
      <c r="E54" s="44">
        <v>51.7</v>
      </c>
      <c r="F54" s="44">
        <v>59.2</v>
      </c>
      <c r="G54" s="44">
        <v>75</v>
      </c>
      <c r="H54" s="44">
        <v>72.400000000000006</v>
      </c>
      <c r="I54" s="44">
        <v>117</v>
      </c>
      <c r="J54" s="44">
        <v>99.9</v>
      </c>
      <c r="K54" s="44">
        <v>105.1</v>
      </c>
      <c r="L54" s="44">
        <v>85.8</v>
      </c>
    </row>
    <row r="55" spans="1:12" x14ac:dyDescent="0.25">
      <c r="A55" s="39" t="s">
        <v>142</v>
      </c>
      <c r="B55" s="44">
        <v>542.4</v>
      </c>
      <c r="C55" s="44">
        <v>567.6</v>
      </c>
      <c r="D55" s="44">
        <v>620.6</v>
      </c>
      <c r="E55" s="44">
        <v>638.1</v>
      </c>
      <c r="F55" s="44">
        <v>661.3</v>
      </c>
      <c r="G55" s="44">
        <v>700.7</v>
      </c>
      <c r="H55" s="44">
        <v>725.9</v>
      </c>
      <c r="I55" s="44">
        <v>730.1</v>
      </c>
      <c r="J55" s="44">
        <v>882</v>
      </c>
      <c r="K55" s="44">
        <v>947.5</v>
      </c>
      <c r="L55" s="44">
        <v>1007.8</v>
      </c>
    </row>
    <row r="56" spans="1:12" x14ac:dyDescent="0.25">
      <c r="A56" s="39" t="s">
        <v>72</v>
      </c>
      <c r="B56" s="44">
        <v>638.6</v>
      </c>
      <c r="C56" s="44">
        <v>675.3</v>
      </c>
      <c r="D56" s="44">
        <v>746.1</v>
      </c>
      <c r="E56" s="44">
        <v>785.8</v>
      </c>
      <c r="F56" s="44">
        <v>831.1</v>
      </c>
      <c r="G56" s="44">
        <v>878.7</v>
      </c>
      <c r="H56" s="44">
        <v>912.9</v>
      </c>
      <c r="I56" s="44">
        <v>960.8</v>
      </c>
      <c r="J56" s="44">
        <v>1056.8</v>
      </c>
      <c r="K56" s="44">
        <v>799.9</v>
      </c>
      <c r="L56" s="44">
        <v>867</v>
      </c>
    </row>
    <row r="57" spans="1:12" x14ac:dyDescent="0.25">
      <c r="A57" s="39" t="s">
        <v>88</v>
      </c>
      <c r="B57" s="44">
        <v>489.8</v>
      </c>
      <c r="C57" s="44">
        <v>488</v>
      </c>
      <c r="D57" s="44">
        <v>523.1</v>
      </c>
      <c r="E57" s="44">
        <v>547.29999999999995</v>
      </c>
      <c r="F57" s="44">
        <v>576.6</v>
      </c>
      <c r="G57" s="44">
        <v>602.70000000000005</v>
      </c>
      <c r="H57" s="44">
        <v>618.4</v>
      </c>
      <c r="I57" s="44">
        <v>669.4</v>
      </c>
      <c r="J57" s="44">
        <v>809.1</v>
      </c>
      <c r="K57" s="44">
        <v>941.5</v>
      </c>
      <c r="L57" s="44">
        <v>952.6</v>
      </c>
    </row>
    <row r="58" spans="1:12" x14ac:dyDescent="0.25">
      <c r="A58" s="40" t="s">
        <v>146</v>
      </c>
      <c r="B58" s="60">
        <v>181.5</v>
      </c>
      <c r="C58" s="60">
        <v>182.9</v>
      </c>
      <c r="D58" s="60">
        <v>198.4</v>
      </c>
      <c r="E58" s="60">
        <v>230.4</v>
      </c>
      <c r="F58" s="60">
        <v>174.6</v>
      </c>
      <c r="G58" s="60">
        <v>208.5</v>
      </c>
      <c r="H58" s="60">
        <v>219.9</v>
      </c>
      <c r="I58" s="60">
        <v>276.10000000000002</v>
      </c>
      <c r="J58" s="60">
        <v>253.8</v>
      </c>
      <c r="K58" s="60">
        <v>199.2</v>
      </c>
      <c r="L58" s="60">
        <v>205.6</v>
      </c>
    </row>
    <row r="59" spans="1:12" x14ac:dyDescent="0.25">
      <c r="A59" s="39" t="s">
        <v>74</v>
      </c>
      <c r="B59" s="44">
        <v>227.3</v>
      </c>
      <c r="C59" s="44">
        <v>221.9</v>
      </c>
      <c r="D59" s="44">
        <v>350</v>
      </c>
      <c r="E59" s="44">
        <v>55.9</v>
      </c>
      <c r="F59" s="44">
        <v>63.7</v>
      </c>
      <c r="G59" s="44">
        <v>60</v>
      </c>
      <c r="H59" s="44">
        <v>90.9</v>
      </c>
      <c r="I59" s="44">
        <v>112.7</v>
      </c>
      <c r="J59" s="44">
        <v>262.60000000000002</v>
      </c>
      <c r="K59" s="44">
        <v>270</v>
      </c>
      <c r="L59" s="44">
        <v>280.39999999999998</v>
      </c>
    </row>
    <row r="60" spans="1:12" x14ac:dyDescent="0.25">
      <c r="A60" s="39" t="s">
        <v>149</v>
      </c>
      <c r="B60" s="44" t="s">
        <v>46</v>
      </c>
      <c r="C60" s="44" t="s">
        <v>46</v>
      </c>
      <c r="D60" s="44" t="s">
        <v>46</v>
      </c>
      <c r="E60" s="44" t="s">
        <v>46</v>
      </c>
      <c r="F60" s="44" t="s">
        <v>46</v>
      </c>
      <c r="G60" s="44" t="s">
        <v>46</v>
      </c>
      <c r="H60" s="44" t="s">
        <v>46</v>
      </c>
      <c r="I60" s="44" t="s">
        <v>46</v>
      </c>
      <c r="J60" s="44" t="s">
        <v>46</v>
      </c>
      <c r="K60" s="44">
        <v>167.2</v>
      </c>
      <c r="L60" s="44">
        <v>186</v>
      </c>
    </row>
    <row r="61" spans="1:12" x14ac:dyDescent="0.25">
      <c r="A61" s="39" t="s">
        <v>151</v>
      </c>
      <c r="B61" s="44" t="s">
        <v>46</v>
      </c>
      <c r="C61" s="44" t="s">
        <v>46</v>
      </c>
      <c r="D61" s="44" t="s">
        <v>46</v>
      </c>
      <c r="E61" s="44" t="s">
        <v>46</v>
      </c>
      <c r="F61" s="44" t="s">
        <v>46</v>
      </c>
      <c r="G61" s="44">
        <v>0</v>
      </c>
      <c r="H61" s="44">
        <v>0</v>
      </c>
      <c r="I61" s="44">
        <v>0</v>
      </c>
      <c r="J61" s="44">
        <v>0</v>
      </c>
      <c r="K61" s="44">
        <v>0</v>
      </c>
      <c r="L61" s="44">
        <v>0</v>
      </c>
    </row>
    <row r="62" spans="1:12" x14ac:dyDescent="0.25">
      <c r="A62" s="41" t="s">
        <v>73</v>
      </c>
      <c r="B62" s="65">
        <v>1479.7</v>
      </c>
      <c r="C62" s="65">
        <v>1417.4</v>
      </c>
      <c r="D62" s="65">
        <v>1694.2</v>
      </c>
      <c r="E62" s="65">
        <v>1695.3</v>
      </c>
      <c r="F62" s="65">
        <v>1798.5</v>
      </c>
      <c r="G62" s="65">
        <v>1722.2</v>
      </c>
      <c r="H62" s="65">
        <v>1759.3</v>
      </c>
      <c r="I62" s="65">
        <v>1771.4</v>
      </c>
      <c r="J62" s="65">
        <v>4490.1000000000004</v>
      </c>
      <c r="K62" s="65">
        <v>4527.8999999999996</v>
      </c>
      <c r="L62" s="65">
        <v>4505.2</v>
      </c>
    </row>
    <row r="63" spans="1:12" x14ac:dyDescent="0.25">
      <c r="A63" s="39" t="s">
        <v>154</v>
      </c>
      <c r="B63" s="44">
        <v>10</v>
      </c>
      <c r="C63" s="44">
        <v>10.6</v>
      </c>
      <c r="D63" s="44" t="s">
        <v>46</v>
      </c>
      <c r="E63" s="44">
        <v>267.60000000000002</v>
      </c>
      <c r="F63" s="44">
        <v>269.7</v>
      </c>
      <c r="G63" s="44">
        <v>270.8</v>
      </c>
      <c r="H63" s="44">
        <v>281.2</v>
      </c>
      <c r="I63" s="44">
        <v>312.2</v>
      </c>
      <c r="J63" s="44">
        <v>2808.5</v>
      </c>
      <c r="K63" s="44">
        <v>2646.9</v>
      </c>
      <c r="L63" s="44">
        <v>2643</v>
      </c>
    </row>
    <row r="64" spans="1:12" x14ac:dyDescent="0.25">
      <c r="A64" s="39" t="s">
        <v>99</v>
      </c>
      <c r="B64" s="44">
        <v>14.9</v>
      </c>
      <c r="C64" s="44" t="s">
        <v>46</v>
      </c>
      <c r="D64" s="44">
        <v>5.4</v>
      </c>
      <c r="E64" s="44">
        <v>252.3</v>
      </c>
      <c r="F64" s="44">
        <v>2.5</v>
      </c>
      <c r="G64" s="44">
        <v>1.2</v>
      </c>
      <c r="H64" s="44">
        <v>203.5</v>
      </c>
      <c r="I64" s="44">
        <v>2.9</v>
      </c>
      <c r="J64" s="44">
        <v>325.60000000000002</v>
      </c>
      <c r="K64" s="44">
        <v>83.5</v>
      </c>
      <c r="L64" s="44">
        <v>97.7</v>
      </c>
    </row>
    <row r="65" spans="1:12" x14ac:dyDescent="0.25">
      <c r="A65" s="39" t="s">
        <v>108</v>
      </c>
      <c r="B65" s="44">
        <v>148.4</v>
      </c>
      <c r="C65" s="44">
        <v>161.1</v>
      </c>
      <c r="D65" s="44">
        <v>202.8</v>
      </c>
      <c r="E65" s="44">
        <v>213</v>
      </c>
      <c r="F65" s="44">
        <v>230.9</v>
      </c>
      <c r="G65" s="44">
        <v>240.1</v>
      </c>
      <c r="H65" s="44">
        <v>273.7</v>
      </c>
      <c r="I65" s="44">
        <v>306.7</v>
      </c>
      <c r="J65" s="44">
        <v>1304.4000000000001</v>
      </c>
      <c r="K65" s="44">
        <v>865.9</v>
      </c>
      <c r="L65" s="44">
        <v>858.6</v>
      </c>
    </row>
    <row r="66" spans="1:12" x14ac:dyDescent="0.25">
      <c r="A66" s="39" t="s">
        <v>110</v>
      </c>
      <c r="B66" s="44">
        <v>273.8</v>
      </c>
      <c r="C66" s="44">
        <v>259.89999999999998</v>
      </c>
      <c r="D66" s="44">
        <v>326.10000000000002</v>
      </c>
      <c r="E66" s="44">
        <v>381.4</v>
      </c>
      <c r="F66" s="44">
        <v>201.1</v>
      </c>
      <c r="G66" s="44">
        <v>285</v>
      </c>
      <c r="H66" s="44">
        <v>289.39999999999998</v>
      </c>
      <c r="I66" s="44">
        <v>330.9</v>
      </c>
      <c r="J66" s="44">
        <v>263.10000000000002</v>
      </c>
      <c r="K66" s="44">
        <v>181.6</v>
      </c>
      <c r="L66" s="44">
        <v>289.60000000000002</v>
      </c>
    </row>
    <row r="67" spans="1:12" x14ac:dyDescent="0.25">
      <c r="A67" s="39" t="s">
        <v>159</v>
      </c>
      <c r="B67" s="44">
        <v>8.9</v>
      </c>
      <c r="C67" s="44">
        <v>9</v>
      </c>
      <c r="D67" s="44">
        <v>16.8</v>
      </c>
      <c r="E67" s="44">
        <v>17.3</v>
      </c>
      <c r="F67" s="44">
        <v>15.2</v>
      </c>
      <c r="G67" s="44">
        <v>17.2</v>
      </c>
      <c r="H67" s="44">
        <v>16.7</v>
      </c>
      <c r="I67" s="44">
        <v>11.5</v>
      </c>
      <c r="J67" s="44">
        <v>11</v>
      </c>
      <c r="K67" s="44">
        <v>11.3</v>
      </c>
      <c r="L67" s="44">
        <v>12.5</v>
      </c>
    </row>
    <row r="68" spans="1:12" x14ac:dyDescent="0.25">
      <c r="A68" s="39" t="s">
        <v>75</v>
      </c>
      <c r="B68" s="44">
        <v>634</v>
      </c>
      <c r="C68" s="44">
        <v>756.5</v>
      </c>
      <c r="D68" s="44" t="s">
        <v>46</v>
      </c>
      <c r="E68" s="44">
        <v>908.2</v>
      </c>
      <c r="F68" s="44">
        <v>962.4</v>
      </c>
      <c r="G68" s="44">
        <v>995.6</v>
      </c>
      <c r="H68" s="44">
        <v>1039.5999999999999</v>
      </c>
      <c r="I68" s="44">
        <v>1084.2</v>
      </c>
      <c r="J68" s="44">
        <v>1672.9</v>
      </c>
      <c r="K68" s="44">
        <v>1770.6</v>
      </c>
      <c r="L68" s="44">
        <v>1888.6</v>
      </c>
    </row>
    <row r="69" spans="1:12" x14ac:dyDescent="0.25">
      <c r="A69" s="39" t="s">
        <v>118</v>
      </c>
      <c r="B69" s="44">
        <v>109.1</v>
      </c>
      <c r="C69" s="44">
        <v>-3.7</v>
      </c>
      <c r="D69" s="44">
        <v>-59</v>
      </c>
      <c r="E69" s="44">
        <v>-159.9</v>
      </c>
      <c r="F69" s="44">
        <v>-0.3</v>
      </c>
      <c r="G69" s="44">
        <v>-186</v>
      </c>
      <c r="H69" s="44">
        <v>-406.1</v>
      </c>
      <c r="I69" s="44">
        <v>-514.4</v>
      </c>
      <c r="J69" s="44">
        <v>-279.5</v>
      </c>
      <c r="K69" s="44">
        <v>-359.9</v>
      </c>
      <c r="L69" s="44">
        <v>-500.2</v>
      </c>
    </row>
    <row r="70" spans="1:12" x14ac:dyDescent="0.25">
      <c r="A70" s="40" t="s">
        <v>120</v>
      </c>
      <c r="B70" s="60">
        <v>591.5</v>
      </c>
      <c r="C70" s="60">
        <v>700.9</v>
      </c>
      <c r="D70" s="60">
        <v>838.8</v>
      </c>
      <c r="E70" s="60">
        <v>934.6</v>
      </c>
      <c r="F70" s="60">
        <v>970.4</v>
      </c>
      <c r="G70" s="60">
        <v>982.6</v>
      </c>
      <c r="H70" s="60">
        <v>1036.7</v>
      </c>
      <c r="I70" s="60">
        <v>1056.8</v>
      </c>
      <c r="J70" s="60">
        <v>1166.5</v>
      </c>
      <c r="K70" s="60">
        <v>1760.2</v>
      </c>
      <c r="L70" s="60">
        <v>2055.8000000000002</v>
      </c>
    </row>
    <row r="71" spans="1:12" x14ac:dyDescent="0.25">
      <c r="A71" s="40" t="s">
        <v>51</v>
      </c>
      <c r="B71" s="60">
        <v>131.80000000000001</v>
      </c>
      <c r="C71" s="60">
        <v>133.1</v>
      </c>
      <c r="D71" s="60">
        <v>132.9</v>
      </c>
      <c r="E71" s="60">
        <v>132.5</v>
      </c>
      <c r="F71" s="60">
        <v>131.1</v>
      </c>
      <c r="G71" s="60">
        <v>128.4</v>
      </c>
      <c r="H71" s="60">
        <v>127.3</v>
      </c>
      <c r="I71" s="60">
        <v>125.3</v>
      </c>
      <c r="J71" s="60">
        <v>131</v>
      </c>
      <c r="K71" s="60">
        <v>132.1</v>
      </c>
      <c r="L71" s="60">
        <v>132.9</v>
      </c>
    </row>
    <row r="72" spans="1:12" x14ac:dyDescent="0.25">
      <c r="A72" s="39" t="s">
        <v>70</v>
      </c>
      <c r="B72" s="44">
        <v>220</v>
      </c>
      <c r="C72" s="44">
        <v>243.5</v>
      </c>
      <c r="D72" s="44">
        <v>344.9</v>
      </c>
      <c r="E72" s="44">
        <v>341.8</v>
      </c>
      <c r="F72" s="44">
        <v>372.3</v>
      </c>
      <c r="G72" s="44">
        <v>410.6</v>
      </c>
      <c r="H72" s="44">
        <v>390.9</v>
      </c>
      <c r="I72" s="44">
        <v>420</v>
      </c>
      <c r="J72" s="44">
        <v>395.2</v>
      </c>
      <c r="K72" s="44">
        <v>380.2</v>
      </c>
      <c r="L72" s="44">
        <v>387.9</v>
      </c>
    </row>
    <row r="73" spans="1:12" x14ac:dyDescent="0.25">
      <c r="A73" s="39" t="s">
        <v>71</v>
      </c>
      <c r="B73" s="44">
        <v>237.6</v>
      </c>
      <c r="C73" s="44">
        <v>234.1</v>
      </c>
      <c r="D73" s="44">
        <v>268.8</v>
      </c>
      <c r="E73" s="44">
        <v>273.2</v>
      </c>
      <c r="F73" s="44">
        <v>304.60000000000002</v>
      </c>
      <c r="G73" s="44">
        <v>303.2</v>
      </c>
      <c r="H73" s="44">
        <v>319.89999999999998</v>
      </c>
      <c r="I73" s="44">
        <v>336.3</v>
      </c>
      <c r="J73" s="44">
        <v>398.1</v>
      </c>
      <c r="K73" s="44">
        <v>406.1</v>
      </c>
      <c r="L73" s="44">
        <v>413.3</v>
      </c>
    </row>
    <row r="74" spans="1:12" x14ac:dyDescent="0.25">
      <c r="A74" s="39" t="s">
        <v>123</v>
      </c>
      <c r="B74" s="44" t="s">
        <v>46</v>
      </c>
      <c r="C74" s="44" t="s">
        <v>46</v>
      </c>
      <c r="D74" s="44">
        <v>821.9</v>
      </c>
      <c r="E74" s="44" t="s">
        <v>46</v>
      </c>
      <c r="F74" s="44" t="s">
        <v>46</v>
      </c>
      <c r="G74" s="44" t="s">
        <v>46</v>
      </c>
      <c r="H74" s="44" t="s">
        <v>46</v>
      </c>
      <c r="I74" s="44" t="s">
        <v>46</v>
      </c>
      <c r="J74" s="44" t="s">
        <v>46</v>
      </c>
      <c r="K74" s="44" t="s">
        <v>46</v>
      </c>
      <c r="L74" s="44" t="s">
        <v>46</v>
      </c>
    </row>
    <row r="75" spans="1:12" x14ac:dyDescent="0.25">
      <c r="A75" s="39" t="s">
        <v>168</v>
      </c>
      <c r="B75" s="44" t="s">
        <v>46</v>
      </c>
      <c r="C75" s="44" t="s">
        <v>46</v>
      </c>
      <c r="D75" s="44">
        <v>228.9</v>
      </c>
      <c r="E75" s="44">
        <v>147.4</v>
      </c>
      <c r="F75" s="44" t="s">
        <v>46</v>
      </c>
      <c r="G75" s="44" t="s">
        <v>46</v>
      </c>
      <c r="H75" s="44" t="s">
        <v>46</v>
      </c>
      <c r="I75" s="44" t="s">
        <v>46</v>
      </c>
      <c r="J75" s="44" t="s">
        <v>46</v>
      </c>
      <c r="K75" s="44" t="s">
        <v>46</v>
      </c>
      <c r="L75" s="44" t="s">
        <v>46</v>
      </c>
    </row>
    <row r="76" spans="1:12" x14ac:dyDescent="0.25">
      <c r="A76" s="39" t="s">
        <v>170</v>
      </c>
      <c r="B76" s="44" t="s">
        <v>46</v>
      </c>
      <c r="C76" s="44" t="s">
        <v>46</v>
      </c>
      <c r="D76" s="44">
        <v>1008.9</v>
      </c>
      <c r="E76" s="44">
        <v>1011.5</v>
      </c>
      <c r="F76" s="44" t="s">
        <v>46</v>
      </c>
      <c r="G76" s="44" t="s">
        <v>46</v>
      </c>
      <c r="H76" s="44" t="s">
        <v>46</v>
      </c>
      <c r="I76" s="44" t="s">
        <v>46</v>
      </c>
      <c r="J76" s="44" t="s">
        <v>46</v>
      </c>
      <c r="K76" s="44" t="s">
        <v>46</v>
      </c>
      <c r="L76" s="44" t="s">
        <v>46</v>
      </c>
    </row>
    <row r="77" spans="1:12" x14ac:dyDescent="0.25">
      <c r="A77" s="39" t="s">
        <v>172</v>
      </c>
      <c r="B77" s="44">
        <v>759</v>
      </c>
      <c r="C77" s="44" t="s">
        <v>46</v>
      </c>
      <c r="D77" s="44">
        <v>600</v>
      </c>
      <c r="E77" s="44">
        <v>600</v>
      </c>
      <c r="F77" s="44">
        <v>600</v>
      </c>
      <c r="G77" s="44">
        <v>600</v>
      </c>
      <c r="H77" s="44">
        <v>750</v>
      </c>
      <c r="I77" s="44">
        <v>750</v>
      </c>
      <c r="J77" s="44">
        <v>1000</v>
      </c>
      <c r="K77" s="44">
        <v>1000</v>
      </c>
      <c r="L77" s="44">
        <v>1000</v>
      </c>
    </row>
    <row r="78" spans="1:12" x14ac:dyDescent="0.25">
      <c r="A78" s="40" t="s">
        <v>174</v>
      </c>
      <c r="B78" s="60" t="s">
        <v>46</v>
      </c>
      <c r="C78" s="60" t="s">
        <v>46</v>
      </c>
      <c r="D78" s="60">
        <v>384</v>
      </c>
      <c r="E78" s="60">
        <v>461.6</v>
      </c>
      <c r="F78" s="60" t="s">
        <v>46</v>
      </c>
      <c r="G78" s="60">
        <v>600</v>
      </c>
      <c r="H78" s="60">
        <v>750</v>
      </c>
      <c r="I78" s="60">
        <v>750</v>
      </c>
      <c r="J78" s="60">
        <v>1000</v>
      </c>
      <c r="K78" s="60">
        <v>1000</v>
      </c>
      <c r="L78" s="60">
        <v>1000</v>
      </c>
    </row>
    <row r="79" spans="1:12" x14ac:dyDescent="0.25">
      <c r="A79" s="39" t="s">
        <v>52</v>
      </c>
      <c r="B79" s="44">
        <v>76.5</v>
      </c>
      <c r="C79" s="44">
        <v>81.400000000000006</v>
      </c>
      <c r="D79" s="44" t="s">
        <v>46</v>
      </c>
      <c r="E79" s="44" t="s">
        <v>46</v>
      </c>
      <c r="F79" s="44" t="s">
        <v>46</v>
      </c>
      <c r="G79" s="44">
        <v>92.3</v>
      </c>
      <c r="H79" s="44">
        <v>94.3</v>
      </c>
      <c r="I79" s="44">
        <v>108.7</v>
      </c>
      <c r="J79" s="44" t="s">
        <v>46</v>
      </c>
      <c r="K79" s="44" t="s">
        <v>46</v>
      </c>
      <c r="L79" s="44" t="s">
        <v>46</v>
      </c>
    </row>
    <row r="80" spans="1:12" x14ac:dyDescent="0.25">
      <c r="A80" s="40" t="s">
        <v>177</v>
      </c>
      <c r="B80" s="60">
        <v>26.8</v>
      </c>
      <c r="C80" s="60">
        <v>27.3</v>
      </c>
      <c r="D80" s="60">
        <v>31.9</v>
      </c>
      <c r="E80" s="60">
        <v>32.700000000000003</v>
      </c>
      <c r="F80" s="60" t="s">
        <v>46</v>
      </c>
      <c r="G80" s="60">
        <v>40.299999999999997</v>
      </c>
      <c r="H80" s="60">
        <v>39</v>
      </c>
      <c r="I80" s="60">
        <v>41.6</v>
      </c>
      <c r="J80" s="60">
        <v>46.5</v>
      </c>
      <c r="K80" s="60">
        <v>58.5</v>
      </c>
      <c r="L80" s="60">
        <v>48.1</v>
      </c>
    </row>
    <row r="81" spans="1:12" x14ac:dyDescent="0.25">
      <c r="A81" s="40" t="s">
        <v>179</v>
      </c>
      <c r="B81" s="60">
        <v>21.1</v>
      </c>
      <c r="C81" s="60">
        <v>20.399999999999999</v>
      </c>
      <c r="D81" s="60">
        <v>24.9</v>
      </c>
      <c r="E81" s="60">
        <v>23.5</v>
      </c>
      <c r="F81" s="60">
        <v>23.6</v>
      </c>
      <c r="G81" s="60">
        <v>23.4</v>
      </c>
      <c r="H81" s="60">
        <v>22.5</v>
      </c>
      <c r="I81" s="60">
        <v>27.8</v>
      </c>
      <c r="J81" s="60">
        <v>41.7</v>
      </c>
      <c r="K81" s="60">
        <v>42.9</v>
      </c>
      <c r="L81" s="60">
        <v>41.8</v>
      </c>
    </row>
    <row r="82" spans="1:12" x14ac:dyDescent="0.25">
      <c r="A82" s="40" t="s">
        <v>181</v>
      </c>
      <c r="B82" s="61">
        <v>16.600000000000001</v>
      </c>
      <c r="C82" s="61">
        <v>15.5</v>
      </c>
      <c r="D82" s="61">
        <v>20.6</v>
      </c>
      <c r="E82" s="61">
        <v>19.3</v>
      </c>
      <c r="F82" s="61">
        <v>20.100000000000001</v>
      </c>
      <c r="G82" s="61">
        <v>17.600000000000001</v>
      </c>
      <c r="H82" s="61">
        <v>17.8</v>
      </c>
      <c r="I82" s="61">
        <v>21.3</v>
      </c>
      <c r="J82" s="61">
        <v>33.4</v>
      </c>
      <c r="K82" s="61">
        <v>32.9</v>
      </c>
      <c r="L82" s="61">
        <v>35.700000000000003</v>
      </c>
    </row>
    <row r="83" spans="1:12" x14ac:dyDescent="0.25">
      <c r="A83" s="40" t="s">
        <v>183</v>
      </c>
      <c r="B83" s="61">
        <v>11.8</v>
      </c>
      <c r="C83" s="61">
        <v>11.7</v>
      </c>
      <c r="D83" s="61">
        <v>17.600000000000001</v>
      </c>
      <c r="E83" s="61">
        <v>15.6</v>
      </c>
      <c r="F83" s="61">
        <v>14.1</v>
      </c>
      <c r="G83" s="61">
        <v>13.9</v>
      </c>
      <c r="H83" s="61">
        <v>13.8</v>
      </c>
      <c r="I83" s="61">
        <v>14.8</v>
      </c>
      <c r="J83" s="61">
        <v>26.2</v>
      </c>
      <c r="K83" s="61">
        <v>24.3</v>
      </c>
      <c r="L83" s="61">
        <v>25.8</v>
      </c>
    </row>
    <row r="84" spans="1:12" x14ac:dyDescent="0.25">
      <c r="A84" s="39" t="s">
        <v>185</v>
      </c>
      <c r="B84" s="47">
        <v>8.6</v>
      </c>
      <c r="C84" s="47">
        <v>9.5</v>
      </c>
      <c r="D84" s="47">
        <v>13.5</v>
      </c>
      <c r="E84" s="47">
        <v>9.1</v>
      </c>
      <c r="F84" s="47">
        <v>10.6</v>
      </c>
      <c r="G84" s="47">
        <v>11.3</v>
      </c>
      <c r="H84" s="47">
        <v>10.4</v>
      </c>
      <c r="I84" s="47">
        <v>11.6</v>
      </c>
      <c r="J84" s="47">
        <v>20.399999999999999</v>
      </c>
      <c r="K84" s="47">
        <v>18.7</v>
      </c>
      <c r="L84" s="47">
        <v>16</v>
      </c>
    </row>
    <row r="85" spans="1:12" x14ac:dyDescent="0.25">
      <c r="A85" s="39" t="s">
        <v>187</v>
      </c>
      <c r="B85" s="44">
        <v>7.4</v>
      </c>
      <c r="C85" s="44">
        <v>8</v>
      </c>
      <c r="D85" s="44">
        <v>8.9</v>
      </c>
      <c r="E85" s="44">
        <v>7.2</v>
      </c>
      <c r="F85" s="44">
        <v>8.9</v>
      </c>
      <c r="G85" s="44">
        <v>8.5</v>
      </c>
      <c r="H85" s="44">
        <v>7.9</v>
      </c>
      <c r="I85" s="44">
        <v>9.4</v>
      </c>
      <c r="J85" s="44">
        <v>16.600000000000001</v>
      </c>
      <c r="K85" s="44">
        <v>12.6</v>
      </c>
      <c r="L85" s="44">
        <v>10.6</v>
      </c>
    </row>
    <row r="86" spans="1:12" x14ac:dyDescent="0.25">
      <c r="A86" s="39" t="s">
        <v>189</v>
      </c>
      <c r="B86" s="44">
        <v>11</v>
      </c>
      <c r="C86" s="44">
        <v>16.3</v>
      </c>
      <c r="D86" s="44">
        <v>26.3</v>
      </c>
      <c r="E86" s="44">
        <v>10.4</v>
      </c>
      <c r="F86" s="44">
        <v>8.9</v>
      </c>
      <c r="G86" s="44">
        <v>17.600000000000001</v>
      </c>
      <c r="H86" s="44">
        <v>21.9</v>
      </c>
      <c r="I86" s="44">
        <v>23.8</v>
      </c>
      <c r="J86" s="44">
        <v>33.700000000000003</v>
      </c>
      <c r="K86" s="44">
        <v>22.4</v>
      </c>
      <c r="L86" s="44">
        <v>32.299999999999997</v>
      </c>
    </row>
    <row r="87" spans="1:12" x14ac:dyDescent="0.25">
      <c r="A87" s="39" t="s">
        <v>83</v>
      </c>
      <c r="B87" s="44">
        <v>4.5</v>
      </c>
      <c r="C87" s="44">
        <v>2.9</v>
      </c>
      <c r="D87" s="44">
        <v>4.5</v>
      </c>
      <c r="E87" s="44">
        <v>4</v>
      </c>
      <c r="F87" s="44">
        <v>4.0999999999999996</v>
      </c>
      <c r="G87" s="44">
        <v>4</v>
      </c>
      <c r="H87" s="44">
        <v>8</v>
      </c>
      <c r="I87" s="44">
        <v>4.2</v>
      </c>
      <c r="J87" s="44">
        <v>6.6</v>
      </c>
      <c r="K87" s="44">
        <v>6.4</v>
      </c>
      <c r="L87" s="44">
        <v>5.6</v>
      </c>
    </row>
    <row r="88" spans="1:12" x14ac:dyDescent="0.25">
      <c r="A88" s="39" t="s">
        <v>125</v>
      </c>
      <c r="B88" s="44">
        <v>1343.5</v>
      </c>
      <c r="C88" s="44">
        <v>1462.7</v>
      </c>
      <c r="D88" s="44">
        <v>1618.5</v>
      </c>
      <c r="E88" s="44">
        <v>1700.2</v>
      </c>
      <c r="F88" s="44">
        <v>1947.7</v>
      </c>
      <c r="G88" s="44">
        <v>1809.4</v>
      </c>
      <c r="H88" s="44">
        <v>1686.9</v>
      </c>
      <c r="I88" s="44">
        <v>1638.1</v>
      </c>
      <c r="J88" s="44">
        <v>2570.9</v>
      </c>
      <c r="K88" s="44">
        <v>3182.2</v>
      </c>
      <c r="L88" s="44">
        <v>3456.7</v>
      </c>
    </row>
    <row r="89" spans="1:12" x14ac:dyDescent="0.25">
      <c r="A89" s="39" t="s">
        <v>193</v>
      </c>
      <c r="B89" s="44">
        <v>231.6</v>
      </c>
      <c r="C89" s="44">
        <v>244.3</v>
      </c>
      <c r="D89" s="44">
        <v>257</v>
      </c>
      <c r="E89" s="44">
        <v>275.39999999999998</v>
      </c>
      <c r="F89" s="44">
        <v>292.5</v>
      </c>
      <c r="G89" s="44">
        <v>301.7</v>
      </c>
      <c r="H89" s="44">
        <v>310.2</v>
      </c>
      <c r="I89" s="44">
        <v>317.8</v>
      </c>
      <c r="J89" s="44">
        <v>332.5</v>
      </c>
      <c r="K89" s="44" t="s">
        <v>46</v>
      </c>
      <c r="L89" s="44" t="s">
        <v>46</v>
      </c>
    </row>
    <row r="90" spans="1:12" x14ac:dyDescent="0.25">
      <c r="A90" s="39" t="s">
        <v>195</v>
      </c>
      <c r="B90" s="44">
        <v>18.399999999999999</v>
      </c>
      <c r="C90" s="44">
        <v>19.399999999999999</v>
      </c>
      <c r="D90" s="44">
        <v>21.6</v>
      </c>
      <c r="E90" s="44">
        <v>17.600000000000001</v>
      </c>
      <c r="F90" s="44">
        <v>13.3</v>
      </c>
      <c r="G90" s="44">
        <v>12.3</v>
      </c>
      <c r="H90" s="44">
        <v>5.9</v>
      </c>
      <c r="I90" s="44">
        <v>4.9000000000000004</v>
      </c>
      <c r="J90" s="44">
        <v>12.7</v>
      </c>
      <c r="K90" s="44">
        <v>4.4000000000000004</v>
      </c>
      <c r="L90" s="44">
        <v>24.2</v>
      </c>
    </row>
    <row r="91" spans="1:12" x14ac:dyDescent="0.25">
      <c r="A91" s="39" t="s">
        <v>197</v>
      </c>
      <c r="B91" s="44">
        <v>100</v>
      </c>
      <c r="C91" s="44" t="s">
        <v>46</v>
      </c>
      <c r="D91" s="44">
        <v>216</v>
      </c>
      <c r="E91" s="44">
        <v>138.4</v>
      </c>
      <c r="F91" s="44">
        <v>200.3</v>
      </c>
      <c r="G91" s="44">
        <v>239.4</v>
      </c>
      <c r="H91" s="44">
        <v>107.5</v>
      </c>
      <c r="I91" s="44">
        <v>356.9</v>
      </c>
      <c r="J91" s="44">
        <v>219.4</v>
      </c>
      <c r="K91" s="44">
        <v>509.9</v>
      </c>
      <c r="L91" s="44">
        <v>575.29999999999995</v>
      </c>
    </row>
    <row r="92" spans="1:12" x14ac:dyDescent="0.25">
      <c r="A92" s="39" t="s">
        <v>199</v>
      </c>
      <c r="B92" s="44" t="s">
        <v>46</v>
      </c>
      <c r="C92" s="44" t="s">
        <v>46</v>
      </c>
      <c r="D92" s="44" t="s">
        <v>46</v>
      </c>
      <c r="E92" s="44" t="s">
        <v>46</v>
      </c>
      <c r="F92" s="44">
        <v>1.6</v>
      </c>
      <c r="G92" s="44">
        <v>1.4</v>
      </c>
      <c r="H92" s="44">
        <v>1.3</v>
      </c>
      <c r="I92" s="44">
        <v>6.6</v>
      </c>
      <c r="J92" s="44">
        <v>7.2</v>
      </c>
      <c r="K92" s="44">
        <v>12.8</v>
      </c>
      <c r="L92" s="44">
        <v>3.6</v>
      </c>
    </row>
    <row r="93" spans="1:12" x14ac:dyDescent="0.25">
      <c r="A93" s="39" t="s">
        <v>201</v>
      </c>
      <c r="B93" s="48" t="s">
        <v>46</v>
      </c>
      <c r="C93" s="48" t="s">
        <v>46</v>
      </c>
      <c r="D93" s="48" t="s">
        <v>46</v>
      </c>
      <c r="E93" s="48" t="s">
        <v>46</v>
      </c>
      <c r="F93" s="48" t="s">
        <v>46</v>
      </c>
      <c r="G93" s="48" t="s">
        <v>46</v>
      </c>
      <c r="H93" s="48" t="s">
        <v>46</v>
      </c>
      <c r="I93" s="48" t="s">
        <v>46</v>
      </c>
      <c r="J93" s="48" t="s">
        <v>46</v>
      </c>
      <c r="K93" s="48" t="s">
        <v>46</v>
      </c>
      <c r="L93" s="48">
        <v>3.2</v>
      </c>
    </row>
    <row r="94" spans="1:12" x14ac:dyDescent="0.25">
      <c r="A94" s="39" t="s">
        <v>203</v>
      </c>
      <c r="B94" s="48" t="s">
        <v>46</v>
      </c>
      <c r="C94" s="48" t="s">
        <v>46</v>
      </c>
      <c r="D94" s="48" t="s">
        <v>46</v>
      </c>
      <c r="E94" s="48" t="s">
        <v>46</v>
      </c>
      <c r="F94" s="48">
        <v>61.9</v>
      </c>
      <c r="G94" s="48">
        <v>8.1</v>
      </c>
      <c r="H94" s="48">
        <v>8.6</v>
      </c>
      <c r="I94" s="48">
        <v>7.2</v>
      </c>
      <c r="J94" s="48">
        <v>7.3</v>
      </c>
      <c r="K94" s="48">
        <v>7.3</v>
      </c>
      <c r="L94" s="48">
        <v>32.200000000000003</v>
      </c>
    </row>
    <row r="95" spans="1:12" x14ac:dyDescent="0.25">
      <c r="A95" s="39" t="s">
        <v>205</v>
      </c>
      <c r="B95" s="48" t="s">
        <v>46</v>
      </c>
      <c r="C95" s="48" t="s">
        <v>46</v>
      </c>
      <c r="D95" s="48" t="s">
        <v>46</v>
      </c>
      <c r="E95" s="48" t="s">
        <v>46</v>
      </c>
      <c r="F95" s="48" t="s">
        <v>46</v>
      </c>
      <c r="G95" s="48" t="s">
        <v>46</v>
      </c>
      <c r="H95" s="48" t="s">
        <v>46</v>
      </c>
      <c r="I95" s="48" t="s">
        <v>46</v>
      </c>
      <c r="J95" s="48" t="s">
        <v>46</v>
      </c>
      <c r="K95" s="48" t="s">
        <v>46</v>
      </c>
      <c r="L95" s="48">
        <v>0</v>
      </c>
    </row>
    <row r="96" spans="1:12" x14ac:dyDescent="0.25">
      <c r="A96" s="39" t="s">
        <v>207</v>
      </c>
      <c r="B96" s="48">
        <v>132.1327</v>
      </c>
      <c r="C96" s="48">
        <v>132.964</v>
      </c>
      <c r="D96" s="48">
        <v>133.04939999999999</v>
      </c>
      <c r="E96" s="48">
        <v>132.6781</v>
      </c>
      <c r="F96" s="48">
        <v>131.1644</v>
      </c>
      <c r="G96" s="48">
        <v>128.26849999999999</v>
      </c>
      <c r="H96" s="48">
        <v>127.10809999999999</v>
      </c>
      <c r="I96" s="48">
        <v>125.1895</v>
      </c>
      <c r="J96" s="48">
        <v>131.1061</v>
      </c>
      <c r="K96" s="48">
        <v>132.14830000000001</v>
      </c>
      <c r="L96" s="48">
        <v>132.91370000000001</v>
      </c>
    </row>
    <row r="97" spans="1:12" x14ac:dyDescent="0.25">
      <c r="A97" s="39" t="s">
        <v>209</v>
      </c>
      <c r="B97" s="48">
        <v>14.4</v>
      </c>
      <c r="C97" s="48">
        <v>17.7</v>
      </c>
      <c r="D97" s="48">
        <v>21.1</v>
      </c>
      <c r="E97" s="48" t="s">
        <v>46</v>
      </c>
      <c r="F97" s="48" t="s">
        <v>46</v>
      </c>
      <c r="G97" s="48" t="s">
        <v>46</v>
      </c>
      <c r="H97" s="48" t="s">
        <v>46</v>
      </c>
      <c r="I97" s="48" t="s">
        <v>46</v>
      </c>
      <c r="J97" s="48" t="s">
        <v>46</v>
      </c>
      <c r="K97" s="48" t="s">
        <v>46</v>
      </c>
      <c r="L97" s="48" t="s">
        <v>46</v>
      </c>
    </row>
    <row r="98" spans="1:12" x14ac:dyDescent="0.25">
      <c r="A98" s="7" t="s">
        <v>211</v>
      </c>
      <c r="B98" s="64">
        <v>1.8</v>
      </c>
      <c r="C98" s="64" t="s">
        <v>46</v>
      </c>
      <c r="D98" s="64" t="s">
        <v>46</v>
      </c>
      <c r="E98" s="64" t="s">
        <v>46</v>
      </c>
      <c r="F98" s="64" t="s">
        <v>46</v>
      </c>
      <c r="G98" s="64" t="s">
        <v>46</v>
      </c>
      <c r="H98" s="64" t="s">
        <v>46</v>
      </c>
      <c r="I98" s="64">
        <v>0.6</v>
      </c>
      <c r="J98" s="64">
        <v>0.6</v>
      </c>
      <c r="K98" s="64">
        <v>0.6</v>
      </c>
      <c r="L98" s="64">
        <v>0.6</v>
      </c>
    </row>
    <row r="99" spans="1:12" x14ac:dyDescent="0.25">
      <c r="A99" s="7" t="s">
        <v>213</v>
      </c>
      <c r="B99" s="64" t="s">
        <v>46</v>
      </c>
      <c r="C99" s="64" t="s">
        <v>46</v>
      </c>
      <c r="D99" s="64" t="s">
        <v>46</v>
      </c>
      <c r="E99" s="64" t="s">
        <v>46</v>
      </c>
      <c r="F99" s="64" t="s">
        <v>46</v>
      </c>
      <c r="G99" s="64">
        <v>0.6</v>
      </c>
      <c r="H99" s="64">
        <v>0.5</v>
      </c>
      <c r="I99" s="64" t="s">
        <v>46</v>
      </c>
      <c r="J99" s="64" t="s">
        <v>46</v>
      </c>
      <c r="K99" s="64" t="s">
        <v>46</v>
      </c>
      <c r="L99" s="64" t="s">
        <v>46</v>
      </c>
    </row>
    <row r="100" spans="1:12" x14ac:dyDescent="0.25">
      <c r="A100" s="7" t="s">
        <v>53</v>
      </c>
      <c r="B100" s="64">
        <v>1.2</v>
      </c>
      <c r="C100" s="64">
        <v>1</v>
      </c>
      <c r="D100" s="64">
        <v>1</v>
      </c>
      <c r="E100" s="64">
        <v>0.9</v>
      </c>
      <c r="F100" s="64">
        <v>0.9</v>
      </c>
      <c r="G100" s="64">
        <v>1.1000000000000001</v>
      </c>
      <c r="H100" s="64">
        <v>0.8</v>
      </c>
      <c r="I100" s="64">
        <v>0.7</v>
      </c>
      <c r="J100" s="64">
        <v>0.6</v>
      </c>
      <c r="K100" s="64">
        <v>0.4</v>
      </c>
      <c r="L100" s="64">
        <v>0.3</v>
      </c>
    </row>
    <row r="101" spans="1:12" x14ac:dyDescent="0.25">
      <c r="A101" s="7" t="s">
        <v>216</v>
      </c>
      <c r="B101" s="64">
        <v>11.3</v>
      </c>
      <c r="C101" s="64">
        <v>7.4</v>
      </c>
      <c r="D101" s="64">
        <v>6.6</v>
      </c>
      <c r="E101" s="64">
        <v>5.0999999999999996</v>
      </c>
      <c r="F101" s="64">
        <v>4.5999999999999996</v>
      </c>
      <c r="G101" s="64">
        <v>4.8</v>
      </c>
      <c r="H101" s="64">
        <v>4.8</v>
      </c>
      <c r="I101" s="64">
        <v>4.9000000000000004</v>
      </c>
      <c r="J101" s="64">
        <v>4.8</v>
      </c>
      <c r="K101" s="64">
        <v>3.6</v>
      </c>
      <c r="L101" s="64">
        <v>2.6</v>
      </c>
    </row>
    <row r="102" spans="1:12" x14ac:dyDescent="0.25">
      <c r="A102" s="7" t="s">
        <v>218</v>
      </c>
      <c r="B102" s="64">
        <v>1.7</v>
      </c>
      <c r="C102" s="64">
        <v>4.8</v>
      </c>
      <c r="D102" s="64">
        <v>1.7</v>
      </c>
      <c r="E102" s="64">
        <v>2.4</v>
      </c>
      <c r="F102" s="64">
        <v>1.3</v>
      </c>
      <c r="G102" s="64">
        <v>0.8</v>
      </c>
      <c r="H102" s="64">
        <v>0.7</v>
      </c>
      <c r="I102" s="64">
        <v>0.6</v>
      </c>
      <c r="J102" s="64">
        <v>0.7</v>
      </c>
      <c r="K102" s="64">
        <v>1.6</v>
      </c>
      <c r="L102" s="64">
        <v>1.3</v>
      </c>
    </row>
    <row r="103" spans="1:12" x14ac:dyDescent="0.25">
      <c r="A103" s="7" t="s">
        <v>220</v>
      </c>
      <c r="B103" s="64" t="s">
        <v>46</v>
      </c>
      <c r="C103" s="64" t="s">
        <v>46</v>
      </c>
      <c r="D103" s="64">
        <v>216</v>
      </c>
      <c r="E103" s="64">
        <v>138.4</v>
      </c>
      <c r="F103" s="64">
        <v>61.9</v>
      </c>
      <c r="G103" s="64" t="s">
        <v>46</v>
      </c>
      <c r="H103" s="64" t="s">
        <v>46</v>
      </c>
      <c r="I103" s="64" t="s">
        <v>46</v>
      </c>
      <c r="J103" s="64" t="s">
        <v>46</v>
      </c>
      <c r="K103" s="64" t="s">
        <v>46</v>
      </c>
      <c r="L103" s="64" t="s">
        <v>46</v>
      </c>
    </row>
    <row r="104" spans="1:12" x14ac:dyDescent="0.25">
      <c r="A104" s="7" t="s">
        <v>222</v>
      </c>
      <c r="B104" s="64">
        <v>256.60000000000002</v>
      </c>
      <c r="C104" s="64" t="s">
        <v>46</v>
      </c>
      <c r="D104" s="64" t="s">
        <v>46</v>
      </c>
      <c r="E104" s="64">
        <v>18.899999999999999</v>
      </c>
      <c r="F104" s="64">
        <v>19.8</v>
      </c>
      <c r="G104" s="64">
        <v>16.7</v>
      </c>
      <c r="H104" s="64">
        <v>16.3</v>
      </c>
      <c r="I104" s="64">
        <v>29.8</v>
      </c>
      <c r="J104" s="64">
        <v>17.8</v>
      </c>
      <c r="K104" s="64">
        <v>41.1</v>
      </c>
      <c r="L104" s="64">
        <v>160.4</v>
      </c>
    </row>
    <row r="105" spans="1:12" x14ac:dyDescent="0.25">
      <c r="A105" s="7" t="s">
        <v>224</v>
      </c>
      <c r="B105" s="64">
        <v>14.9</v>
      </c>
      <c r="C105" s="64" t="s">
        <v>46</v>
      </c>
      <c r="D105" s="64" t="s">
        <v>46</v>
      </c>
      <c r="E105" s="64">
        <v>252.6</v>
      </c>
      <c r="F105" s="64">
        <v>201.5</v>
      </c>
      <c r="G105" s="64">
        <v>200.6</v>
      </c>
      <c r="H105" s="64">
        <v>0.8</v>
      </c>
      <c r="I105" s="64">
        <v>250.6</v>
      </c>
      <c r="J105" s="64">
        <v>77.099999999999994</v>
      </c>
      <c r="K105" s="64">
        <v>83.5</v>
      </c>
      <c r="L105" s="64">
        <v>97.7</v>
      </c>
    </row>
    <row r="106" spans="1:12" x14ac:dyDescent="0.25">
      <c r="A106" s="7" t="s">
        <v>226</v>
      </c>
      <c r="B106" s="64">
        <v>100.2</v>
      </c>
      <c r="C106" s="64" t="s">
        <v>46</v>
      </c>
      <c r="D106" s="64">
        <v>252.3</v>
      </c>
      <c r="E106" s="64">
        <v>3.7</v>
      </c>
      <c r="F106" s="64">
        <v>0.8</v>
      </c>
      <c r="G106" s="64">
        <v>0.7</v>
      </c>
      <c r="H106" s="64">
        <v>250.9</v>
      </c>
      <c r="I106" s="64">
        <v>0.4</v>
      </c>
      <c r="J106" s="64">
        <v>576.79999999999995</v>
      </c>
      <c r="K106" s="64">
        <v>219.9</v>
      </c>
      <c r="L106" s="64">
        <v>341.1</v>
      </c>
    </row>
    <row r="107" spans="1:12" x14ac:dyDescent="0.25">
      <c r="A107" s="7" t="s">
        <v>228</v>
      </c>
      <c r="B107" s="64">
        <v>0.3</v>
      </c>
      <c r="C107" s="64" t="s">
        <v>46</v>
      </c>
      <c r="D107" s="64">
        <v>1.3</v>
      </c>
      <c r="E107" s="64">
        <v>201.2</v>
      </c>
      <c r="F107" s="64">
        <v>250.9</v>
      </c>
      <c r="G107" s="64">
        <v>250.7</v>
      </c>
      <c r="H107" s="64">
        <v>0.9</v>
      </c>
      <c r="I107" s="64">
        <v>0.2</v>
      </c>
      <c r="J107" s="64">
        <v>326.8</v>
      </c>
      <c r="K107" s="64">
        <v>340.4</v>
      </c>
      <c r="L107" s="64">
        <v>864.2</v>
      </c>
    </row>
    <row r="108" spans="1:12" x14ac:dyDescent="0.25">
      <c r="A108" s="7" t="s">
        <v>230</v>
      </c>
      <c r="B108" s="64">
        <v>251.3</v>
      </c>
      <c r="C108" s="64" t="s">
        <v>46</v>
      </c>
      <c r="D108" s="64">
        <v>200.5</v>
      </c>
      <c r="E108" s="64">
        <v>0.7</v>
      </c>
      <c r="F108" s="64">
        <v>1</v>
      </c>
      <c r="G108" s="64">
        <v>0.8</v>
      </c>
      <c r="H108" s="64">
        <v>0.7</v>
      </c>
      <c r="I108" s="64">
        <v>250.2</v>
      </c>
      <c r="J108" s="64">
        <v>1182.5999999999999</v>
      </c>
      <c r="K108" s="64">
        <v>1101.7</v>
      </c>
      <c r="L108" s="64">
        <v>257.8</v>
      </c>
    </row>
    <row r="109" spans="1:12" x14ac:dyDescent="0.25">
      <c r="A109" s="7" t="s">
        <v>232</v>
      </c>
      <c r="B109" s="64">
        <v>1.3</v>
      </c>
      <c r="C109" s="64" t="s">
        <v>46</v>
      </c>
      <c r="D109" s="64">
        <v>0.5</v>
      </c>
      <c r="E109" s="64">
        <v>250.8</v>
      </c>
      <c r="F109" s="64" t="s">
        <v>46</v>
      </c>
      <c r="G109" s="64" t="s">
        <v>46</v>
      </c>
      <c r="H109" s="64" t="s">
        <v>46</v>
      </c>
      <c r="I109" s="64" t="s">
        <v>46</v>
      </c>
      <c r="J109" s="64" t="s">
        <v>46</v>
      </c>
      <c r="K109" s="64">
        <v>257.7</v>
      </c>
      <c r="L109" s="64">
        <v>763.1</v>
      </c>
    </row>
    <row r="110" spans="1:12" x14ac:dyDescent="0.25">
      <c r="A110" s="7" t="s">
        <v>234</v>
      </c>
      <c r="B110" s="64">
        <v>508.5</v>
      </c>
      <c r="C110" s="64" t="s">
        <v>46</v>
      </c>
      <c r="D110" s="64" t="s">
        <v>46</v>
      </c>
      <c r="E110" s="64" t="s">
        <v>46</v>
      </c>
      <c r="F110" s="64" t="s">
        <v>46</v>
      </c>
      <c r="G110" s="64">
        <v>559.5</v>
      </c>
      <c r="H110" s="64">
        <v>808.1</v>
      </c>
      <c r="I110" s="64">
        <v>561.79999999999995</v>
      </c>
      <c r="J110" s="64">
        <v>2317</v>
      </c>
      <c r="K110" s="64">
        <v>2168.6</v>
      </c>
      <c r="L110" s="64">
        <v>1402.7</v>
      </c>
    </row>
    <row r="111" spans="1:12" x14ac:dyDescent="0.25">
      <c r="A111" s="7" t="s">
        <v>236</v>
      </c>
      <c r="B111" s="64">
        <v>889.9</v>
      </c>
      <c r="C111" s="64" t="s">
        <v>46</v>
      </c>
      <c r="D111" s="64">
        <v>1035.0999999999999</v>
      </c>
      <c r="E111" s="64">
        <v>1031.5</v>
      </c>
      <c r="F111" s="64">
        <v>1021.5</v>
      </c>
      <c r="G111" s="64">
        <v>1015.3</v>
      </c>
      <c r="H111" s="64">
        <v>1256.2</v>
      </c>
      <c r="I111" s="64">
        <v>1056.9000000000001</v>
      </c>
      <c r="J111" s="64">
        <v>4769.5</v>
      </c>
      <c r="K111" s="64">
        <v>4136.3999999999996</v>
      </c>
      <c r="L111" s="64">
        <v>3723.5</v>
      </c>
    </row>
    <row r="112" spans="1:12" x14ac:dyDescent="0.25">
      <c r="A112" s="7" t="s">
        <v>238</v>
      </c>
      <c r="B112" s="64">
        <v>875</v>
      </c>
      <c r="C112" s="64" t="s">
        <v>46</v>
      </c>
      <c r="D112" s="64">
        <v>1029.7</v>
      </c>
      <c r="E112" s="64">
        <v>779.2</v>
      </c>
      <c r="F112" s="64">
        <v>1019</v>
      </c>
      <c r="G112" s="64" t="s">
        <v>46</v>
      </c>
      <c r="H112" s="64" t="s">
        <v>46</v>
      </c>
      <c r="I112" s="64" t="s">
        <v>46</v>
      </c>
      <c r="J112" s="64" t="s">
        <v>46</v>
      </c>
      <c r="K112" s="64" t="s">
        <v>46</v>
      </c>
      <c r="L112" s="64" t="s">
        <v>46</v>
      </c>
    </row>
    <row r="113" spans="1:12" x14ac:dyDescent="0.25">
      <c r="A113" s="7" t="s">
        <v>240</v>
      </c>
      <c r="B113" s="64">
        <v>0</v>
      </c>
      <c r="C113" s="64" t="s">
        <v>46</v>
      </c>
      <c r="D113" s="64">
        <v>1.9056999999999999</v>
      </c>
      <c r="E113" s="64">
        <v>2.3552</v>
      </c>
      <c r="F113" s="64">
        <v>3.3719999999999999</v>
      </c>
      <c r="G113" s="64">
        <v>3.5876999999999999</v>
      </c>
      <c r="H113" s="64">
        <v>1.859</v>
      </c>
      <c r="I113" s="64">
        <v>2.5625</v>
      </c>
      <c r="J113" s="64">
        <v>1.4337</v>
      </c>
      <c r="K113" s="64">
        <v>0.53110000000000002</v>
      </c>
      <c r="L113" s="64">
        <v>0.65539999999999998</v>
      </c>
    </row>
    <row r="114" spans="1:12" x14ac:dyDescent="0.25">
      <c r="A114" s="7" t="s">
        <v>242</v>
      </c>
      <c r="B114" s="64">
        <v>0</v>
      </c>
      <c r="C114" s="64" t="s">
        <v>46</v>
      </c>
      <c r="D114" s="64">
        <v>89.3</v>
      </c>
      <c r="E114" s="64">
        <v>132.19999999999999</v>
      </c>
      <c r="F114" s="64" t="s">
        <v>46</v>
      </c>
      <c r="G114" s="64" t="s">
        <v>46</v>
      </c>
      <c r="H114" s="64" t="s">
        <v>46</v>
      </c>
      <c r="I114" s="64" t="s">
        <v>46</v>
      </c>
      <c r="J114" s="64" t="s">
        <v>46</v>
      </c>
      <c r="K114" s="64" t="s">
        <v>46</v>
      </c>
      <c r="L114" s="64" t="s">
        <v>46</v>
      </c>
    </row>
    <row r="115" spans="1:12" x14ac:dyDescent="0.25">
      <c r="A115" s="7" t="s">
        <v>244</v>
      </c>
      <c r="B115" s="64">
        <v>0.4</v>
      </c>
      <c r="C115" s="64" t="s">
        <v>46</v>
      </c>
      <c r="D115" s="64">
        <v>0.2</v>
      </c>
      <c r="E115" s="64" t="s">
        <v>46</v>
      </c>
      <c r="F115" s="64" t="s">
        <v>46</v>
      </c>
      <c r="G115" s="64" t="s">
        <v>46</v>
      </c>
      <c r="H115" s="64" t="s">
        <v>46</v>
      </c>
      <c r="I115" s="64" t="s">
        <v>46</v>
      </c>
      <c r="J115" s="64" t="s">
        <v>46</v>
      </c>
      <c r="K115" s="64" t="s">
        <v>46</v>
      </c>
      <c r="L115" s="64" t="s">
        <v>46</v>
      </c>
    </row>
    <row r="116" spans="1:12" x14ac:dyDescent="0.25">
      <c r="A116" s="7" t="s">
        <v>246</v>
      </c>
      <c r="B116" s="64">
        <v>53.1</v>
      </c>
      <c r="C116" s="64">
        <v>63.8</v>
      </c>
      <c r="D116" s="64">
        <v>66.2</v>
      </c>
      <c r="E116" s="64">
        <v>92.6</v>
      </c>
      <c r="F116" s="64">
        <v>76.3</v>
      </c>
      <c r="G116" s="64">
        <v>85.8</v>
      </c>
      <c r="H116" s="64">
        <v>121.1</v>
      </c>
      <c r="I116" s="64">
        <v>128.6</v>
      </c>
      <c r="J116" s="64">
        <v>194.3</v>
      </c>
      <c r="K116" s="64">
        <v>99.4</v>
      </c>
      <c r="L116" s="64">
        <v>158.1</v>
      </c>
    </row>
    <row r="117" spans="1:12" x14ac:dyDescent="0.25">
      <c r="A117" s="7" t="s">
        <v>248</v>
      </c>
      <c r="B117" s="64">
        <v>59.3</v>
      </c>
      <c r="C117" s="64">
        <v>72.2</v>
      </c>
      <c r="D117" s="64">
        <v>80.7</v>
      </c>
      <c r="E117" s="64">
        <v>90.1</v>
      </c>
      <c r="F117" s="64">
        <v>103.4</v>
      </c>
      <c r="G117" s="64">
        <v>116.8</v>
      </c>
      <c r="H117" s="64">
        <v>110</v>
      </c>
      <c r="I117" s="64">
        <v>110.9</v>
      </c>
      <c r="J117" s="64">
        <v>132.19999999999999</v>
      </c>
      <c r="K117" s="64">
        <v>122.4</v>
      </c>
      <c r="L117" s="64">
        <v>149.1</v>
      </c>
    </row>
    <row r="118" spans="1:12" x14ac:dyDescent="0.25">
      <c r="A118" s="7" t="s">
        <v>250</v>
      </c>
      <c r="B118" s="64" t="s">
        <v>46</v>
      </c>
      <c r="C118" s="64" t="s">
        <v>46</v>
      </c>
      <c r="D118" s="64" t="s">
        <v>46</v>
      </c>
      <c r="E118" s="64" t="s">
        <v>46</v>
      </c>
      <c r="F118" s="64" t="s">
        <v>46</v>
      </c>
      <c r="G118" s="64" t="s">
        <v>46</v>
      </c>
      <c r="H118" s="64">
        <v>0</v>
      </c>
      <c r="I118" s="64" t="s">
        <v>46</v>
      </c>
      <c r="J118" s="64">
        <v>0</v>
      </c>
      <c r="K118" s="64" t="s">
        <v>46</v>
      </c>
      <c r="L118" s="64" t="s">
        <v>46</v>
      </c>
    </row>
    <row r="119" spans="1:12" x14ac:dyDescent="0.25">
      <c r="A119" s="7" t="s">
        <v>252</v>
      </c>
      <c r="B119" s="64">
        <v>112.4</v>
      </c>
      <c r="C119" s="64">
        <v>136</v>
      </c>
      <c r="D119" s="64">
        <v>146.9</v>
      </c>
      <c r="E119" s="64">
        <v>182.7</v>
      </c>
      <c r="F119" s="64">
        <v>179.7</v>
      </c>
      <c r="G119" s="64">
        <v>202.6</v>
      </c>
      <c r="H119" s="64">
        <v>231.1</v>
      </c>
      <c r="I119" s="64">
        <v>239.5</v>
      </c>
      <c r="J119" s="64">
        <v>326.5</v>
      </c>
      <c r="K119" s="64">
        <v>221.8</v>
      </c>
      <c r="L119" s="64">
        <v>307.2</v>
      </c>
    </row>
    <row r="120" spans="1:12" x14ac:dyDescent="0.25">
      <c r="A120" s="7" t="s">
        <v>254</v>
      </c>
      <c r="B120" s="64" t="s">
        <v>46</v>
      </c>
      <c r="C120" s="64" t="s">
        <v>46</v>
      </c>
      <c r="D120" s="64" t="s">
        <v>46</v>
      </c>
      <c r="E120" s="64" t="s">
        <v>46</v>
      </c>
      <c r="F120" s="64" t="s">
        <v>46</v>
      </c>
      <c r="G120" s="64">
        <v>0</v>
      </c>
      <c r="H120" s="64">
        <v>0</v>
      </c>
      <c r="I120" s="64">
        <v>0</v>
      </c>
      <c r="J120" s="64">
        <v>0</v>
      </c>
      <c r="K120" s="64">
        <v>0</v>
      </c>
      <c r="L120" s="64">
        <v>0</v>
      </c>
    </row>
    <row r="121" spans="1:12" x14ac:dyDescent="0.25">
      <c r="A121" s="7" t="s">
        <v>256</v>
      </c>
      <c r="B121" s="64">
        <v>957.6</v>
      </c>
      <c r="C121" s="64">
        <v>2.8</v>
      </c>
      <c r="D121" s="64">
        <v>0.4</v>
      </c>
      <c r="E121" s="64">
        <v>2</v>
      </c>
      <c r="F121" s="64">
        <v>1.6</v>
      </c>
      <c r="G121" s="64">
        <v>1.4</v>
      </c>
      <c r="H121" s="64">
        <v>1.3</v>
      </c>
      <c r="I121" s="64">
        <v>6.6</v>
      </c>
      <c r="J121" s="64">
        <v>7.2</v>
      </c>
      <c r="K121" s="64">
        <v>12.8</v>
      </c>
      <c r="L121" s="64">
        <v>3.6</v>
      </c>
    </row>
    <row r="122" spans="1:12" x14ac:dyDescent="0.25">
      <c r="A122" s="7" t="s">
        <v>258</v>
      </c>
      <c r="B122" s="64" t="s">
        <v>46</v>
      </c>
      <c r="C122" s="64" t="s">
        <v>46</v>
      </c>
      <c r="D122" s="64" t="s">
        <v>46</v>
      </c>
      <c r="E122" s="64" t="s">
        <v>46</v>
      </c>
      <c r="F122" s="64" t="s">
        <v>46</v>
      </c>
      <c r="G122" s="64" t="s">
        <v>46</v>
      </c>
      <c r="H122" s="64">
        <v>27.1</v>
      </c>
      <c r="I122" s="64">
        <v>28.9</v>
      </c>
      <c r="J122" s="64">
        <v>0</v>
      </c>
      <c r="K122" s="64" t="s">
        <v>46</v>
      </c>
      <c r="L122" s="64" t="s">
        <v>46</v>
      </c>
    </row>
    <row r="123" spans="1:12" x14ac:dyDescent="0.25">
      <c r="A123" s="7" t="s">
        <v>260</v>
      </c>
      <c r="B123" s="64">
        <v>957.6</v>
      </c>
      <c r="C123" s="64">
        <v>2.8</v>
      </c>
      <c r="D123" s="64">
        <v>0.4</v>
      </c>
      <c r="E123" s="64">
        <v>2</v>
      </c>
      <c r="F123" s="64">
        <v>1.6</v>
      </c>
      <c r="G123" s="64">
        <v>1.4</v>
      </c>
      <c r="H123" s="64">
        <v>28.4</v>
      </c>
      <c r="I123" s="64">
        <v>35.5</v>
      </c>
      <c r="J123" s="64">
        <v>7.2</v>
      </c>
      <c r="K123" s="64">
        <v>12.8</v>
      </c>
      <c r="L123" s="64">
        <v>3.6</v>
      </c>
    </row>
    <row r="124" spans="1:12" x14ac:dyDescent="0.25">
      <c r="A124" s="7" t="s">
        <v>262</v>
      </c>
      <c r="B124" s="64">
        <v>0.1</v>
      </c>
      <c r="C124" s="64">
        <v>0.1</v>
      </c>
      <c r="D124" s="64">
        <v>0.1</v>
      </c>
      <c r="E124" s="64">
        <v>0</v>
      </c>
      <c r="F124" s="64">
        <v>0.1</v>
      </c>
      <c r="G124" s="64">
        <v>0.1</v>
      </c>
      <c r="H124" s="64">
        <v>0.1</v>
      </c>
      <c r="I124" s="64">
        <v>0</v>
      </c>
      <c r="J124" s="64" t="s">
        <v>46</v>
      </c>
      <c r="K124" s="64" t="s">
        <v>46</v>
      </c>
      <c r="L124" s="64" t="s">
        <v>46</v>
      </c>
    </row>
    <row r="125" spans="1:12" x14ac:dyDescent="0.25">
      <c r="A125" s="7" t="s">
        <v>264</v>
      </c>
      <c r="B125" s="64">
        <v>439.3</v>
      </c>
      <c r="C125" s="64">
        <v>460.4</v>
      </c>
      <c r="D125" s="64">
        <v>664.5</v>
      </c>
      <c r="E125" s="64">
        <v>712.6</v>
      </c>
      <c r="F125" s="64">
        <v>641.79999999999995</v>
      </c>
      <c r="G125" s="64">
        <v>731.1</v>
      </c>
      <c r="H125" s="64">
        <v>839.6</v>
      </c>
      <c r="I125" s="64">
        <v>950.9</v>
      </c>
      <c r="J125" s="64">
        <v>1258.7</v>
      </c>
      <c r="K125" s="64">
        <v>1383.4</v>
      </c>
      <c r="L125" s="64">
        <v>1427.2</v>
      </c>
    </row>
    <row r="126" spans="1:12" x14ac:dyDescent="0.25">
      <c r="A126" s="7" t="s">
        <v>266</v>
      </c>
      <c r="B126" s="64">
        <v>215.3</v>
      </c>
      <c r="C126" s="64">
        <v>363.2</v>
      </c>
      <c r="D126" s="64">
        <v>384.2</v>
      </c>
      <c r="E126" s="64">
        <v>312.5</v>
      </c>
      <c r="F126" s="64">
        <v>323.10000000000002</v>
      </c>
      <c r="G126" s="64">
        <v>310.89999999999998</v>
      </c>
      <c r="H126" s="64">
        <v>398.3</v>
      </c>
      <c r="I126" s="64">
        <v>388.8</v>
      </c>
      <c r="J126" s="64">
        <v>992.9</v>
      </c>
      <c r="K126" s="64">
        <v>904.7</v>
      </c>
      <c r="L126" s="64">
        <v>1514.7</v>
      </c>
    </row>
    <row r="127" spans="1:12" x14ac:dyDescent="0.25">
      <c r="A127" s="7" t="s">
        <v>268</v>
      </c>
      <c r="B127" s="64">
        <v>335.7</v>
      </c>
      <c r="C127" s="64">
        <v>271.10000000000002</v>
      </c>
      <c r="D127" s="64">
        <v>293.3</v>
      </c>
      <c r="E127" s="64">
        <v>328</v>
      </c>
      <c r="F127" s="64">
        <v>339.3</v>
      </c>
      <c r="G127" s="64">
        <v>325</v>
      </c>
      <c r="H127" s="64">
        <v>82.4</v>
      </c>
      <c r="I127" s="64">
        <v>331.6</v>
      </c>
      <c r="J127" s="64">
        <v>1779.3</v>
      </c>
      <c r="K127" s="64">
        <v>1583.4</v>
      </c>
      <c r="L127" s="64">
        <v>1220.5</v>
      </c>
    </row>
    <row r="128" spans="1:12" x14ac:dyDescent="0.25">
      <c r="A128" s="7" t="s">
        <v>270</v>
      </c>
      <c r="B128" s="64">
        <v>627.5</v>
      </c>
      <c r="C128" s="64">
        <v>410.7</v>
      </c>
      <c r="D128" s="64">
        <v>695</v>
      </c>
      <c r="E128" s="64">
        <v>398.2</v>
      </c>
      <c r="F128" s="64">
        <v>668.7</v>
      </c>
      <c r="G128" s="64">
        <v>654.79999999999995</v>
      </c>
      <c r="H128" s="64">
        <v>925.6</v>
      </c>
      <c r="I128" s="64">
        <v>646.6</v>
      </c>
      <c r="J128" s="64">
        <v>2879.3</v>
      </c>
      <c r="K128" s="64">
        <v>2640.7</v>
      </c>
      <c r="L128" s="64">
        <v>1839.8</v>
      </c>
    </row>
    <row r="129" spans="1:12" x14ac:dyDescent="0.25">
      <c r="A129" s="7" t="s">
        <v>272</v>
      </c>
      <c r="B129" s="64">
        <v>1617.8</v>
      </c>
      <c r="C129" s="64">
        <v>1505.5</v>
      </c>
      <c r="D129" s="64">
        <v>2037</v>
      </c>
      <c r="E129" s="64">
        <v>1751.3</v>
      </c>
      <c r="F129" s="64">
        <v>1972.9</v>
      </c>
      <c r="G129" s="64">
        <v>2021.8</v>
      </c>
      <c r="H129" s="64">
        <v>2245.9</v>
      </c>
      <c r="I129" s="64">
        <v>2317.9</v>
      </c>
      <c r="J129" s="64">
        <v>6910.2</v>
      </c>
      <c r="K129" s="64">
        <v>6512.2</v>
      </c>
      <c r="L129" s="64">
        <v>6002.2</v>
      </c>
    </row>
    <row r="130" spans="1:12" x14ac:dyDescent="0.25">
      <c r="A130" s="7" t="s">
        <v>274</v>
      </c>
      <c r="B130" s="64">
        <v>28.4</v>
      </c>
      <c r="C130" s="64">
        <v>27.2</v>
      </c>
      <c r="D130" s="64" t="s">
        <v>46</v>
      </c>
      <c r="E130" s="64" t="s">
        <v>46</v>
      </c>
      <c r="F130" s="64" t="s">
        <v>46</v>
      </c>
      <c r="G130" s="64" t="s">
        <v>46</v>
      </c>
      <c r="H130" s="64" t="s">
        <v>46</v>
      </c>
      <c r="I130" s="64" t="s">
        <v>46</v>
      </c>
      <c r="J130" s="64" t="s">
        <v>46</v>
      </c>
      <c r="K130" s="64" t="s">
        <v>46</v>
      </c>
      <c r="L130" s="64" t="s">
        <v>46</v>
      </c>
    </row>
    <row r="131" spans="1:12" x14ac:dyDescent="0.25">
      <c r="A131" s="7" t="s">
        <v>276</v>
      </c>
      <c r="B131" s="64">
        <v>16</v>
      </c>
      <c r="C131" s="64">
        <v>17.5</v>
      </c>
      <c r="D131" s="64" t="s">
        <v>46</v>
      </c>
      <c r="E131" s="64" t="s">
        <v>46</v>
      </c>
      <c r="F131" s="64" t="s">
        <v>46</v>
      </c>
      <c r="G131" s="64" t="s">
        <v>46</v>
      </c>
      <c r="H131" s="64" t="s">
        <v>46</v>
      </c>
      <c r="I131" s="64" t="s">
        <v>46</v>
      </c>
      <c r="J131" s="64" t="s">
        <v>46</v>
      </c>
      <c r="K131" s="64" t="s">
        <v>46</v>
      </c>
      <c r="L131" s="64" t="s">
        <v>46</v>
      </c>
    </row>
    <row r="132" spans="1:12" x14ac:dyDescent="0.25">
      <c r="A132" s="7" t="s">
        <v>278</v>
      </c>
      <c r="B132" s="64">
        <v>100.5</v>
      </c>
      <c r="C132" s="64" t="s">
        <v>46</v>
      </c>
      <c r="D132" s="64" t="s">
        <v>46</v>
      </c>
      <c r="E132" s="64" t="s">
        <v>46</v>
      </c>
      <c r="F132" s="64" t="s">
        <v>46</v>
      </c>
      <c r="G132" s="64" t="s">
        <v>46</v>
      </c>
      <c r="H132" s="64" t="s">
        <v>46</v>
      </c>
      <c r="I132" s="64" t="s">
        <v>46</v>
      </c>
      <c r="J132" s="64" t="s">
        <v>46</v>
      </c>
      <c r="K132" s="64" t="s">
        <v>46</v>
      </c>
      <c r="L132" s="64" t="s">
        <v>46</v>
      </c>
    </row>
    <row r="133" spans="1:12" x14ac:dyDescent="0.25">
      <c r="A133" s="7" t="s">
        <v>280</v>
      </c>
      <c r="B133" s="64">
        <v>252.6</v>
      </c>
      <c r="C133" s="64" t="s">
        <v>46</v>
      </c>
      <c r="D133" s="64" t="s">
        <v>46</v>
      </c>
      <c r="E133" s="64" t="s">
        <v>46</v>
      </c>
      <c r="F133" s="64" t="s">
        <v>46</v>
      </c>
      <c r="G133" s="64" t="s">
        <v>46</v>
      </c>
      <c r="H133" s="64" t="s">
        <v>46</v>
      </c>
      <c r="I133" s="64" t="s">
        <v>46</v>
      </c>
      <c r="J133" s="64" t="s">
        <v>46</v>
      </c>
      <c r="K133" s="64" t="s">
        <v>46</v>
      </c>
      <c r="L133" s="64" t="s">
        <v>46</v>
      </c>
    </row>
    <row r="134" spans="1:12" x14ac:dyDescent="0.25">
      <c r="A134" s="7" t="s">
        <v>282</v>
      </c>
      <c r="B134" s="64">
        <v>3.4</v>
      </c>
      <c r="C134" s="64">
        <v>1.3</v>
      </c>
      <c r="D134" s="64" t="s">
        <v>46</v>
      </c>
      <c r="E134" s="64" t="s">
        <v>46</v>
      </c>
      <c r="F134" s="64" t="s">
        <v>46</v>
      </c>
      <c r="G134" s="64" t="s">
        <v>46</v>
      </c>
      <c r="H134" s="64" t="s">
        <v>46</v>
      </c>
      <c r="I134" s="64" t="s">
        <v>46</v>
      </c>
      <c r="J134" s="64" t="s">
        <v>46</v>
      </c>
      <c r="K134" s="64" t="s">
        <v>46</v>
      </c>
      <c r="L134" s="64" t="s">
        <v>46</v>
      </c>
    </row>
    <row r="135" spans="1:12" x14ac:dyDescent="0.25">
      <c r="A135" s="7" t="s">
        <v>284</v>
      </c>
      <c r="B135" s="64">
        <v>5.04</v>
      </c>
      <c r="C135" s="64">
        <v>6.88</v>
      </c>
      <c r="D135" s="64">
        <v>7.99</v>
      </c>
      <c r="E135" s="64">
        <v>7.17</v>
      </c>
      <c r="F135" s="64" t="s">
        <v>46</v>
      </c>
      <c r="G135" s="64">
        <v>9.48</v>
      </c>
      <c r="H135" s="64">
        <v>12.52</v>
      </c>
      <c r="I135" s="64">
        <v>17.5</v>
      </c>
      <c r="J135" s="64">
        <v>17.61</v>
      </c>
      <c r="K135" s="64">
        <v>20.3</v>
      </c>
      <c r="L135" s="64">
        <v>27.51</v>
      </c>
    </row>
    <row r="136" spans="1:12" x14ac:dyDescent="0.25">
      <c r="A136" s="7" t="s">
        <v>286</v>
      </c>
      <c r="B136" s="64" t="s">
        <v>46</v>
      </c>
      <c r="C136" s="64">
        <v>2</v>
      </c>
      <c r="D136" s="64">
        <v>1.8</v>
      </c>
      <c r="E136" s="64">
        <v>1.1499999999999999</v>
      </c>
      <c r="F136" s="64">
        <v>0.95</v>
      </c>
      <c r="G136" s="64" t="s">
        <v>46</v>
      </c>
      <c r="H136" s="64" t="s">
        <v>46</v>
      </c>
      <c r="I136" s="64" t="s">
        <v>46</v>
      </c>
      <c r="J136" s="64" t="s">
        <v>46</v>
      </c>
      <c r="K136" s="64" t="s">
        <v>46</v>
      </c>
      <c r="L136" s="64" t="s">
        <v>46</v>
      </c>
    </row>
    <row r="137" spans="1:12" x14ac:dyDescent="0.25">
      <c r="A137" s="7" t="s">
        <v>288</v>
      </c>
      <c r="B137" s="64">
        <v>6.2</v>
      </c>
      <c r="C137" s="64">
        <v>6.2</v>
      </c>
      <c r="D137" s="64">
        <v>6.4</v>
      </c>
      <c r="E137" s="64">
        <v>6.1</v>
      </c>
      <c r="F137" s="64">
        <v>6.2</v>
      </c>
      <c r="G137" s="64">
        <v>5.8</v>
      </c>
      <c r="H137" s="64">
        <v>7.7</v>
      </c>
      <c r="I137" s="64">
        <v>7.6</v>
      </c>
      <c r="J137" s="64">
        <v>7.6</v>
      </c>
      <c r="K137" s="64">
        <v>7.6</v>
      </c>
      <c r="L137" s="64">
        <v>7.5</v>
      </c>
    </row>
    <row r="138" spans="1:12" x14ac:dyDescent="0.25">
      <c r="A138" s="7" t="s">
        <v>290</v>
      </c>
      <c r="B138" s="64">
        <v>24.9</v>
      </c>
      <c r="C138" s="64">
        <v>22.3</v>
      </c>
      <c r="D138" s="64">
        <v>18.7</v>
      </c>
      <c r="E138" s="64">
        <v>19.05</v>
      </c>
      <c r="F138" s="64">
        <v>17.55</v>
      </c>
      <c r="G138" s="64">
        <v>15.6</v>
      </c>
      <c r="H138" s="64">
        <v>18.8</v>
      </c>
      <c r="I138" s="64">
        <v>18.7</v>
      </c>
      <c r="J138" s="64">
        <v>18.7</v>
      </c>
      <c r="K138" s="64">
        <v>18.399999999999999</v>
      </c>
      <c r="L138" s="64">
        <v>17.399999999999999</v>
      </c>
    </row>
    <row r="139" spans="1:12" x14ac:dyDescent="0.25">
      <c r="A139" s="7" t="s">
        <v>292</v>
      </c>
      <c r="B139" s="64">
        <v>3.2</v>
      </c>
      <c r="C139" s="64">
        <v>2.7</v>
      </c>
      <c r="D139" s="64">
        <v>2.4</v>
      </c>
      <c r="E139" s="64">
        <v>2.2999999999999998</v>
      </c>
      <c r="F139" s="64">
        <v>1.9</v>
      </c>
      <c r="G139" s="64">
        <v>2.1</v>
      </c>
      <c r="H139" s="64">
        <v>2.1</v>
      </c>
      <c r="I139" s="64">
        <v>1.7</v>
      </c>
      <c r="J139" s="64">
        <v>1.9</v>
      </c>
      <c r="K139" s="64">
        <v>2</v>
      </c>
      <c r="L139" s="64">
        <v>1.5</v>
      </c>
    </row>
    <row r="140" spans="1:12" x14ac:dyDescent="0.25">
      <c r="A140" s="7" t="s">
        <v>294</v>
      </c>
      <c r="B140" s="64">
        <v>28.97</v>
      </c>
      <c r="C140" s="64">
        <v>30.86</v>
      </c>
      <c r="D140" s="64">
        <v>34.979999999999997</v>
      </c>
      <c r="E140" s="64">
        <v>34.99</v>
      </c>
      <c r="F140" s="64">
        <v>39.619999999999997</v>
      </c>
      <c r="G140" s="64">
        <v>45.71</v>
      </c>
      <c r="H140" s="64">
        <v>51.99</v>
      </c>
      <c r="I140" s="64">
        <v>56.97</v>
      </c>
      <c r="J140" s="64">
        <v>65.34</v>
      </c>
      <c r="K140" s="64">
        <v>76.540000000000006</v>
      </c>
      <c r="L140" s="64">
        <v>86.61</v>
      </c>
    </row>
    <row r="141" spans="1:12" x14ac:dyDescent="0.25">
      <c r="A141" s="7" t="s">
        <v>296</v>
      </c>
      <c r="B141" s="64">
        <v>29.45</v>
      </c>
      <c r="C141" s="64">
        <v>32.01</v>
      </c>
      <c r="D141" s="64">
        <v>32.26</v>
      </c>
      <c r="E141" s="64">
        <v>40.06</v>
      </c>
      <c r="F141" s="64">
        <v>47.73</v>
      </c>
      <c r="G141" s="64">
        <v>54.17</v>
      </c>
      <c r="H141" s="64">
        <v>59.2</v>
      </c>
      <c r="I141" s="64">
        <v>66</v>
      </c>
      <c r="J141" s="64">
        <v>71.91</v>
      </c>
      <c r="K141" s="64">
        <v>82.6</v>
      </c>
      <c r="L141" s="64">
        <v>96.18</v>
      </c>
    </row>
    <row r="142" spans="1:12" x14ac:dyDescent="0.25">
      <c r="A142" s="7" t="s">
        <v>298</v>
      </c>
      <c r="B142" s="64">
        <v>9.5</v>
      </c>
      <c r="C142" s="64">
        <v>5.2</v>
      </c>
      <c r="D142" s="64">
        <v>4.2</v>
      </c>
      <c r="E142" s="64">
        <v>2.7</v>
      </c>
      <c r="F142" s="64">
        <v>2.7</v>
      </c>
      <c r="G142" s="64">
        <v>2.8</v>
      </c>
      <c r="H142" s="64">
        <v>3.1</v>
      </c>
      <c r="I142" s="64">
        <v>3.4</v>
      </c>
      <c r="J142" s="64">
        <v>3.8</v>
      </c>
      <c r="K142" s="64">
        <v>2.8</v>
      </c>
      <c r="L142" s="64">
        <v>1.9</v>
      </c>
    </row>
    <row r="143" spans="1:12" x14ac:dyDescent="0.25">
      <c r="A143" s="7" t="s">
        <v>300</v>
      </c>
      <c r="B143" s="64">
        <v>13.3</v>
      </c>
      <c r="C143" s="64" t="s">
        <v>46</v>
      </c>
      <c r="D143" s="64">
        <v>14.3</v>
      </c>
      <c r="E143" s="64">
        <v>12.9</v>
      </c>
      <c r="F143" s="64">
        <v>5.7</v>
      </c>
      <c r="G143" s="64">
        <v>1.8</v>
      </c>
      <c r="H143" s="64">
        <v>6.2</v>
      </c>
      <c r="I143" s="64">
        <v>9.1999999999999993</v>
      </c>
      <c r="J143" s="64">
        <v>36.4</v>
      </c>
      <c r="K143" s="64">
        <v>35.4</v>
      </c>
      <c r="L143" s="64">
        <v>3.1</v>
      </c>
    </row>
    <row r="144" spans="1:12" x14ac:dyDescent="0.25">
      <c r="A144" s="7" t="s">
        <v>302</v>
      </c>
      <c r="B144" s="64" t="s">
        <v>46</v>
      </c>
      <c r="C144" s="64">
        <v>22.9</v>
      </c>
      <c r="D144" s="64">
        <v>26.6</v>
      </c>
      <c r="E144" s="64">
        <v>27.5</v>
      </c>
      <c r="F144" s="64">
        <v>21.2</v>
      </c>
      <c r="G144" s="64">
        <v>21.8</v>
      </c>
      <c r="H144" s="64">
        <v>14.6</v>
      </c>
      <c r="I144" s="64">
        <v>10.5</v>
      </c>
      <c r="J144" s="64">
        <v>26</v>
      </c>
      <c r="K144" s="64">
        <v>32.9</v>
      </c>
      <c r="L144" s="64">
        <v>32.4</v>
      </c>
    </row>
    <row r="145" spans="1:12" x14ac:dyDescent="0.25">
      <c r="A145" s="7" t="s">
        <v>304</v>
      </c>
      <c r="B145" s="64" t="s">
        <v>46</v>
      </c>
      <c r="C145" s="64" t="s">
        <v>46</v>
      </c>
      <c r="D145" s="64">
        <v>400</v>
      </c>
      <c r="E145" s="64">
        <v>400</v>
      </c>
      <c r="F145" s="64">
        <v>800</v>
      </c>
      <c r="G145" s="64">
        <v>400</v>
      </c>
      <c r="H145" s="64">
        <v>1000</v>
      </c>
      <c r="I145" s="64">
        <v>600</v>
      </c>
      <c r="J145" s="64">
        <v>600</v>
      </c>
      <c r="K145" s="64">
        <v>600</v>
      </c>
      <c r="L145" s="64">
        <v>600</v>
      </c>
    </row>
    <row r="146" spans="1:12" x14ac:dyDescent="0.25">
      <c r="A146" s="7" t="s">
        <v>306</v>
      </c>
      <c r="B146" s="64" t="s">
        <v>46</v>
      </c>
      <c r="C146" s="64" t="s">
        <v>46</v>
      </c>
      <c r="D146" s="64">
        <v>270</v>
      </c>
      <c r="E146" s="64">
        <v>137</v>
      </c>
      <c r="F146" s="64">
        <v>360</v>
      </c>
      <c r="G146" s="64">
        <v>116</v>
      </c>
      <c r="H146" s="64">
        <v>570</v>
      </c>
      <c r="I146" s="64">
        <v>327</v>
      </c>
      <c r="J146" s="64">
        <v>189</v>
      </c>
      <c r="K146" s="64">
        <v>127</v>
      </c>
      <c r="L146" s="64">
        <v>32</v>
      </c>
    </row>
    <row r="147" spans="1:12" x14ac:dyDescent="0.25">
      <c r="A147" s="7" t="s">
        <v>308</v>
      </c>
      <c r="B147" s="64" t="s">
        <v>46</v>
      </c>
      <c r="C147" s="64">
        <v>50.8</v>
      </c>
      <c r="D147" s="64">
        <v>53.9</v>
      </c>
      <c r="E147" s="64">
        <v>79</v>
      </c>
      <c r="F147" s="64">
        <v>63</v>
      </c>
      <c r="G147" s="64">
        <v>77.3</v>
      </c>
      <c r="H147" s="64">
        <v>112.6</v>
      </c>
      <c r="I147" s="64">
        <v>118.4</v>
      </c>
      <c r="J147" s="64">
        <v>186.8</v>
      </c>
      <c r="K147" s="64">
        <v>96.6</v>
      </c>
      <c r="L147" s="64">
        <v>155.4</v>
      </c>
    </row>
    <row r="148" spans="1:12" x14ac:dyDescent="0.25">
      <c r="A148" s="7" t="s">
        <v>310</v>
      </c>
      <c r="B148" s="64" t="s">
        <v>46</v>
      </c>
      <c r="C148" s="64" t="s">
        <v>46</v>
      </c>
      <c r="D148" s="64" t="s">
        <v>46</v>
      </c>
      <c r="E148" s="64" t="s">
        <v>46</v>
      </c>
      <c r="F148" s="64" t="s">
        <v>46</v>
      </c>
      <c r="G148" s="64" t="s">
        <v>46</v>
      </c>
      <c r="H148" s="64" t="s">
        <v>46</v>
      </c>
      <c r="I148" s="64" t="s">
        <v>46</v>
      </c>
      <c r="J148" s="64">
        <v>0</v>
      </c>
      <c r="K148" s="64">
        <v>0</v>
      </c>
      <c r="L148" s="64">
        <v>0</v>
      </c>
    </row>
    <row r="149" spans="1:12" x14ac:dyDescent="0.25">
      <c r="A149" s="7" t="s">
        <v>312</v>
      </c>
      <c r="B149" s="64" t="s">
        <v>46</v>
      </c>
      <c r="C149" s="64">
        <v>13</v>
      </c>
      <c r="D149" s="64">
        <v>12.3</v>
      </c>
      <c r="E149" s="64">
        <v>13.6</v>
      </c>
      <c r="F149" s="64">
        <v>13.3</v>
      </c>
      <c r="G149" s="64">
        <v>8.5</v>
      </c>
      <c r="H149" s="64">
        <v>8.5</v>
      </c>
      <c r="I149" s="64">
        <v>10.199999999999999</v>
      </c>
      <c r="J149" s="64">
        <v>7.5</v>
      </c>
      <c r="K149" s="64">
        <v>2.8</v>
      </c>
      <c r="L149" s="64">
        <v>2.7</v>
      </c>
    </row>
    <row r="150" spans="1:12" x14ac:dyDescent="0.25">
      <c r="A150" s="7" t="s">
        <v>314</v>
      </c>
      <c r="B150" s="64" t="s">
        <v>46</v>
      </c>
      <c r="C150" s="64" t="s">
        <v>46</v>
      </c>
      <c r="D150" s="64" t="s">
        <v>46</v>
      </c>
      <c r="E150" s="64" t="s">
        <v>46</v>
      </c>
      <c r="F150" s="64" t="s">
        <v>46</v>
      </c>
      <c r="G150" s="64" t="s">
        <v>46</v>
      </c>
      <c r="H150" s="64" t="s">
        <v>46</v>
      </c>
      <c r="I150" s="64" t="s">
        <v>46</v>
      </c>
      <c r="J150" s="64">
        <v>0</v>
      </c>
      <c r="K150" s="64">
        <v>0</v>
      </c>
      <c r="L150" s="64">
        <v>0</v>
      </c>
    </row>
    <row r="151" spans="1:12" x14ac:dyDescent="0.25">
      <c r="A151" s="7" t="s">
        <v>316</v>
      </c>
      <c r="B151" s="64" t="s">
        <v>46</v>
      </c>
      <c r="C151" s="64">
        <v>19.2</v>
      </c>
      <c r="D151" s="64">
        <v>21.6</v>
      </c>
      <c r="E151" s="64">
        <v>17.600000000000001</v>
      </c>
      <c r="F151" s="64">
        <v>13.3</v>
      </c>
      <c r="G151" s="64">
        <v>12.3</v>
      </c>
      <c r="H151" s="64">
        <v>5.9</v>
      </c>
      <c r="I151" s="64">
        <v>4.9000000000000004</v>
      </c>
      <c r="J151" s="64">
        <v>132.19999999999999</v>
      </c>
      <c r="K151" s="64">
        <v>122.4</v>
      </c>
      <c r="L151" s="64">
        <v>149.1</v>
      </c>
    </row>
    <row r="152" spans="1:12" x14ac:dyDescent="0.25">
      <c r="A152" s="7" t="s">
        <v>318</v>
      </c>
      <c r="B152" s="64" t="s">
        <v>46</v>
      </c>
      <c r="C152" s="64">
        <v>53</v>
      </c>
      <c r="D152" s="64">
        <v>59.1</v>
      </c>
      <c r="E152" s="64">
        <v>72.5</v>
      </c>
      <c r="F152" s="64">
        <v>90.1</v>
      </c>
      <c r="G152" s="64">
        <v>104.5</v>
      </c>
      <c r="H152" s="64">
        <v>104.1</v>
      </c>
      <c r="I152" s="64">
        <v>106</v>
      </c>
      <c r="J152" s="64">
        <v>0</v>
      </c>
      <c r="K152" s="64">
        <v>0</v>
      </c>
      <c r="L152" s="64">
        <v>0</v>
      </c>
    </row>
    <row r="153" spans="1:12" x14ac:dyDescent="0.25">
      <c r="A153" s="7" t="s">
        <v>320</v>
      </c>
      <c r="B153" s="64" t="s">
        <v>46</v>
      </c>
      <c r="C153" s="64">
        <v>50.8</v>
      </c>
      <c r="D153" s="64">
        <v>53.9</v>
      </c>
      <c r="E153" s="64">
        <v>79</v>
      </c>
      <c r="F153" s="64">
        <v>63</v>
      </c>
      <c r="G153" s="64">
        <v>77.3</v>
      </c>
      <c r="H153" s="64">
        <v>112.6</v>
      </c>
      <c r="I153" s="64">
        <v>118.4</v>
      </c>
      <c r="J153" s="64">
        <v>186.8</v>
      </c>
      <c r="K153" s="64">
        <v>96.6</v>
      </c>
      <c r="L153" s="64">
        <v>155.4</v>
      </c>
    </row>
    <row r="154" spans="1:12" x14ac:dyDescent="0.25">
      <c r="A154" s="7" t="s">
        <v>322</v>
      </c>
      <c r="B154" s="64" t="s">
        <v>46</v>
      </c>
      <c r="C154" s="64">
        <v>72</v>
      </c>
      <c r="D154" s="64">
        <v>21.6</v>
      </c>
      <c r="E154" s="64">
        <v>17.600000000000001</v>
      </c>
      <c r="F154" s="64">
        <v>13.3</v>
      </c>
      <c r="G154" s="64" t="s">
        <v>46</v>
      </c>
      <c r="H154" s="64">
        <v>5.9</v>
      </c>
      <c r="I154" s="64">
        <v>110.9</v>
      </c>
      <c r="J154" s="64">
        <v>132.19999999999999</v>
      </c>
      <c r="K154" s="64">
        <v>122.4</v>
      </c>
      <c r="L154" s="64">
        <v>149.1</v>
      </c>
    </row>
    <row r="155" spans="1:12" x14ac:dyDescent="0.25">
      <c r="A155" s="7" t="s">
        <v>324</v>
      </c>
      <c r="B155" s="64" t="s">
        <v>46</v>
      </c>
      <c r="C155" s="64">
        <v>13.2</v>
      </c>
      <c r="D155" s="64">
        <v>71.400000000000006</v>
      </c>
      <c r="E155" s="64">
        <v>86.1</v>
      </c>
      <c r="F155" s="64">
        <v>103.4</v>
      </c>
      <c r="G155" s="64">
        <v>8.5</v>
      </c>
      <c r="H155" s="64">
        <v>112.6</v>
      </c>
      <c r="I155" s="64">
        <v>10.199999999999999</v>
      </c>
      <c r="J155" s="64">
        <v>7.5</v>
      </c>
      <c r="K155" s="64">
        <v>2.8</v>
      </c>
      <c r="L155" s="64">
        <v>2.7</v>
      </c>
    </row>
    <row r="156" spans="1:12" x14ac:dyDescent="0.25">
      <c r="A156" s="7" t="s">
        <v>326</v>
      </c>
      <c r="B156" s="64" t="s">
        <v>46</v>
      </c>
      <c r="C156" s="64" t="s">
        <v>46</v>
      </c>
      <c r="D156" s="64" t="s">
        <v>46</v>
      </c>
      <c r="E156" s="64" t="s">
        <v>46</v>
      </c>
      <c r="F156" s="64" t="s">
        <v>46</v>
      </c>
      <c r="G156" s="64" t="s">
        <v>46</v>
      </c>
      <c r="H156" s="64">
        <v>0</v>
      </c>
      <c r="I156" s="64" t="s">
        <v>46</v>
      </c>
      <c r="J156" s="64">
        <v>0</v>
      </c>
      <c r="K156" s="64">
        <v>0</v>
      </c>
      <c r="L156" s="64">
        <v>0</v>
      </c>
    </row>
    <row r="157" spans="1:12" x14ac:dyDescent="0.25">
      <c r="A157" s="7" t="s">
        <v>328</v>
      </c>
      <c r="B157" s="64" t="s">
        <v>46</v>
      </c>
      <c r="C157" s="64" t="s">
        <v>46</v>
      </c>
      <c r="D157" s="64" t="s">
        <v>46</v>
      </c>
      <c r="E157" s="64" t="s">
        <v>46</v>
      </c>
      <c r="F157" s="64" t="s">
        <v>46</v>
      </c>
      <c r="G157" s="64">
        <v>0</v>
      </c>
      <c r="H157" s="64">
        <v>0</v>
      </c>
      <c r="I157" s="64" t="s">
        <v>46</v>
      </c>
      <c r="J157" s="64" t="s">
        <v>46</v>
      </c>
      <c r="K157" s="64" t="s">
        <v>46</v>
      </c>
      <c r="L157" s="64" t="s">
        <v>46</v>
      </c>
    </row>
    <row r="158" spans="1:12" x14ac:dyDescent="0.25">
      <c r="A158" s="7" t="s">
        <v>330</v>
      </c>
      <c r="B158" s="64" t="s">
        <v>46</v>
      </c>
      <c r="C158" s="64" t="s">
        <v>46</v>
      </c>
      <c r="D158" s="64" t="s">
        <v>46</v>
      </c>
      <c r="E158" s="64">
        <v>2</v>
      </c>
      <c r="F158" s="64">
        <v>1.6</v>
      </c>
      <c r="G158" s="64">
        <v>1.4</v>
      </c>
      <c r="H158" s="64">
        <v>1.3</v>
      </c>
      <c r="I158" s="64">
        <v>6.6</v>
      </c>
      <c r="J158" s="64">
        <v>7.2</v>
      </c>
      <c r="K158" s="64">
        <v>12.8</v>
      </c>
      <c r="L158" s="64">
        <v>3.6</v>
      </c>
    </row>
    <row r="159" spans="1:12" x14ac:dyDescent="0.25">
      <c r="A159" s="7" t="s">
        <v>332</v>
      </c>
      <c r="B159" s="64" t="s">
        <v>46</v>
      </c>
      <c r="C159" s="64" t="s">
        <v>46</v>
      </c>
      <c r="D159" s="64" t="s">
        <v>46</v>
      </c>
      <c r="E159" s="64" t="s">
        <v>46</v>
      </c>
      <c r="F159" s="64" t="s">
        <v>46</v>
      </c>
      <c r="G159" s="64" t="s">
        <v>46</v>
      </c>
      <c r="H159" s="64" t="s">
        <v>46</v>
      </c>
      <c r="I159" s="64">
        <v>0</v>
      </c>
      <c r="J159" s="64" t="s">
        <v>46</v>
      </c>
      <c r="K159" s="64" t="s">
        <v>46</v>
      </c>
      <c r="L159" s="64" t="s">
        <v>46</v>
      </c>
    </row>
    <row r="160" spans="1:12" x14ac:dyDescent="0.25">
      <c r="A160" s="7" t="s">
        <v>334</v>
      </c>
      <c r="B160" s="64" t="s">
        <v>46</v>
      </c>
      <c r="C160" s="64" t="s">
        <v>46</v>
      </c>
      <c r="D160" s="64" t="s">
        <v>46</v>
      </c>
      <c r="E160" s="64" t="s">
        <v>46</v>
      </c>
      <c r="F160" s="64" t="s">
        <v>46</v>
      </c>
      <c r="G160" s="64" t="s">
        <v>46</v>
      </c>
      <c r="H160" s="64">
        <v>27.1</v>
      </c>
      <c r="I160" s="64">
        <v>28.9</v>
      </c>
      <c r="J160" s="64" t="s">
        <v>46</v>
      </c>
      <c r="K160" s="64" t="s">
        <v>46</v>
      </c>
      <c r="L160" s="64" t="s">
        <v>46</v>
      </c>
    </row>
    <row r="161" spans="1:12" x14ac:dyDescent="0.25">
      <c r="A161" s="7" t="s">
        <v>336</v>
      </c>
      <c r="B161" s="64" t="s">
        <v>46</v>
      </c>
      <c r="C161" s="64" t="s">
        <v>46</v>
      </c>
      <c r="D161" s="64" t="s">
        <v>46</v>
      </c>
      <c r="E161" s="64">
        <v>2</v>
      </c>
      <c r="F161" s="64">
        <v>1.6</v>
      </c>
      <c r="G161" s="64">
        <v>1.4</v>
      </c>
      <c r="H161" s="64">
        <v>1.3</v>
      </c>
      <c r="I161" s="64">
        <v>6.6</v>
      </c>
      <c r="J161" s="64">
        <v>7.2</v>
      </c>
      <c r="K161" s="64">
        <v>12.8</v>
      </c>
      <c r="L161" s="64">
        <v>3.6</v>
      </c>
    </row>
    <row r="162" spans="1:12" x14ac:dyDescent="0.25">
      <c r="A162" s="7" t="s">
        <v>338</v>
      </c>
      <c r="B162" s="64" t="s">
        <v>46</v>
      </c>
      <c r="C162" s="64" t="s">
        <v>46</v>
      </c>
      <c r="D162" s="64" t="s">
        <v>46</v>
      </c>
      <c r="E162" s="64" t="s">
        <v>46</v>
      </c>
      <c r="F162" s="64" t="s">
        <v>46</v>
      </c>
      <c r="G162" s="64" t="s">
        <v>46</v>
      </c>
      <c r="H162" s="64">
        <v>27.1</v>
      </c>
      <c r="I162" s="64">
        <v>28.9</v>
      </c>
      <c r="J162" s="64" t="s">
        <v>46</v>
      </c>
      <c r="K162" s="64" t="s">
        <v>46</v>
      </c>
      <c r="L162" s="64" t="s">
        <v>46</v>
      </c>
    </row>
    <row r="163" spans="1:12" x14ac:dyDescent="0.25">
      <c r="A163" s="7" t="s">
        <v>340</v>
      </c>
      <c r="B163" s="64">
        <v>1.4</v>
      </c>
      <c r="C163" s="64">
        <v>0.2</v>
      </c>
      <c r="D163" s="64" t="s">
        <v>46</v>
      </c>
      <c r="E163" s="64" t="s">
        <v>46</v>
      </c>
      <c r="F163" s="64" t="s">
        <v>46</v>
      </c>
      <c r="G163" s="64" t="s">
        <v>46</v>
      </c>
      <c r="H163" s="64">
        <v>3.4</v>
      </c>
      <c r="I163" s="64">
        <v>4.9000000000000004</v>
      </c>
      <c r="J163" s="64">
        <v>12.7</v>
      </c>
      <c r="K163" s="64">
        <v>4.4000000000000004</v>
      </c>
      <c r="L163" s="64">
        <v>6.5</v>
      </c>
    </row>
    <row r="164" spans="1:12" x14ac:dyDescent="0.25">
      <c r="A164" s="7" t="s">
        <v>342</v>
      </c>
      <c r="B164" s="64" t="s">
        <v>46</v>
      </c>
      <c r="C164" s="64">
        <v>2.8</v>
      </c>
      <c r="D164" s="64" t="s">
        <v>46</v>
      </c>
      <c r="E164" s="64" t="s">
        <v>46</v>
      </c>
      <c r="F164" s="64" t="s">
        <v>46</v>
      </c>
      <c r="G164" s="64" t="s">
        <v>46</v>
      </c>
      <c r="H164" s="64">
        <v>0.7</v>
      </c>
      <c r="I164" s="64">
        <v>5.4</v>
      </c>
      <c r="J164" s="64">
        <v>2.5</v>
      </c>
      <c r="K164" s="64">
        <v>6.4</v>
      </c>
      <c r="L164" s="64">
        <v>3.6</v>
      </c>
    </row>
    <row r="165" spans="1:12" x14ac:dyDescent="0.25">
      <c r="A165" s="7" t="s">
        <v>344</v>
      </c>
      <c r="B165" s="64">
        <v>17</v>
      </c>
      <c r="C165" s="64">
        <v>19.2</v>
      </c>
      <c r="D165" s="64" t="s">
        <v>46</v>
      </c>
      <c r="E165" s="64" t="s">
        <v>46</v>
      </c>
      <c r="F165" s="64" t="s">
        <v>46</v>
      </c>
      <c r="G165" s="64" t="s">
        <v>46</v>
      </c>
      <c r="H165" s="64">
        <v>2.5</v>
      </c>
      <c r="I165" s="64">
        <v>0</v>
      </c>
      <c r="J165" s="64" t="s">
        <v>46</v>
      </c>
      <c r="K165" s="64">
        <v>0</v>
      </c>
      <c r="L165" s="64">
        <v>20.9</v>
      </c>
    </row>
    <row r="166" spans="1:12" x14ac:dyDescent="0.25">
      <c r="A166" s="7" t="s">
        <v>346</v>
      </c>
      <c r="B166" s="64" t="s">
        <v>46</v>
      </c>
      <c r="C166" s="64">
        <v>24.2</v>
      </c>
      <c r="D166" s="64" t="s">
        <v>46</v>
      </c>
      <c r="E166" s="64" t="s">
        <v>46</v>
      </c>
      <c r="F166" s="64" t="s">
        <v>46</v>
      </c>
      <c r="G166" s="64" t="s">
        <v>46</v>
      </c>
      <c r="H166" s="64" t="s">
        <v>46</v>
      </c>
      <c r="I166" s="64" t="s">
        <v>46</v>
      </c>
      <c r="J166" s="64" t="s">
        <v>46</v>
      </c>
      <c r="K166" s="64" t="s">
        <v>46</v>
      </c>
      <c r="L166" s="64" t="s">
        <v>46</v>
      </c>
    </row>
    <row r="167" spans="1:12" x14ac:dyDescent="0.25">
      <c r="A167" s="7" t="s">
        <v>348</v>
      </c>
      <c r="B167" s="64" t="s">
        <v>46</v>
      </c>
      <c r="C167" s="64" t="s">
        <v>46</v>
      </c>
      <c r="D167" s="64">
        <v>29.9</v>
      </c>
      <c r="E167" s="64">
        <v>49.7</v>
      </c>
      <c r="F167" s="64">
        <v>41.4</v>
      </c>
      <c r="G167" s="64">
        <v>38.9</v>
      </c>
      <c r="H167" s="64">
        <v>39.9</v>
      </c>
      <c r="I167" s="64">
        <v>39.299999999999997</v>
      </c>
      <c r="J167" s="64">
        <v>50.2</v>
      </c>
      <c r="K167" s="64">
        <v>57.2</v>
      </c>
      <c r="L167" s="64">
        <v>46.8</v>
      </c>
    </row>
    <row r="168" spans="1:12" x14ac:dyDescent="0.25">
      <c r="A168" s="7" t="s">
        <v>350</v>
      </c>
      <c r="B168" s="64" t="s">
        <v>46</v>
      </c>
      <c r="C168" s="64" t="s">
        <v>46</v>
      </c>
      <c r="D168" s="64" t="s">
        <v>46</v>
      </c>
      <c r="E168" s="64" t="s">
        <v>46</v>
      </c>
      <c r="F168" s="64" t="s">
        <v>46</v>
      </c>
      <c r="G168" s="64" t="s">
        <v>46</v>
      </c>
      <c r="H168" s="64">
        <v>0.6</v>
      </c>
      <c r="I168" s="64">
        <v>1.2</v>
      </c>
      <c r="J168" s="64">
        <v>4.7</v>
      </c>
      <c r="K168" s="64">
        <v>6.4</v>
      </c>
      <c r="L168" s="64">
        <v>0</v>
      </c>
    </row>
    <row r="169" spans="1:12" x14ac:dyDescent="0.25">
      <c r="A169" s="7" t="s">
        <v>352</v>
      </c>
      <c r="B169" s="64">
        <v>18.399999999999999</v>
      </c>
      <c r="C169" s="64">
        <v>19.399999999999999</v>
      </c>
      <c r="D169" s="64" t="s">
        <v>46</v>
      </c>
      <c r="E169" s="64" t="s">
        <v>46</v>
      </c>
      <c r="F169" s="64" t="s">
        <v>46</v>
      </c>
      <c r="G169" s="64" t="s">
        <v>46</v>
      </c>
      <c r="H169" s="64">
        <v>5.9</v>
      </c>
      <c r="I169" s="64">
        <v>4.9000000000000004</v>
      </c>
      <c r="J169" s="64">
        <v>12.7</v>
      </c>
      <c r="K169" s="64">
        <v>4.4000000000000004</v>
      </c>
      <c r="L169" s="64">
        <v>27.4</v>
      </c>
    </row>
    <row r="170" spans="1:12" x14ac:dyDescent="0.25">
      <c r="A170" s="7" t="s">
        <v>354</v>
      </c>
      <c r="B170" s="64" t="s">
        <v>46</v>
      </c>
      <c r="C170" s="64">
        <v>2.8</v>
      </c>
      <c r="D170" s="64" t="s">
        <v>46</v>
      </c>
      <c r="E170" s="64" t="s">
        <v>46</v>
      </c>
      <c r="F170" s="64" t="s">
        <v>46</v>
      </c>
      <c r="G170" s="64" t="s">
        <v>46</v>
      </c>
      <c r="H170" s="64">
        <v>1.3</v>
      </c>
      <c r="I170" s="64">
        <v>6.6</v>
      </c>
      <c r="J170" s="64">
        <v>7.2</v>
      </c>
      <c r="K170" s="64">
        <v>12.8</v>
      </c>
      <c r="L170" s="64">
        <v>3.6</v>
      </c>
    </row>
    <row r="171" spans="1:12" x14ac:dyDescent="0.25">
      <c r="A171" s="7" t="s">
        <v>356</v>
      </c>
      <c r="B171" s="64">
        <v>11.9</v>
      </c>
      <c r="C171" s="64">
        <v>11.3</v>
      </c>
      <c r="D171" s="64">
        <v>7.4</v>
      </c>
      <c r="E171" s="64">
        <v>6.6</v>
      </c>
      <c r="F171" s="64">
        <v>5.0999999999999996</v>
      </c>
      <c r="G171" s="64">
        <v>4.5999999999999996</v>
      </c>
      <c r="H171" s="64">
        <v>4.8</v>
      </c>
      <c r="I171" s="64">
        <v>4.8</v>
      </c>
      <c r="J171" s="64">
        <v>4.9000000000000004</v>
      </c>
      <c r="K171" s="64">
        <v>4.8</v>
      </c>
      <c r="L171" s="64">
        <v>3.6</v>
      </c>
    </row>
    <row r="172" spans="1:12" x14ac:dyDescent="0.25">
      <c r="A172" s="7" t="s">
        <v>358</v>
      </c>
      <c r="B172" s="64" t="s">
        <v>46</v>
      </c>
      <c r="C172" s="64" t="s">
        <v>46</v>
      </c>
      <c r="D172" s="64" t="s">
        <v>46</v>
      </c>
      <c r="E172" s="64" t="s">
        <v>46</v>
      </c>
      <c r="F172" s="64">
        <v>67.86</v>
      </c>
      <c r="G172" s="64">
        <v>68.099999999999994</v>
      </c>
      <c r="H172" s="64">
        <v>78.42</v>
      </c>
      <c r="I172" s="64">
        <v>94.701999999999998</v>
      </c>
      <c r="J172" s="64">
        <v>99.657899999999998</v>
      </c>
      <c r="K172" s="64">
        <v>117.3272</v>
      </c>
      <c r="L172" s="64">
        <v>141.649</v>
      </c>
    </row>
    <row r="173" spans="1:12" x14ac:dyDescent="0.25">
      <c r="A173" s="7" t="s">
        <v>360</v>
      </c>
      <c r="B173" s="64" t="s">
        <v>46</v>
      </c>
      <c r="C173" s="64">
        <v>31.2</v>
      </c>
      <c r="D173" s="64">
        <v>20.7</v>
      </c>
      <c r="E173" s="64" t="s">
        <v>46</v>
      </c>
      <c r="F173" s="64">
        <v>46.7</v>
      </c>
      <c r="G173" s="64">
        <v>58</v>
      </c>
      <c r="H173" s="64">
        <v>55.7</v>
      </c>
      <c r="I173" s="64">
        <v>56.5</v>
      </c>
      <c r="J173" s="64">
        <v>58.3</v>
      </c>
      <c r="K173" s="64">
        <v>39.1</v>
      </c>
      <c r="L173" s="64">
        <v>27.9</v>
      </c>
    </row>
    <row r="174" spans="1:12" x14ac:dyDescent="0.25">
      <c r="A174" s="7" t="s">
        <v>362</v>
      </c>
      <c r="B174" s="64" t="s">
        <v>46</v>
      </c>
      <c r="C174" s="64">
        <v>20.7</v>
      </c>
      <c r="D174" s="64">
        <v>33.200000000000003</v>
      </c>
      <c r="E174" s="64" t="s">
        <v>46</v>
      </c>
      <c r="F174" s="64">
        <v>58</v>
      </c>
      <c r="G174" s="64">
        <v>55.7</v>
      </c>
      <c r="H174" s="64">
        <v>56.5</v>
      </c>
      <c r="I174" s="64">
        <v>58.3</v>
      </c>
      <c r="J174" s="64">
        <v>39.1</v>
      </c>
      <c r="K174" s="64" t="s">
        <v>46</v>
      </c>
      <c r="L174" s="64" t="s">
        <v>46</v>
      </c>
    </row>
    <row r="175" spans="1:12" x14ac:dyDescent="0.25">
      <c r="A175" s="7" t="s">
        <v>364</v>
      </c>
      <c r="B175" s="64" t="s">
        <v>46</v>
      </c>
      <c r="C175" s="64">
        <v>5.0999999999999996</v>
      </c>
      <c r="D175" s="64">
        <v>10.3</v>
      </c>
      <c r="E175" s="64" t="s">
        <v>46</v>
      </c>
      <c r="F175" s="64">
        <v>10.3</v>
      </c>
      <c r="G175" s="64">
        <v>11.4</v>
      </c>
      <c r="H175" s="64">
        <v>8.9</v>
      </c>
      <c r="I175" s="64">
        <v>10.3</v>
      </c>
      <c r="J175" s="64">
        <v>7.3</v>
      </c>
      <c r="K175" s="64">
        <v>6.5</v>
      </c>
      <c r="L175" s="64">
        <v>6.6</v>
      </c>
    </row>
    <row r="176" spans="1:12" x14ac:dyDescent="0.25">
      <c r="A176" s="7" t="s">
        <v>366</v>
      </c>
      <c r="B176" s="64" t="s">
        <v>46</v>
      </c>
      <c r="C176" s="64">
        <v>1.6</v>
      </c>
      <c r="D176" s="64">
        <v>7.4</v>
      </c>
      <c r="E176" s="64" t="s">
        <v>46</v>
      </c>
      <c r="F176" s="64">
        <v>2.2000000000000002</v>
      </c>
      <c r="G176" s="64">
        <v>0.7</v>
      </c>
      <c r="H176" s="64">
        <v>3.2</v>
      </c>
      <c r="I176" s="64">
        <v>2.4</v>
      </c>
      <c r="J176" s="64">
        <v>2.7</v>
      </c>
      <c r="K176" s="64">
        <v>0.3</v>
      </c>
      <c r="L176" s="64">
        <v>0.6</v>
      </c>
    </row>
    <row r="177" spans="1:12" x14ac:dyDescent="0.25">
      <c r="A177" s="7" t="s">
        <v>368</v>
      </c>
      <c r="B177" s="64" t="s">
        <v>46</v>
      </c>
      <c r="C177" s="64">
        <v>-4</v>
      </c>
      <c r="D177" s="64">
        <v>-4.3</v>
      </c>
      <c r="E177" s="64" t="s">
        <v>46</v>
      </c>
      <c r="F177" s="64">
        <v>0</v>
      </c>
      <c r="G177" s="64">
        <v>9.5</v>
      </c>
      <c r="H177" s="64">
        <v>-0.8</v>
      </c>
      <c r="I177" s="64">
        <v>-4.5</v>
      </c>
      <c r="J177" s="64">
        <v>-8.9</v>
      </c>
      <c r="K177" s="64">
        <v>-6.9</v>
      </c>
      <c r="L177" s="64">
        <v>-0.3</v>
      </c>
    </row>
    <row r="178" spans="1:12" x14ac:dyDescent="0.25">
      <c r="A178" s="7" t="s">
        <v>370</v>
      </c>
      <c r="B178" s="64" t="s">
        <v>46</v>
      </c>
      <c r="C178" s="64">
        <v>-0.8</v>
      </c>
      <c r="D178" s="64">
        <v>1.7</v>
      </c>
      <c r="E178" s="64" t="s">
        <v>46</v>
      </c>
      <c r="F178" s="64">
        <v>0</v>
      </c>
      <c r="G178" s="64">
        <v>-3.5</v>
      </c>
      <c r="H178" s="64">
        <v>-0.1</v>
      </c>
      <c r="I178" s="64">
        <v>-0.9</v>
      </c>
      <c r="J178" s="64">
        <v>-17.8</v>
      </c>
      <c r="K178" s="64">
        <v>0</v>
      </c>
      <c r="L178" s="64">
        <v>0</v>
      </c>
    </row>
    <row r="179" spans="1:12" x14ac:dyDescent="0.25">
      <c r="A179" s="7" t="s">
        <v>372</v>
      </c>
      <c r="B179" s="64" t="s">
        <v>46</v>
      </c>
      <c r="C179" s="64" t="s">
        <v>46</v>
      </c>
      <c r="D179" s="64" t="s">
        <v>46</v>
      </c>
      <c r="E179" s="64" t="s">
        <v>46</v>
      </c>
      <c r="F179" s="64">
        <v>-0.1</v>
      </c>
      <c r="G179" s="64">
        <v>-0.7</v>
      </c>
      <c r="H179" s="64" t="s">
        <v>46</v>
      </c>
      <c r="I179" s="64" t="s">
        <v>46</v>
      </c>
      <c r="J179" s="64" t="s">
        <v>46</v>
      </c>
      <c r="K179" s="64" t="s">
        <v>46</v>
      </c>
      <c r="L179" s="64" t="s">
        <v>46</v>
      </c>
    </row>
    <row r="180" spans="1:12" x14ac:dyDescent="0.25">
      <c r="A180" s="7" t="s">
        <v>374</v>
      </c>
      <c r="B180" s="64" t="s">
        <v>46</v>
      </c>
      <c r="C180" s="64">
        <v>-15.8</v>
      </c>
      <c r="D180" s="64">
        <v>-1.2</v>
      </c>
      <c r="E180" s="64" t="s">
        <v>46</v>
      </c>
      <c r="F180" s="64">
        <v>-1.1000000000000001</v>
      </c>
      <c r="G180" s="64">
        <v>-0.7</v>
      </c>
      <c r="H180" s="64">
        <v>-10.4</v>
      </c>
      <c r="I180" s="64">
        <v>-10.9</v>
      </c>
      <c r="J180" s="64">
        <v>-0.9</v>
      </c>
      <c r="K180" s="64">
        <v>-11.1</v>
      </c>
      <c r="L180" s="64">
        <v>-2.8</v>
      </c>
    </row>
    <row r="181" spans="1:12" x14ac:dyDescent="0.25">
      <c r="A181" s="7" t="s">
        <v>376</v>
      </c>
      <c r="B181" s="64" t="s">
        <v>46</v>
      </c>
      <c r="C181" s="64" t="s">
        <v>46</v>
      </c>
      <c r="D181" s="64">
        <v>864</v>
      </c>
      <c r="E181" s="64">
        <v>968.2</v>
      </c>
      <c r="F181" s="64">
        <v>1100</v>
      </c>
      <c r="G181" s="64">
        <v>1250</v>
      </c>
      <c r="H181" s="64">
        <v>1430</v>
      </c>
      <c r="I181" s="64">
        <v>1640</v>
      </c>
      <c r="J181" s="64">
        <v>1800</v>
      </c>
      <c r="K181" s="64" t="s">
        <v>46</v>
      </c>
      <c r="L181" s="64" t="s">
        <v>46</v>
      </c>
    </row>
    <row r="182" spans="1:12" x14ac:dyDescent="0.25">
      <c r="A182" s="7" t="s">
        <v>378</v>
      </c>
      <c r="B182" s="64" t="s">
        <v>46</v>
      </c>
      <c r="C182" s="64" t="s">
        <v>46</v>
      </c>
      <c r="D182" s="64" t="s">
        <v>46</v>
      </c>
      <c r="E182" s="64" t="s">
        <v>46</v>
      </c>
      <c r="F182" s="64">
        <v>13.3</v>
      </c>
      <c r="G182" s="64">
        <v>12.3</v>
      </c>
      <c r="H182" s="64">
        <v>5.9</v>
      </c>
      <c r="I182" s="64">
        <v>4.9000000000000004</v>
      </c>
      <c r="J182" s="64">
        <v>12.7</v>
      </c>
      <c r="K182" s="64">
        <v>4.4000000000000004</v>
      </c>
      <c r="L182" s="64">
        <v>27.4</v>
      </c>
    </row>
    <row r="183" spans="1:12" x14ac:dyDescent="0.25">
      <c r="A183" s="7" t="s">
        <v>380</v>
      </c>
      <c r="B183" s="64" t="s">
        <v>46</v>
      </c>
      <c r="C183" s="64">
        <v>0.28899999999999998</v>
      </c>
      <c r="D183" s="64">
        <v>0.23300000000000001</v>
      </c>
      <c r="E183" s="64">
        <v>0.192</v>
      </c>
      <c r="F183" s="64">
        <v>0.161</v>
      </c>
      <c r="G183" s="64">
        <v>0.23899999999999999</v>
      </c>
      <c r="H183" s="64">
        <v>0.27</v>
      </c>
      <c r="I183" s="64">
        <v>0.26700000000000002</v>
      </c>
      <c r="J183" s="64">
        <v>0.26700000000000002</v>
      </c>
      <c r="K183" s="64">
        <v>0.42299999999999999</v>
      </c>
      <c r="L183" s="64">
        <v>0.38100000000000001</v>
      </c>
    </row>
    <row r="184" spans="1:12" x14ac:dyDescent="0.25">
      <c r="A184" s="7" t="s">
        <v>382</v>
      </c>
      <c r="B184" s="64" t="s">
        <v>46</v>
      </c>
      <c r="C184" s="64">
        <v>35.42</v>
      </c>
      <c r="D184" s="64">
        <v>43.23</v>
      </c>
      <c r="E184" s="64">
        <v>49.65</v>
      </c>
      <c r="F184" s="64">
        <v>60.86</v>
      </c>
      <c r="G184" s="64">
        <v>67.599999999999994</v>
      </c>
      <c r="H184" s="64">
        <v>71.03</v>
      </c>
      <c r="I184" s="64">
        <v>80.08</v>
      </c>
      <c r="J184" s="64">
        <v>86.47</v>
      </c>
      <c r="K184" s="64">
        <v>103.05</v>
      </c>
      <c r="L184" s="64">
        <v>115.89</v>
      </c>
    </row>
    <row r="185" spans="1:12" x14ac:dyDescent="0.25">
      <c r="A185" s="7" t="s">
        <v>384</v>
      </c>
      <c r="B185" s="64" t="s">
        <v>46</v>
      </c>
      <c r="C185" s="64" t="s">
        <v>46</v>
      </c>
      <c r="D185" s="64" t="s">
        <v>46</v>
      </c>
      <c r="E185" s="64">
        <v>9000</v>
      </c>
      <c r="F185" s="64">
        <v>10000</v>
      </c>
      <c r="G185" s="64">
        <v>10000</v>
      </c>
      <c r="H185" s="64">
        <v>10000</v>
      </c>
      <c r="I185" s="64">
        <v>10500</v>
      </c>
      <c r="J185" s="64">
        <v>11700</v>
      </c>
      <c r="K185" s="64">
        <v>11600</v>
      </c>
      <c r="L185" s="64">
        <v>12400</v>
      </c>
    </row>
    <row r="186" spans="1:12" x14ac:dyDescent="0.25">
      <c r="A186" s="7" t="s">
        <v>386</v>
      </c>
      <c r="B186" s="64">
        <v>1.45</v>
      </c>
      <c r="C186" s="64" t="s">
        <v>46</v>
      </c>
      <c r="D186" s="64" t="s">
        <v>46</v>
      </c>
      <c r="E186" s="64" t="s">
        <v>46</v>
      </c>
      <c r="F186" s="64" t="s">
        <v>46</v>
      </c>
      <c r="G186" s="64">
        <v>0.1</v>
      </c>
      <c r="H186" s="64">
        <v>0.1</v>
      </c>
      <c r="I186" s="64">
        <v>0.5</v>
      </c>
      <c r="J186" s="64">
        <v>0.9</v>
      </c>
      <c r="K186" s="64">
        <v>1.7</v>
      </c>
      <c r="L186" s="64">
        <v>2.2000000000000002</v>
      </c>
    </row>
    <row r="187" spans="1:12" x14ac:dyDescent="0.25">
      <c r="A187" s="7" t="s">
        <v>388</v>
      </c>
      <c r="B187" s="64" t="s">
        <v>46</v>
      </c>
      <c r="C187" s="64" t="s">
        <v>46</v>
      </c>
      <c r="D187" s="64" t="s">
        <v>46</v>
      </c>
      <c r="E187" s="64" t="s">
        <v>46</v>
      </c>
      <c r="F187" s="64" t="s">
        <v>46</v>
      </c>
      <c r="G187" s="64">
        <v>2.7</v>
      </c>
      <c r="H187" s="64">
        <v>2</v>
      </c>
      <c r="I187" s="64">
        <v>1.9</v>
      </c>
      <c r="J187" s="64">
        <v>2.4</v>
      </c>
      <c r="K187" s="64">
        <v>2.9</v>
      </c>
      <c r="L187" s="64">
        <v>2.5</v>
      </c>
    </row>
    <row r="188" spans="1:12" x14ac:dyDescent="0.25">
      <c r="A188" s="7" t="s">
        <v>390</v>
      </c>
      <c r="B188" s="64" t="s">
        <v>46</v>
      </c>
      <c r="C188" s="64" t="s">
        <v>46</v>
      </c>
      <c r="D188" s="64" t="s">
        <v>46</v>
      </c>
      <c r="E188" s="64" t="s">
        <v>46</v>
      </c>
      <c r="F188" s="64" t="s">
        <v>46</v>
      </c>
      <c r="G188" s="64">
        <v>20.100000000000001</v>
      </c>
      <c r="H188" s="64" t="s">
        <v>46</v>
      </c>
      <c r="I188" s="64" t="s">
        <v>46</v>
      </c>
      <c r="J188" s="64" t="s">
        <v>46</v>
      </c>
      <c r="K188" s="64" t="s">
        <v>46</v>
      </c>
      <c r="L188" s="64" t="s">
        <v>46</v>
      </c>
    </row>
    <row r="189" spans="1:12" x14ac:dyDescent="0.25">
      <c r="A189" s="7" t="s">
        <v>392</v>
      </c>
      <c r="B189" s="64" t="s">
        <v>46</v>
      </c>
      <c r="C189" s="64" t="s">
        <v>46</v>
      </c>
      <c r="D189" s="64">
        <v>1.9056999999999999</v>
      </c>
      <c r="E189" s="64">
        <v>2.3552</v>
      </c>
      <c r="F189" s="64">
        <v>2.9727999999999999</v>
      </c>
      <c r="G189" s="64">
        <v>3.5876999999999999</v>
      </c>
      <c r="H189" s="64">
        <v>1.859</v>
      </c>
      <c r="I189" s="64">
        <v>2.5625</v>
      </c>
      <c r="J189" s="64">
        <v>1.4337</v>
      </c>
      <c r="K189" s="64">
        <v>0.4642</v>
      </c>
      <c r="L189" s="64">
        <v>0.65539999999999998</v>
      </c>
    </row>
    <row r="190" spans="1:12" x14ac:dyDescent="0.25">
      <c r="A190" s="7" t="s">
        <v>394</v>
      </c>
      <c r="B190" s="64" t="s">
        <v>46</v>
      </c>
      <c r="C190" s="64" t="s">
        <v>46</v>
      </c>
      <c r="D190" s="64" t="s">
        <v>46</v>
      </c>
      <c r="E190" s="64" t="s">
        <v>46</v>
      </c>
      <c r="F190" s="64" t="s">
        <v>46</v>
      </c>
      <c r="G190" s="64" t="s">
        <v>46</v>
      </c>
      <c r="H190" s="64" t="s">
        <v>46</v>
      </c>
      <c r="I190" s="64" t="s">
        <v>46</v>
      </c>
      <c r="J190" s="64" t="s">
        <v>46</v>
      </c>
      <c r="K190" s="64" t="s">
        <v>46</v>
      </c>
      <c r="L190" s="64" t="s">
        <v>46</v>
      </c>
    </row>
    <row r="191" spans="1:12" x14ac:dyDescent="0.25">
      <c r="A191" s="7"/>
      <c r="B191" s="64"/>
      <c r="C191" s="64"/>
      <c r="D191" s="64"/>
      <c r="E191" s="64"/>
      <c r="F191" s="64"/>
      <c r="G191" s="64"/>
      <c r="H191" s="64"/>
      <c r="I191" s="64"/>
      <c r="J191" s="64"/>
      <c r="K191" s="64"/>
      <c r="L191" s="64"/>
    </row>
    <row r="192" spans="1:12" x14ac:dyDescent="0.25">
      <c r="A192" s="7"/>
      <c r="B192" s="64"/>
      <c r="C192" s="64"/>
      <c r="D192" s="64"/>
      <c r="E192" s="64"/>
      <c r="F192" s="64"/>
      <c r="G192" s="64"/>
      <c r="H192" s="64"/>
      <c r="I192" s="64"/>
      <c r="J192" s="64"/>
      <c r="K192" s="64"/>
      <c r="L192" s="64"/>
    </row>
    <row r="193" spans="1:12" x14ac:dyDescent="0.25">
      <c r="A193" s="7"/>
      <c r="B193" s="64"/>
      <c r="C193" s="64"/>
      <c r="D193" s="64"/>
      <c r="E193" s="64"/>
      <c r="F193" s="64"/>
      <c r="G193" s="64"/>
      <c r="H193" s="64"/>
      <c r="I193" s="64"/>
      <c r="J193" s="64"/>
      <c r="K193" s="64"/>
      <c r="L193" s="64"/>
    </row>
    <row r="194" spans="1:12" x14ac:dyDescent="0.25">
      <c r="A194" s="7"/>
      <c r="B194" s="64"/>
      <c r="C194" s="64"/>
      <c r="D194" s="64"/>
      <c r="E194" s="64"/>
      <c r="F194" s="64"/>
      <c r="G194" s="64"/>
      <c r="H194" s="64"/>
      <c r="I194" s="64"/>
      <c r="J194" s="64"/>
      <c r="K194" s="64"/>
      <c r="L194" s="64"/>
    </row>
    <row r="195" spans="1:12" x14ac:dyDescent="0.25">
      <c r="A195" s="7"/>
      <c r="B195" s="64"/>
      <c r="C195" s="64"/>
      <c r="D195" s="64"/>
      <c r="E195" s="64"/>
      <c r="F195" s="64"/>
      <c r="G195" s="64"/>
      <c r="H195" s="64"/>
      <c r="I195" s="64"/>
      <c r="J195" s="64"/>
      <c r="K195" s="64"/>
      <c r="L195" s="64"/>
    </row>
    <row r="196" spans="1:12" x14ac:dyDescent="0.25">
      <c r="A196" s="7"/>
      <c r="B196" s="64"/>
      <c r="C196" s="64"/>
      <c r="D196" s="64"/>
      <c r="E196" s="64"/>
      <c r="F196" s="64"/>
      <c r="G196" s="64"/>
      <c r="H196" s="64"/>
      <c r="I196" s="64"/>
      <c r="J196" s="64"/>
      <c r="K196" s="64"/>
      <c r="L196" s="64"/>
    </row>
    <row r="197" spans="1:12" x14ac:dyDescent="0.25">
      <c r="A197" s="7"/>
      <c r="B197" s="64"/>
      <c r="C197" s="64"/>
      <c r="D197" s="64"/>
      <c r="E197" s="64"/>
      <c r="F197" s="64"/>
      <c r="G197" s="64"/>
      <c r="H197" s="64"/>
      <c r="I197" s="64"/>
      <c r="J197" s="64"/>
      <c r="K197" s="64"/>
      <c r="L197" s="64"/>
    </row>
    <row r="198" spans="1:12" x14ac:dyDescent="0.25">
      <c r="A198" s="7"/>
      <c r="B198" s="64"/>
      <c r="C198" s="64"/>
      <c r="D198" s="64"/>
      <c r="E198" s="64"/>
      <c r="F198" s="64"/>
      <c r="G198" s="64"/>
      <c r="H198" s="64"/>
      <c r="I198" s="64"/>
      <c r="J198" s="64"/>
      <c r="K198" s="64"/>
      <c r="L198" s="64"/>
    </row>
    <row r="199" spans="1:12" x14ac:dyDescent="0.25">
      <c r="A199" s="7"/>
      <c r="B199" s="64"/>
      <c r="C199" s="64"/>
      <c r="D199" s="64"/>
      <c r="E199" s="64"/>
      <c r="F199" s="64"/>
      <c r="G199" s="64"/>
      <c r="H199" s="64"/>
      <c r="I199" s="64"/>
      <c r="J199" s="64"/>
      <c r="K199" s="64"/>
      <c r="L199" s="64"/>
    </row>
    <row r="200" spans="1:12" x14ac:dyDescent="0.25">
      <c r="A200" s="7"/>
      <c r="B200" s="64"/>
      <c r="C200" s="64"/>
      <c r="D200" s="64"/>
      <c r="E200" s="64"/>
      <c r="F200" s="64"/>
      <c r="G200" s="64"/>
      <c r="H200" s="64"/>
      <c r="I200" s="64"/>
      <c r="J200" s="64"/>
      <c r="K200" s="64"/>
      <c r="L200" s="64"/>
    </row>
    <row r="201" spans="1:12" x14ac:dyDescent="0.25">
      <c r="A201" s="7"/>
      <c r="B201" s="64"/>
      <c r="C201" s="64"/>
      <c r="D201" s="64"/>
      <c r="E201" s="64"/>
      <c r="F201" s="64"/>
      <c r="G201" s="64"/>
      <c r="H201" s="64"/>
      <c r="I201" s="64"/>
      <c r="J201" s="64"/>
      <c r="K201" s="64"/>
      <c r="L201" s="64"/>
    </row>
    <row r="202" spans="1:12" x14ac:dyDescent="0.25">
      <c r="A202" s="7"/>
      <c r="B202" s="64"/>
      <c r="C202" s="64"/>
      <c r="D202" s="64"/>
      <c r="E202" s="64"/>
      <c r="F202" s="64"/>
      <c r="G202" s="64"/>
      <c r="H202" s="64"/>
      <c r="I202" s="64"/>
      <c r="J202" s="64"/>
      <c r="K202" s="64"/>
      <c r="L202" s="64"/>
    </row>
    <row r="203" spans="1:12" x14ac:dyDescent="0.25">
      <c r="A203" s="7"/>
      <c r="B203" s="64"/>
      <c r="C203" s="64"/>
      <c r="D203" s="64"/>
      <c r="E203" s="64"/>
      <c r="F203" s="64"/>
      <c r="G203" s="64"/>
      <c r="H203" s="64"/>
      <c r="I203" s="64"/>
      <c r="J203" s="64"/>
      <c r="K203" s="64"/>
      <c r="L203" s="64"/>
    </row>
    <row r="204" spans="1:12" x14ac:dyDescent="0.25">
      <c r="A204" s="7"/>
      <c r="B204" s="64"/>
      <c r="C204" s="64"/>
      <c r="D204" s="64"/>
      <c r="E204" s="64"/>
      <c r="F204" s="64"/>
      <c r="G204" s="64"/>
      <c r="H204" s="64"/>
      <c r="I204" s="64"/>
      <c r="J204" s="64"/>
      <c r="K204" s="64"/>
      <c r="L204" s="64"/>
    </row>
    <row r="205" spans="1:12" x14ac:dyDescent="0.25">
      <c r="A205" s="7"/>
      <c r="B205" s="64"/>
      <c r="C205" s="64"/>
      <c r="D205" s="64"/>
      <c r="E205" s="64"/>
      <c r="F205" s="64"/>
      <c r="G205" s="64"/>
      <c r="H205" s="64"/>
      <c r="I205" s="64"/>
      <c r="J205" s="64"/>
      <c r="K205" s="64"/>
      <c r="L205" s="64"/>
    </row>
    <row r="206" spans="1:12" x14ac:dyDescent="0.25">
      <c r="A206" s="7"/>
      <c r="B206" s="64"/>
      <c r="C206" s="64"/>
      <c r="D206" s="64"/>
      <c r="E206" s="64"/>
      <c r="F206" s="64"/>
      <c r="G206" s="64"/>
      <c r="H206" s="64"/>
      <c r="I206" s="64"/>
      <c r="J206" s="64"/>
      <c r="K206" s="64"/>
      <c r="L206" s="64"/>
    </row>
    <row r="207" spans="1:12" x14ac:dyDescent="0.25">
      <c r="A207" s="7"/>
      <c r="B207" s="64"/>
      <c r="C207" s="64"/>
      <c r="D207" s="64"/>
      <c r="E207" s="64"/>
      <c r="F207" s="64"/>
      <c r="G207" s="64"/>
      <c r="H207" s="64"/>
      <c r="I207" s="64"/>
      <c r="J207" s="64"/>
      <c r="K207" s="64"/>
      <c r="L207" s="64"/>
    </row>
    <row r="208" spans="1:12" x14ac:dyDescent="0.25">
      <c r="A208" s="7"/>
      <c r="B208" s="64"/>
      <c r="C208" s="64"/>
      <c r="D208" s="64"/>
      <c r="E208" s="64"/>
      <c r="F208" s="64"/>
      <c r="G208" s="64"/>
      <c r="H208" s="64"/>
      <c r="I208" s="64"/>
      <c r="J208" s="64"/>
      <c r="K208" s="64"/>
      <c r="L208" s="64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6"/>
  <sheetViews>
    <sheetView workbookViewId="0">
      <selection activeCell="A2" sqref="A2"/>
    </sheetView>
  </sheetViews>
  <sheetFormatPr defaultRowHeight="15" x14ac:dyDescent="0.25"/>
  <cols>
    <col min="1" max="1" width="35.140625" customWidth="1"/>
    <col min="2" max="2" width="0" hidden="1" customWidth="1"/>
    <col min="3" max="13" width="11.85546875" customWidth="1"/>
  </cols>
  <sheetData>
    <row r="1" spans="1:13" x14ac:dyDescent="0.25">
      <c r="A1" s="26" t="s">
        <v>66</v>
      </c>
      <c r="B1" s="26"/>
      <c r="C1" s="27" t="s">
        <v>34</v>
      </c>
      <c r="D1" s="27" t="s">
        <v>35</v>
      </c>
      <c r="E1" s="27" t="s">
        <v>36</v>
      </c>
      <c r="F1" s="27" t="s">
        <v>37</v>
      </c>
      <c r="G1" s="27" t="s">
        <v>38</v>
      </c>
      <c r="H1" s="27" t="s">
        <v>39</v>
      </c>
      <c r="I1" s="27" t="s">
        <v>40</v>
      </c>
      <c r="J1" s="27" t="s">
        <v>41</v>
      </c>
      <c r="K1" s="27" t="s">
        <v>42</v>
      </c>
      <c r="L1" s="27" t="s">
        <v>43</v>
      </c>
      <c r="M1" s="27" t="s">
        <v>44</v>
      </c>
    </row>
    <row r="2" spans="1:13" x14ac:dyDescent="0.25">
      <c r="A2" s="28" t="s">
        <v>699</v>
      </c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</row>
    <row r="3" spans="1:13" x14ac:dyDescent="0.25">
      <c r="A3" s="30" t="s">
        <v>700</v>
      </c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</row>
    <row r="4" spans="1:13" x14ac:dyDescent="0.25">
      <c r="A4" s="30" t="s">
        <v>701</v>
      </c>
      <c r="B4" s="30" t="s">
        <v>702</v>
      </c>
      <c r="C4" s="31">
        <v>299.8</v>
      </c>
      <c r="D4" s="31">
        <v>370.2</v>
      </c>
      <c r="E4" s="31">
        <v>374.2</v>
      </c>
      <c r="F4" s="31">
        <v>407.8</v>
      </c>
      <c r="G4" s="31">
        <v>389</v>
      </c>
      <c r="H4" s="31">
        <v>437.9</v>
      </c>
      <c r="I4" s="31">
        <v>401.6</v>
      </c>
      <c r="J4" s="31">
        <v>472.3</v>
      </c>
      <c r="K4" s="31">
        <v>477.4</v>
      </c>
      <c r="L4" s="31">
        <v>933.4</v>
      </c>
      <c r="M4" s="31">
        <v>702.7</v>
      </c>
    </row>
    <row r="5" spans="1:13" x14ac:dyDescent="0.25">
      <c r="A5" s="30" t="s">
        <v>703</v>
      </c>
      <c r="B5" s="30" t="s">
        <v>704</v>
      </c>
      <c r="C5" s="31">
        <v>94.3</v>
      </c>
      <c r="D5" s="31">
        <v>95.1</v>
      </c>
      <c r="E5" s="31">
        <v>98.3</v>
      </c>
      <c r="F5" s="31">
        <v>102.8</v>
      </c>
      <c r="G5" s="31">
        <v>106</v>
      </c>
      <c r="H5" s="31">
        <v>102.7</v>
      </c>
      <c r="I5" s="31">
        <v>105.9</v>
      </c>
      <c r="J5" s="31">
        <v>108.7</v>
      </c>
      <c r="K5" s="31">
        <v>125.2</v>
      </c>
      <c r="L5" s="31">
        <v>150.69999999999999</v>
      </c>
      <c r="M5" s="31">
        <v>158.80000000000001</v>
      </c>
    </row>
    <row r="6" spans="1:13" x14ac:dyDescent="0.25">
      <c r="A6" s="30" t="s">
        <v>705</v>
      </c>
      <c r="B6" s="30" t="s">
        <v>706</v>
      </c>
      <c r="C6" s="31">
        <v>24</v>
      </c>
      <c r="D6" s="31">
        <v>10.5</v>
      </c>
      <c r="E6" s="31">
        <v>38</v>
      </c>
      <c r="F6" s="31">
        <v>24.3</v>
      </c>
      <c r="G6" s="31">
        <v>-15.3</v>
      </c>
      <c r="H6" s="31">
        <v>6.1</v>
      </c>
      <c r="I6" s="31">
        <v>1</v>
      </c>
      <c r="J6" s="31">
        <v>-40</v>
      </c>
      <c r="K6" s="31">
        <v>24.1</v>
      </c>
      <c r="L6" s="31">
        <v>40.1</v>
      </c>
      <c r="M6" s="31">
        <v>20.9</v>
      </c>
    </row>
    <row r="7" spans="1:13" x14ac:dyDescent="0.25">
      <c r="A7" s="30" t="s">
        <v>707</v>
      </c>
      <c r="B7" s="30" t="s">
        <v>708</v>
      </c>
      <c r="C7" s="31">
        <v>0.3</v>
      </c>
      <c r="D7" s="31">
        <v>-0.1</v>
      </c>
      <c r="E7" s="31">
        <v>0.8</v>
      </c>
      <c r="F7" s="31">
        <v>0.8</v>
      </c>
      <c r="G7" s="31">
        <v>0.3</v>
      </c>
      <c r="H7" s="31">
        <v>1.3</v>
      </c>
      <c r="I7" s="31">
        <v>0.6</v>
      </c>
      <c r="J7" s="31">
        <v>1.5</v>
      </c>
      <c r="K7" s="31">
        <v>1.3</v>
      </c>
      <c r="L7" s="31">
        <v>-5.4</v>
      </c>
      <c r="M7" s="31">
        <v>-1.6</v>
      </c>
    </row>
    <row r="8" spans="1:13" x14ac:dyDescent="0.25">
      <c r="A8" s="30" t="s">
        <v>709</v>
      </c>
      <c r="B8" s="30" t="s">
        <v>710</v>
      </c>
      <c r="C8" s="31">
        <v>12.7</v>
      </c>
      <c r="D8" s="31">
        <v>11.9</v>
      </c>
      <c r="E8" s="31">
        <v>13</v>
      </c>
      <c r="F8" s="31">
        <v>20.2</v>
      </c>
      <c r="G8" s="31">
        <v>18.7</v>
      </c>
      <c r="H8" s="31">
        <v>18.2</v>
      </c>
      <c r="I8" s="31">
        <v>18.7</v>
      </c>
      <c r="J8" s="31">
        <v>25.6</v>
      </c>
      <c r="K8" s="31">
        <v>23.9</v>
      </c>
      <c r="L8" s="31">
        <v>25.6</v>
      </c>
      <c r="M8" s="31">
        <v>37.200000000000003</v>
      </c>
    </row>
    <row r="9" spans="1:13" x14ac:dyDescent="0.25">
      <c r="A9" s="30" t="s">
        <v>711</v>
      </c>
      <c r="B9" s="30" t="s">
        <v>712</v>
      </c>
      <c r="C9" s="31">
        <v>10.9</v>
      </c>
      <c r="D9" s="31">
        <v>18</v>
      </c>
      <c r="E9" s="31">
        <v>16.2</v>
      </c>
      <c r="F9" s="31">
        <v>15.6</v>
      </c>
      <c r="G9" s="31">
        <v>38.5</v>
      </c>
      <c r="H9" s="31">
        <v>21</v>
      </c>
      <c r="I9" s="31">
        <v>53.7</v>
      </c>
      <c r="J9" s="31">
        <v>44.6</v>
      </c>
      <c r="K9" s="31">
        <v>60.7</v>
      </c>
      <c r="L9" s="31">
        <v>-279.2</v>
      </c>
      <c r="M9" s="31">
        <v>31.7</v>
      </c>
    </row>
    <row r="10" spans="1:13" x14ac:dyDescent="0.25">
      <c r="A10" s="30" t="s">
        <v>713</v>
      </c>
      <c r="B10" s="30" t="s">
        <v>714</v>
      </c>
      <c r="C10" s="31">
        <v>15.6</v>
      </c>
      <c r="D10" s="31">
        <v>-26.8</v>
      </c>
      <c r="E10" s="31">
        <v>-111.3</v>
      </c>
      <c r="F10" s="31">
        <v>1.2</v>
      </c>
      <c r="G10" s="31">
        <v>-59.9</v>
      </c>
      <c r="H10" s="31">
        <v>-54.4</v>
      </c>
      <c r="I10" s="31">
        <v>-18</v>
      </c>
      <c r="J10" s="31">
        <v>-39</v>
      </c>
      <c r="K10" s="31">
        <v>44.6</v>
      </c>
      <c r="L10" s="31">
        <v>-10</v>
      </c>
      <c r="M10" s="31">
        <v>-20.9</v>
      </c>
    </row>
    <row r="11" spans="1:13" x14ac:dyDescent="0.25">
      <c r="A11" s="30" t="s">
        <v>715</v>
      </c>
      <c r="B11" s="30" t="s">
        <v>716</v>
      </c>
      <c r="C11" s="31">
        <v>3.4</v>
      </c>
      <c r="D11" s="31">
        <v>10.5</v>
      </c>
      <c r="E11" s="31">
        <v>49.3</v>
      </c>
      <c r="F11" s="31">
        <v>8.1999999999999993</v>
      </c>
      <c r="G11" s="31">
        <v>12.1</v>
      </c>
      <c r="H11" s="31">
        <v>-6.7</v>
      </c>
      <c r="I11" s="31">
        <v>40.4</v>
      </c>
      <c r="J11" s="31">
        <v>47</v>
      </c>
      <c r="K11" s="31">
        <v>98.2</v>
      </c>
      <c r="L11" s="31">
        <v>72.8</v>
      </c>
      <c r="M11" s="31">
        <v>128.19999999999999</v>
      </c>
    </row>
    <row r="12" spans="1:13" x14ac:dyDescent="0.25">
      <c r="A12" s="30" t="s">
        <v>717</v>
      </c>
      <c r="B12" s="30" t="s">
        <v>718</v>
      </c>
      <c r="C12" s="31">
        <v>45.8</v>
      </c>
      <c r="D12" s="31">
        <v>-38.200000000000003</v>
      </c>
      <c r="E12" s="31">
        <v>-8.6</v>
      </c>
      <c r="F12" s="31">
        <v>-38.799999999999997</v>
      </c>
      <c r="G12" s="31">
        <v>-29.2</v>
      </c>
      <c r="H12" s="31">
        <v>-16.399999999999999</v>
      </c>
      <c r="I12" s="31">
        <v>15.6</v>
      </c>
      <c r="J12" s="31">
        <v>-21</v>
      </c>
      <c r="K12" s="31">
        <v>-13</v>
      </c>
      <c r="L12" s="31">
        <v>19.8</v>
      </c>
      <c r="M12" s="31">
        <v>12.2</v>
      </c>
    </row>
    <row r="13" spans="1:13" x14ac:dyDescent="0.25">
      <c r="A13" s="30" t="s">
        <v>719</v>
      </c>
      <c r="B13" s="30" t="s">
        <v>720</v>
      </c>
      <c r="C13" s="31">
        <v>-16.3</v>
      </c>
      <c r="D13" s="31">
        <v>-25.5</v>
      </c>
      <c r="E13" s="31">
        <v>-25.4</v>
      </c>
      <c r="F13" s="31">
        <v>-21.5</v>
      </c>
      <c r="G13" s="31">
        <v>-23.2</v>
      </c>
      <c r="H13" s="31">
        <v>-29.4</v>
      </c>
      <c r="I13" s="31">
        <v>-36.700000000000003</v>
      </c>
      <c r="J13" s="31">
        <v>-36.1</v>
      </c>
      <c r="K13" s="31">
        <v>-33.9</v>
      </c>
      <c r="L13" s="31">
        <v>-34.799999999999997</v>
      </c>
      <c r="M13" s="31">
        <v>-40.9</v>
      </c>
    </row>
    <row r="14" spans="1:13" x14ac:dyDescent="0.25">
      <c r="A14" s="30" t="s">
        <v>721</v>
      </c>
      <c r="B14" s="30" t="s">
        <v>722</v>
      </c>
      <c r="C14" s="31">
        <v>0</v>
      </c>
      <c r="D14" s="31" t="s">
        <v>46</v>
      </c>
      <c r="E14" s="31" t="s">
        <v>46</v>
      </c>
      <c r="F14" s="31" t="s">
        <v>46</v>
      </c>
      <c r="G14" s="31">
        <v>6.4</v>
      </c>
      <c r="H14" s="31">
        <v>0</v>
      </c>
      <c r="I14" s="31">
        <v>9.6</v>
      </c>
      <c r="J14" s="31" t="s">
        <v>46</v>
      </c>
      <c r="K14" s="31" t="s">
        <v>46</v>
      </c>
      <c r="L14" s="31" t="s">
        <v>46</v>
      </c>
      <c r="M14" s="31" t="s">
        <v>46</v>
      </c>
    </row>
    <row r="15" spans="1:13" x14ac:dyDescent="0.25">
      <c r="A15" s="30" t="s">
        <v>723</v>
      </c>
      <c r="B15" s="30" t="s">
        <v>724</v>
      </c>
      <c r="C15" s="31">
        <v>415.8</v>
      </c>
      <c r="D15" s="31">
        <v>387.5</v>
      </c>
      <c r="E15" s="31">
        <v>340</v>
      </c>
      <c r="F15" s="31">
        <v>455</v>
      </c>
      <c r="G15" s="31">
        <v>465.2</v>
      </c>
      <c r="H15" s="31">
        <v>503.6</v>
      </c>
      <c r="I15" s="31">
        <v>590</v>
      </c>
      <c r="J15" s="31">
        <v>658.1</v>
      </c>
      <c r="K15" s="31">
        <v>815.3</v>
      </c>
      <c r="L15" s="31">
        <v>821.2</v>
      </c>
      <c r="M15" s="31">
        <v>946.8</v>
      </c>
    </row>
    <row r="16" spans="1:13" x14ac:dyDescent="0.25">
      <c r="A16" s="30" t="s">
        <v>725</v>
      </c>
      <c r="B16" s="30" t="s">
        <v>726</v>
      </c>
      <c r="C16" s="31">
        <v>-74.7</v>
      </c>
      <c r="D16" s="31">
        <v>-38.1</v>
      </c>
      <c r="E16" s="31">
        <v>-104.5</v>
      </c>
      <c r="F16" s="31">
        <v>-65.599999999999994</v>
      </c>
      <c r="G16" s="31">
        <v>21.8</v>
      </c>
      <c r="H16" s="31">
        <v>23.3</v>
      </c>
      <c r="I16" s="31">
        <v>-2.4</v>
      </c>
      <c r="J16" s="31">
        <v>94.5</v>
      </c>
      <c r="K16" s="31">
        <v>6.8</v>
      </c>
      <c r="L16" s="31">
        <v>-91.8</v>
      </c>
      <c r="M16" s="31">
        <v>-81.5</v>
      </c>
    </row>
    <row r="17" spans="1:13" x14ac:dyDescent="0.25">
      <c r="A17" s="30" t="s">
        <v>727</v>
      </c>
      <c r="B17" s="30" t="s">
        <v>728</v>
      </c>
      <c r="C17" s="31" t="s">
        <v>46</v>
      </c>
      <c r="D17" s="31" t="s">
        <v>46</v>
      </c>
      <c r="E17" s="31" t="s">
        <v>46</v>
      </c>
      <c r="F17" s="31" t="s">
        <v>46</v>
      </c>
      <c r="G17" s="31" t="s">
        <v>46</v>
      </c>
      <c r="H17" s="31" t="s">
        <v>46</v>
      </c>
      <c r="I17" s="31" t="s">
        <v>46</v>
      </c>
      <c r="J17" s="31" t="s">
        <v>46</v>
      </c>
      <c r="K17" s="31" t="s">
        <v>46</v>
      </c>
      <c r="L17" s="31" t="s">
        <v>46</v>
      </c>
      <c r="M17" s="31" t="s">
        <v>46</v>
      </c>
    </row>
    <row r="18" spans="1:13" x14ac:dyDescent="0.25">
      <c r="A18" s="30" t="s">
        <v>729</v>
      </c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</row>
    <row r="19" spans="1:13" x14ac:dyDescent="0.25">
      <c r="A19" s="30" t="s">
        <v>730</v>
      </c>
      <c r="B19" s="30" t="s">
        <v>731</v>
      </c>
      <c r="C19" s="31">
        <v>0.6</v>
      </c>
      <c r="D19" s="31">
        <v>6.2</v>
      </c>
      <c r="E19" s="31">
        <v>0.6</v>
      </c>
      <c r="F19" s="31">
        <v>1.3</v>
      </c>
      <c r="G19" s="31">
        <v>2.5</v>
      </c>
      <c r="H19" s="31">
        <v>1.1000000000000001</v>
      </c>
      <c r="I19" s="31">
        <v>0.4</v>
      </c>
      <c r="J19" s="31">
        <v>1.7</v>
      </c>
      <c r="K19" s="31">
        <v>1.1000000000000001</v>
      </c>
      <c r="L19" s="31" t="s">
        <v>46</v>
      </c>
      <c r="M19" s="31" t="s">
        <v>46</v>
      </c>
    </row>
    <row r="20" spans="1:13" x14ac:dyDescent="0.25">
      <c r="A20" s="30" t="s">
        <v>732</v>
      </c>
      <c r="B20" s="30" t="s">
        <v>733</v>
      </c>
      <c r="C20" s="31">
        <v>-82.4</v>
      </c>
      <c r="D20" s="31">
        <v>-89</v>
      </c>
      <c r="E20" s="31">
        <v>-96.7</v>
      </c>
      <c r="F20" s="31">
        <v>-110.3</v>
      </c>
      <c r="G20" s="31">
        <v>-99.9</v>
      </c>
      <c r="H20" s="31">
        <v>-132.69999999999999</v>
      </c>
      <c r="I20" s="31">
        <v>-128.4</v>
      </c>
      <c r="J20" s="31">
        <v>-153.80000000000001</v>
      </c>
      <c r="K20" s="31">
        <v>-182.4</v>
      </c>
      <c r="L20" s="31">
        <v>-169.1</v>
      </c>
      <c r="M20" s="31">
        <v>-173.7</v>
      </c>
    </row>
    <row r="21" spans="1:13" x14ac:dyDescent="0.25">
      <c r="A21" s="30" t="s">
        <v>734</v>
      </c>
      <c r="B21" s="30" t="s">
        <v>735</v>
      </c>
      <c r="C21" s="31">
        <v>0</v>
      </c>
      <c r="D21" s="31">
        <v>-46.9</v>
      </c>
      <c r="E21" s="31">
        <v>-441.4</v>
      </c>
      <c r="F21" s="31">
        <v>0</v>
      </c>
      <c r="G21" s="31">
        <v>-142.30000000000001</v>
      </c>
      <c r="H21" s="31">
        <v>0</v>
      </c>
      <c r="I21" s="31">
        <v>-210.9</v>
      </c>
      <c r="J21" s="31">
        <v>-120.6</v>
      </c>
      <c r="K21" s="31">
        <v>-4327.3999999999996</v>
      </c>
      <c r="L21" s="31">
        <v>-4.2</v>
      </c>
      <c r="M21" s="31">
        <v>0</v>
      </c>
    </row>
    <row r="22" spans="1:13" x14ac:dyDescent="0.25">
      <c r="A22" s="30" t="s">
        <v>736</v>
      </c>
      <c r="B22" s="30" t="s">
        <v>737</v>
      </c>
      <c r="C22" s="31" t="s">
        <v>46</v>
      </c>
      <c r="D22" s="31" t="s">
        <v>46</v>
      </c>
      <c r="E22" s="31" t="s">
        <v>46</v>
      </c>
      <c r="F22" s="31" t="s">
        <v>46</v>
      </c>
      <c r="G22" s="31" t="s">
        <v>46</v>
      </c>
      <c r="H22" s="31">
        <v>0</v>
      </c>
      <c r="I22" s="31">
        <v>0</v>
      </c>
      <c r="J22" s="31">
        <v>1.4</v>
      </c>
      <c r="K22" s="31">
        <v>0.4</v>
      </c>
      <c r="L22" s="31">
        <v>14.8</v>
      </c>
      <c r="M22" s="31">
        <v>2.7</v>
      </c>
    </row>
    <row r="23" spans="1:13" x14ac:dyDescent="0.25">
      <c r="A23" s="30" t="s">
        <v>738</v>
      </c>
      <c r="B23" s="30" t="s">
        <v>739</v>
      </c>
      <c r="C23" s="31">
        <v>0</v>
      </c>
      <c r="D23" s="31" t="s">
        <v>46</v>
      </c>
      <c r="E23" s="31" t="s">
        <v>46</v>
      </c>
      <c r="F23" s="31" t="s">
        <v>46</v>
      </c>
      <c r="G23" s="31" t="s">
        <v>46</v>
      </c>
      <c r="H23" s="31">
        <v>0</v>
      </c>
      <c r="I23" s="31">
        <v>0</v>
      </c>
      <c r="J23" s="31">
        <v>4.2</v>
      </c>
      <c r="K23" s="31">
        <v>0</v>
      </c>
      <c r="L23" s="31" t="s">
        <v>46</v>
      </c>
      <c r="M23" s="31" t="s">
        <v>46</v>
      </c>
    </row>
    <row r="24" spans="1:13" x14ac:dyDescent="0.25">
      <c r="A24" s="28" t="s">
        <v>740</v>
      </c>
      <c r="B24" s="28" t="s">
        <v>741</v>
      </c>
      <c r="C24" s="32">
        <v>-81.8</v>
      </c>
      <c r="D24" s="32">
        <v>-129.69999999999999</v>
      </c>
      <c r="E24" s="32">
        <v>-537.5</v>
      </c>
      <c r="F24" s="32">
        <v>-109</v>
      </c>
      <c r="G24" s="32">
        <v>-239.7</v>
      </c>
      <c r="H24" s="32">
        <v>-131.6</v>
      </c>
      <c r="I24" s="32">
        <v>-338.9</v>
      </c>
      <c r="J24" s="32">
        <v>-267.10000000000002</v>
      </c>
      <c r="K24" s="32">
        <v>-4508.3</v>
      </c>
      <c r="L24" s="32">
        <v>-158.5</v>
      </c>
      <c r="M24" s="32">
        <v>-171</v>
      </c>
    </row>
    <row r="25" spans="1:13" x14ac:dyDescent="0.25">
      <c r="A25" s="30" t="s">
        <v>742</v>
      </c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</row>
    <row r="26" spans="1:13" x14ac:dyDescent="0.25">
      <c r="A26" s="30" t="s">
        <v>743</v>
      </c>
      <c r="B26" s="30" t="s">
        <v>744</v>
      </c>
      <c r="C26" s="31">
        <v>-125.4</v>
      </c>
      <c r="D26" s="31">
        <v>-138.19999999999999</v>
      </c>
      <c r="E26" s="31">
        <v>-148.5</v>
      </c>
      <c r="F26" s="31">
        <v>-164.7</v>
      </c>
      <c r="G26" s="31">
        <v>-179.9</v>
      </c>
      <c r="H26" s="31">
        <v>-192.4</v>
      </c>
      <c r="I26" s="31">
        <v>-204.9</v>
      </c>
      <c r="J26" s="31">
        <v>-217.8</v>
      </c>
      <c r="K26" s="31">
        <v>-237.6</v>
      </c>
      <c r="L26" s="31">
        <v>-273.39999999999998</v>
      </c>
      <c r="M26" s="31">
        <v>-302.2</v>
      </c>
    </row>
    <row r="27" spans="1:13" x14ac:dyDescent="0.25">
      <c r="A27" s="30" t="s">
        <v>745</v>
      </c>
      <c r="B27" s="30" t="s">
        <v>746</v>
      </c>
      <c r="C27" s="31">
        <v>-201.8</v>
      </c>
      <c r="D27" s="31">
        <v>-99.6</v>
      </c>
      <c r="E27" s="31">
        <v>216.7</v>
      </c>
      <c r="F27" s="31">
        <v>-76.599999999999994</v>
      </c>
      <c r="G27" s="31">
        <v>71.900000000000006</v>
      </c>
      <c r="H27" s="31">
        <v>57.7</v>
      </c>
      <c r="I27" s="31">
        <v>-127.4</v>
      </c>
      <c r="J27" s="31">
        <v>251.7</v>
      </c>
      <c r="K27" s="31">
        <v>-134.6</v>
      </c>
      <c r="L27" s="31">
        <v>305.5</v>
      </c>
      <c r="M27" s="31">
        <v>41</v>
      </c>
    </row>
    <row r="28" spans="1:13" x14ac:dyDescent="0.25">
      <c r="A28" s="30" t="s">
        <v>747</v>
      </c>
      <c r="B28" s="30" t="s">
        <v>748</v>
      </c>
      <c r="C28" s="31">
        <v>0</v>
      </c>
      <c r="D28" s="31">
        <v>0</v>
      </c>
      <c r="E28" s="31">
        <v>252</v>
      </c>
      <c r="F28" s="31">
        <v>0.8</v>
      </c>
      <c r="G28" s="31">
        <v>246.2</v>
      </c>
      <c r="H28" s="31">
        <v>0</v>
      </c>
      <c r="I28" s="31">
        <v>247</v>
      </c>
      <c r="J28" s="31">
        <v>6</v>
      </c>
      <c r="K28" s="31">
        <v>3989.6</v>
      </c>
      <c r="L28" s="31">
        <v>25.9</v>
      </c>
      <c r="M28" s="31">
        <v>0</v>
      </c>
    </row>
    <row r="29" spans="1:13" x14ac:dyDescent="0.25">
      <c r="A29" s="30" t="s">
        <v>749</v>
      </c>
      <c r="B29" s="30" t="s">
        <v>750</v>
      </c>
      <c r="C29" s="31">
        <v>-50.4</v>
      </c>
      <c r="D29" s="31">
        <v>-14.4</v>
      </c>
      <c r="E29" s="31">
        <v>-101.1</v>
      </c>
      <c r="F29" s="31">
        <v>-4.7</v>
      </c>
      <c r="G29" s="31">
        <v>-251.4</v>
      </c>
      <c r="H29" s="31">
        <v>-1.6</v>
      </c>
      <c r="I29" s="31">
        <v>-1.6</v>
      </c>
      <c r="J29" s="31">
        <v>-202</v>
      </c>
      <c r="K29" s="31">
        <v>-272.7</v>
      </c>
      <c r="L29" s="31">
        <v>-797.9</v>
      </c>
      <c r="M29" s="31">
        <v>-447.7</v>
      </c>
    </row>
    <row r="30" spans="1:13" x14ac:dyDescent="0.25">
      <c r="A30" s="30" t="s">
        <v>751</v>
      </c>
      <c r="B30" s="30" t="s">
        <v>752</v>
      </c>
      <c r="C30" s="31" t="s">
        <v>46</v>
      </c>
      <c r="D30" s="31" t="s">
        <v>46</v>
      </c>
      <c r="E30" s="31" t="s">
        <v>46</v>
      </c>
      <c r="F30" s="31" t="s">
        <v>46</v>
      </c>
      <c r="G30" s="31" t="s">
        <v>46</v>
      </c>
      <c r="H30" s="31" t="s">
        <v>46</v>
      </c>
      <c r="I30" s="31">
        <v>0</v>
      </c>
      <c r="J30" s="31">
        <v>0</v>
      </c>
      <c r="K30" s="31">
        <v>554</v>
      </c>
      <c r="L30" s="31">
        <v>0</v>
      </c>
      <c r="M30" s="31">
        <v>0</v>
      </c>
    </row>
    <row r="31" spans="1:13" x14ac:dyDescent="0.25">
      <c r="A31" s="30" t="s">
        <v>753</v>
      </c>
      <c r="B31" s="30" t="s">
        <v>754</v>
      </c>
      <c r="C31" s="31">
        <v>0</v>
      </c>
      <c r="D31" s="31">
        <v>-82.5</v>
      </c>
      <c r="E31" s="31">
        <v>-89.3</v>
      </c>
      <c r="F31" s="31">
        <v>-132.19999999999999</v>
      </c>
      <c r="G31" s="31">
        <v>-177.4</v>
      </c>
      <c r="H31" s="31">
        <v>-244.3</v>
      </c>
      <c r="I31" s="31">
        <v>-145.80000000000001</v>
      </c>
      <c r="J31" s="31">
        <v>-242.7</v>
      </c>
      <c r="K31" s="31">
        <v>-137.80000000000001</v>
      </c>
      <c r="L31" s="31">
        <v>-62.3</v>
      </c>
      <c r="M31" s="31">
        <v>-95.1</v>
      </c>
    </row>
    <row r="32" spans="1:13" x14ac:dyDescent="0.25">
      <c r="A32" s="30" t="s">
        <v>755</v>
      </c>
      <c r="B32" s="30" t="s">
        <v>756</v>
      </c>
      <c r="C32" s="31">
        <v>8.4</v>
      </c>
      <c r="D32" s="31">
        <v>14.6</v>
      </c>
      <c r="E32" s="31">
        <v>12.8</v>
      </c>
      <c r="F32" s="31">
        <v>3.4</v>
      </c>
      <c r="G32" s="31">
        <v>4.4000000000000004</v>
      </c>
      <c r="H32" s="31">
        <v>-8.8000000000000007</v>
      </c>
      <c r="I32" s="31">
        <v>-16.2</v>
      </c>
      <c r="J32" s="31">
        <v>-13.7</v>
      </c>
      <c r="K32" s="31">
        <v>5.4</v>
      </c>
      <c r="L32" s="31">
        <v>-1.8</v>
      </c>
      <c r="M32" s="31">
        <v>8.8000000000000007</v>
      </c>
    </row>
    <row r="33" spans="1:13" x14ac:dyDescent="0.25">
      <c r="A33" s="30" t="s">
        <v>757</v>
      </c>
      <c r="B33" s="30" t="s">
        <v>758</v>
      </c>
      <c r="C33" s="31" t="s">
        <v>46</v>
      </c>
      <c r="D33" s="31" t="s">
        <v>46</v>
      </c>
      <c r="E33" s="31" t="s">
        <v>46</v>
      </c>
      <c r="F33" s="31" t="s">
        <v>46</v>
      </c>
      <c r="G33" s="31" t="s">
        <v>46</v>
      </c>
      <c r="H33" s="31" t="s">
        <v>46</v>
      </c>
      <c r="I33" s="31">
        <v>0</v>
      </c>
      <c r="J33" s="31">
        <v>0</v>
      </c>
      <c r="K33" s="31">
        <v>-7.7</v>
      </c>
      <c r="L33" s="31">
        <v>0</v>
      </c>
      <c r="M33" s="31">
        <v>0</v>
      </c>
    </row>
    <row r="34" spans="1:13" x14ac:dyDescent="0.25">
      <c r="A34" s="30" t="s">
        <v>759</v>
      </c>
      <c r="B34" s="30" t="s">
        <v>760</v>
      </c>
      <c r="C34" s="31" t="s">
        <v>46</v>
      </c>
      <c r="D34" s="31" t="s">
        <v>46</v>
      </c>
      <c r="E34" s="31" t="s">
        <v>46</v>
      </c>
      <c r="F34" s="31" t="s">
        <v>46</v>
      </c>
      <c r="G34" s="31" t="s">
        <v>46</v>
      </c>
      <c r="H34" s="31" t="s">
        <v>46</v>
      </c>
      <c r="I34" s="31">
        <v>-5.3</v>
      </c>
      <c r="J34" s="31">
        <v>-3.5</v>
      </c>
      <c r="K34" s="31">
        <v>-25.5</v>
      </c>
      <c r="L34" s="31">
        <v>-14.1</v>
      </c>
      <c r="M34" s="31">
        <v>-12.7</v>
      </c>
    </row>
    <row r="35" spans="1:13" x14ac:dyDescent="0.25">
      <c r="A35" s="30" t="s">
        <v>761</v>
      </c>
      <c r="B35" s="30" t="s">
        <v>762</v>
      </c>
      <c r="C35" s="31">
        <v>35.799999999999997</v>
      </c>
      <c r="D35" s="31">
        <v>73.599999999999994</v>
      </c>
      <c r="E35" s="31">
        <v>58</v>
      </c>
      <c r="F35" s="31">
        <v>53.1</v>
      </c>
      <c r="G35" s="31">
        <v>44.7</v>
      </c>
      <c r="H35" s="31">
        <v>31.7</v>
      </c>
      <c r="I35" s="31">
        <v>38.4</v>
      </c>
      <c r="J35" s="31">
        <v>36.799999999999997</v>
      </c>
      <c r="K35" s="31">
        <v>29.5</v>
      </c>
      <c r="L35" s="31">
        <v>78.2</v>
      </c>
      <c r="M35" s="31">
        <v>90.9</v>
      </c>
    </row>
    <row r="36" spans="1:13" x14ac:dyDescent="0.25">
      <c r="A36" s="30" t="s">
        <v>763</v>
      </c>
      <c r="B36" s="30" t="s">
        <v>764</v>
      </c>
      <c r="C36" s="31">
        <v>0.6</v>
      </c>
      <c r="D36" s="31">
        <v>11.3</v>
      </c>
      <c r="E36" s="31">
        <v>3.1</v>
      </c>
      <c r="F36" s="31">
        <v>25.1</v>
      </c>
      <c r="G36" s="31">
        <v>-16</v>
      </c>
      <c r="H36" s="31">
        <v>14.3</v>
      </c>
      <c r="I36" s="31">
        <v>35.299999999999997</v>
      </c>
      <c r="J36" s="31">
        <v>5.8</v>
      </c>
      <c r="K36" s="31">
        <v>68.400000000000006</v>
      </c>
      <c r="L36" s="31">
        <v>-90.2</v>
      </c>
      <c r="M36" s="31">
        <v>58.8</v>
      </c>
    </row>
    <row r="37" spans="1:13" x14ac:dyDescent="0.25">
      <c r="A37" s="30" t="s">
        <v>765</v>
      </c>
      <c r="B37" s="30" t="s">
        <v>766</v>
      </c>
      <c r="C37" s="31">
        <v>39.5</v>
      </c>
      <c r="D37" s="31">
        <v>50.8</v>
      </c>
      <c r="E37" s="31">
        <v>53.9</v>
      </c>
      <c r="F37" s="31">
        <v>79</v>
      </c>
      <c r="G37" s="31">
        <v>63</v>
      </c>
      <c r="H37" s="31">
        <v>77.3</v>
      </c>
      <c r="I37" s="31">
        <v>35.299999999999997</v>
      </c>
      <c r="J37" s="31">
        <v>118.4</v>
      </c>
      <c r="K37" s="31">
        <v>186.8</v>
      </c>
      <c r="L37" s="31">
        <v>96.6</v>
      </c>
      <c r="M37" s="31">
        <v>155.4</v>
      </c>
    </row>
    <row r="38" spans="1:13" x14ac:dyDescent="0.25">
      <c r="A38" s="30" t="s">
        <v>767</v>
      </c>
      <c r="B38" s="30" t="s">
        <v>768</v>
      </c>
      <c r="C38" s="31">
        <v>38.9</v>
      </c>
      <c r="D38" s="31">
        <v>39.5</v>
      </c>
      <c r="E38" s="31">
        <v>50.8</v>
      </c>
      <c r="F38" s="31">
        <v>53.9</v>
      </c>
      <c r="G38" s="31">
        <v>79</v>
      </c>
      <c r="H38" s="31">
        <v>63</v>
      </c>
      <c r="I38" s="31">
        <v>77.3</v>
      </c>
      <c r="J38" s="31">
        <v>112.6</v>
      </c>
      <c r="K38" s="31">
        <v>118.4</v>
      </c>
      <c r="L38" s="31">
        <v>186.8</v>
      </c>
      <c r="M38" s="31">
        <v>96.6</v>
      </c>
    </row>
    <row r="39" spans="1:13" x14ac:dyDescent="0.25">
      <c r="A39" s="30" t="s">
        <v>769</v>
      </c>
      <c r="B39" s="30" t="s">
        <v>770</v>
      </c>
      <c r="C39" s="31" t="s">
        <v>46</v>
      </c>
      <c r="D39" s="31" t="s">
        <v>46</v>
      </c>
      <c r="E39" s="31" t="s">
        <v>46</v>
      </c>
      <c r="F39" s="31" t="s">
        <v>46</v>
      </c>
      <c r="G39" s="31" t="s">
        <v>46</v>
      </c>
      <c r="H39" s="31" t="s">
        <v>46</v>
      </c>
      <c r="I39" s="31">
        <v>0</v>
      </c>
      <c r="J39" s="31" t="s">
        <v>46</v>
      </c>
      <c r="K39" s="31" t="s">
        <v>46</v>
      </c>
      <c r="L39" s="31" t="s">
        <v>46</v>
      </c>
      <c r="M39" s="31" t="s">
        <v>46</v>
      </c>
    </row>
    <row r="40" spans="1:13" x14ac:dyDescent="0.25">
      <c r="A40" s="30" t="s">
        <v>771</v>
      </c>
      <c r="B40" s="30" t="s">
        <v>772</v>
      </c>
      <c r="C40" s="31" t="s">
        <v>46</v>
      </c>
      <c r="D40" s="31" t="s">
        <v>46</v>
      </c>
      <c r="E40" s="31" t="s">
        <v>46</v>
      </c>
      <c r="F40" s="31" t="s">
        <v>46</v>
      </c>
      <c r="G40" s="31" t="s">
        <v>46</v>
      </c>
      <c r="H40" s="31" t="s">
        <v>46</v>
      </c>
      <c r="I40" s="31" t="s">
        <v>46</v>
      </c>
      <c r="J40" s="31">
        <v>0</v>
      </c>
      <c r="K40" s="31">
        <v>-1.2</v>
      </c>
      <c r="L40" s="31">
        <v>-13</v>
      </c>
      <c r="M40" s="31">
        <v>0</v>
      </c>
    </row>
    <row r="41" spans="1:13" x14ac:dyDescent="0.25">
      <c r="A41" s="30" t="s">
        <v>773</v>
      </c>
      <c r="B41" s="30" t="s">
        <v>774</v>
      </c>
      <c r="C41" s="31" t="s">
        <v>46</v>
      </c>
      <c r="D41" s="31" t="s">
        <v>46</v>
      </c>
      <c r="E41" s="31" t="s">
        <v>46</v>
      </c>
      <c r="F41" s="31" t="s">
        <v>46</v>
      </c>
      <c r="G41" s="31" t="s">
        <v>46</v>
      </c>
      <c r="H41" s="31" t="s">
        <v>46</v>
      </c>
      <c r="I41" s="31" t="s">
        <v>46</v>
      </c>
      <c r="J41" s="31" t="s">
        <v>46</v>
      </c>
      <c r="K41" s="31" t="s">
        <v>46</v>
      </c>
      <c r="L41" s="31" t="s">
        <v>46</v>
      </c>
      <c r="M41" s="31" t="s">
        <v>46</v>
      </c>
    </row>
    <row r="42" spans="1:13" x14ac:dyDescent="0.25">
      <c r="A42" s="28" t="s">
        <v>775</v>
      </c>
      <c r="B42" s="28" t="s">
        <v>776</v>
      </c>
      <c r="C42" s="32">
        <v>-341.8</v>
      </c>
      <c r="D42" s="32">
        <v>-261.10000000000002</v>
      </c>
      <c r="E42" s="32">
        <v>187.8</v>
      </c>
      <c r="F42" s="32">
        <v>-324.3</v>
      </c>
      <c r="G42" s="32">
        <v>-245.9</v>
      </c>
      <c r="H42" s="32">
        <v>-348.9</v>
      </c>
      <c r="I42" s="32">
        <v>-199.6</v>
      </c>
      <c r="J42" s="32">
        <v>-371.5</v>
      </c>
      <c r="K42" s="32">
        <v>3756</v>
      </c>
      <c r="L42" s="32">
        <v>-751.1</v>
      </c>
      <c r="M42" s="32">
        <v>-725.8</v>
      </c>
    </row>
    <row r="43" spans="1:13" x14ac:dyDescent="0.25">
      <c r="A43" s="30" t="s">
        <v>131</v>
      </c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</row>
    <row r="44" spans="1:13" x14ac:dyDescent="0.25">
      <c r="A44" s="30" t="s">
        <v>777</v>
      </c>
      <c r="B44" s="30" t="s">
        <v>778</v>
      </c>
      <c r="C44" s="31">
        <v>107.1</v>
      </c>
      <c r="D44" s="31">
        <v>118</v>
      </c>
      <c r="E44" s="31">
        <v>142.6</v>
      </c>
      <c r="F44" s="31">
        <v>243.1</v>
      </c>
      <c r="G44" s="31">
        <v>106.3</v>
      </c>
      <c r="H44" s="31">
        <v>274.89999999999998</v>
      </c>
      <c r="I44" s="31">
        <v>242.8</v>
      </c>
      <c r="J44" s="31">
        <v>304</v>
      </c>
      <c r="K44" s="31">
        <v>306.89999999999998</v>
      </c>
      <c r="L44" s="31">
        <v>-2.7</v>
      </c>
      <c r="M44" s="31">
        <v>294.60000000000002</v>
      </c>
    </row>
    <row r="45" spans="1:13" x14ac:dyDescent="0.25">
      <c r="A45" s="30" t="s">
        <v>779</v>
      </c>
      <c r="B45" s="30" t="s">
        <v>780</v>
      </c>
      <c r="C45" s="31">
        <v>54.3</v>
      </c>
      <c r="D45" s="31">
        <v>49.3</v>
      </c>
      <c r="E45" s="31">
        <v>51.2</v>
      </c>
      <c r="F45" s="31">
        <v>109.3</v>
      </c>
      <c r="G45" s="31">
        <v>54.2</v>
      </c>
      <c r="H45" s="31">
        <v>99.7</v>
      </c>
      <c r="I45" s="31">
        <v>105.5</v>
      </c>
      <c r="J45" s="31">
        <v>113.5</v>
      </c>
      <c r="K45" s="31">
        <v>167.8</v>
      </c>
      <c r="L45" s="31">
        <v>354.4</v>
      </c>
      <c r="M45" s="31">
        <v>335</v>
      </c>
    </row>
    <row r="46" spans="1:13" x14ac:dyDescent="0.25">
      <c r="A46" s="35" t="s">
        <v>54</v>
      </c>
      <c r="B46" s="35"/>
      <c r="C46" s="35" t="s">
        <v>55</v>
      </c>
      <c r="D46" s="35"/>
      <c r="E46" s="35"/>
      <c r="F46" s="35"/>
      <c r="G46" s="35"/>
      <c r="H46" s="35"/>
      <c r="I46" s="35"/>
      <c r="J46" s="35"/>
      <c r="K46" s="35"/>
      <c r="L46" s="35"/>
      <c r="M46" s="3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75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51.7109375" style="4" bestFit="1" customWidth="1"/>
    <col min="2" max="2" width="40.28515625" style="4" bestFit="1" customWidth="1"/>
    <col min="3" max="16384" width="9.140625" style="4"/>
  </cols>
  <sheetData>
    <row r="1" spans="1:2" x14ac:dyDescent="0.25">
      <c r="A1" s="38" t="s">
        <v>68</v>
      </c>
      <c r="B1" s="38" t="s">
        <v>67</v>
      </c>
    </row>
    <row r="2" spans="1:2" x14ac:dyDescent="0.25">
      <c r="A2" s="39" t="s">
        <v>76</v>
      </c>
      <c r="B2" s="39" t="s">
        <v>77</v>
      </c>
    </row>
    <row r="3" spans="1:2" x14ac:dyDescent="0.25">
      <c r="A3" s="39" t="s">
        <v>78</v>
      </c>
      <c r="B3" s="39" t="s">
        <v>79</v>
      </c>
    </row>
    <row r="4" spans="1:2" x14ac:dyDescent="0.25">
      <c r="A4" s="39" t="s">
        <v>69</v>
      </c>
      <c r="B4" s="39" t="s">
        <v>80</v>
      </c>
    </row>
    <row r="5" spans="1:2" x14ac:dyDescent="0.25">
      <c r="A5" s="39" t="s">
        <v>81</v>
      </c>
      <c r="B5" s="39" t="s">
        <v>82</v>
      </c>
    </row>
    <row r="6" spans="1:2" x14ac:dyDescent="0.25">
      <c r="A6" s="39" t="s">
        <v>83</v>
      </c>
      <c r="B6" s="39" t="s">
        <v>84</v>
      </c>
    </row>
    <row r="7" spans="1:2" x14ac:dyDescent="0.25">
      <c r="A7" s="39" t="s">
        <v>47</v>
      </c>
      <c r="B7" s="39" t="s">
        <v>85</v>
      </c>
    </row>
    <row r="8" spans="1:2" x14ac:dyDescent="0.25">
      <c r="A8" s="39" t="s">
        <v>86</v>
      </c>
      <c r="B8" s="39" t="s">
        <v>87</v>
      </c>
    </row>
    <row r="9" spans="1:2" x14ac:dyDescent="0.25">
      <c r="A9" s="39" t="s">
        <v>88</v>
      </c>
      <c r="B9" s="39" t="s">
        <v>89</v>
      </c>
    </row>
    <row r="10" spans="1:2" x14ac:dyDescent="0.25">
      <c r="A10" s="39" t="s">
        <v>74</v>
      </c>
      <c r="B10" s="39" t="s">
        <v>90</v>
      </c>
    </row>
    <row r="11" spans="1:2" x14ac:dyDescent="0.25">
      <c r="A11" s="39" t="s">
        <v>73</v>
      </c>
      <c r="B11" s="39" t="s">
        <v>91</v>
      </c>
    </row>
    <row r="12" spans="1:2" x14ac:dyDescent="0.25">
      <c r="A12" s="39" t="s">
        <v>92</v>
      </c>
      <c r="B12" s="39" t="s">
        <v>93</v>
      </c>
    </row>
    <row r="13" spans="1:2" x14ac:dyDescent="0.25">
      <c r="A13" s="39" t="s">
        <v>94</v>
      </c>
      <c r="B13" s="39" t="s">
        <v>95</v>
      </c>
    </row>
    <row r="14" spans="1:2" x14ac:dyDescent="0.25">
      <c r="A14" s="39" t="s">
        <v>45</v>
      </c>
      <c r="B14" s="39" t="s">
        <v>96</v>
      </c>
    </row>
    <row r="15" spans="1:2" x14ac:dyDescent="0.25">
      <c r="A15" s="39" t="s">
        <v>97</v>
      </c>
      <c r="B15" s="39" t="s">
        <v>98</v>
      </c>
    </row>
    <row r="16" spans="1:2" x14ac:dyDescent="0.25">
      <c r="A16" s="39" t="s">
        <v>99</v>
      </c>
      <c r="B16" s="39" t="s">
        <v>100</v>
      </c>
    </row>
    <row r="17" spans="1:2" x14ac:dyDescent="0.25">
      <c r="A17" s="40" t="s">
        <v>101</v>
      </c>
      <c r="B17" s="40" t="s">
        <v>102</v>
      </c>
    </row>
    <row r="18" spans="1:2" x14ac:dyDescent="0.25">
      <c r="A18" s="39" t="s">
        <v>103</v>
      </c>
      <c r="B18" s="39" t="s">
        <v>104</v>
      </c>
    </row>
    <row r="19" spans="1:2" x14ac:dyDescent="0.25">
      <c r="A19" s="39" t="s">
        <v>48</v>
      </c>
      <c r="B19" s="39" t="s">
        <v>105</v>
      </c>
    </row>
    <row r="20" spans="1:2" x14ac:dyDescent="0.25">
      <c r="A20" s="39" t="s">
        <v>106</v>
      </c>
      <c r="B20" s="39" t="s">
        <v>107</v>
      </c>
    </row>
    <row r="21" spans="1:2" x14ac:dyDescent="0.25">
      <c r="A21" s="39" t="s">
        <v>108</v>
      </c>
      <c r="B21" s="39" t="s">
        <v>109</v>
      </c>
    </row>
    <row r="22" spans="1:2" x14ac:dyDescent="0.25">
      <c r="A22" s="39" t="s">
        <v>110</v>
      </c>
      <c r="B22" s="39" t="s">
        <v>111</v>
      </c>
    </row>
    <row r="23" spans="1:2" x14ac:dyDescent="0.25">
      <c r="A23" s="39" t="s">
        <v>112</v>
      </c>
      <c r="B23" s="39" t="s">
        <v>113</v>
      </c>
    </row>
    <row r="24" spans="1:2" x14ac:dyDescent="0.25">
      <c r="A24" s="39" t="s">
        <v>49</v>
      </c>
      <c r="B24" s="39" t="s">
        <v>114</v>
      </c>
    </row>
    <row r="25" spans="1:2" x14ac:dyDescent="0.25">
      <c r="A25" s="41" t="s">
        <v>115</v>
      </c>
      <c r="B25" s="41" t="s">
        <v>116</v>
      </c>
    </row>
    <row r="26" spans="1:2" x14ac:dyDescent="0.25">
      <c r="A26" s="41" t="s">
        <v>75</v>
      </c>
      <c r="B26" s="41" t="s">
        <v>117</v>
      </c>
    </row>
    <row r="27" spans="1:2" x14ac:dyDescent="0.25">
      <c r="A27" s="39" t="s">
        <v>118</v>
      </c>
      <c r="B27" s="39" t="s">
        <v>119</v>
      </c>
    </row>
    <row r="28" spans="1:2" x14ac:dyDescent="0.25">
      <c r="A28" s="39" t="s">
        <v>120</v>
      </c>
      <c r="B28" s="39" t="s">
        <v>121</v>
      </c>
    </row>
    <row r="29" spans="1:2" x14ac:dyDescent="0.25">
      <c r="A29" s="39" t="s">
        <v>51</v>
      </c>
      <c r="B29" s="39" t="s">
        <v>122</v>
      </c>
    </row>
    <row r="30" spans="1:2" x14ac:dyDescent="0.25">
      <c r="A30" s="39" t="s">
        <v>123</v>
      </c>
      <c r="B30" s="39" t="s">
        <v>124</v>
      </c>
    </row>
    <row r="31" spans="1:2" x14ac:dyDescent="0.25">
      <c r="A31" s="40" t="s">
        <v>125</v>
      </c>
      <c r="B31" s="40" t="s">
        <v>126</v>
      </c>
    </row>
    <row r="32" spans="1:2" x14ac:dyDescent="0.25">
      <c r="A32" s="40" t="s">
        <v>127</v>
      </c>
      <c r="B32" s="40" t="s">
        <v>128</v>
      </c>
    </row>
    <row r="33" spans="1:2" x14ac:dyDescent="0.25">
      <c r="A33" s="39" t="s">
        <v>129</v>
      </c>
      <c r="B33" s="39" t="s">
        <v>130</v>
      </c>
    </row>
    <row r="34" spans="1:2" x14ac:dyDescent="0.25">
      <c r="A34" s="39" t="s">
        <v>69</v>
      </c>
      <c r="B34" s="39" t="s">
        <v>132</v>
      </c>
    </row>
    <row r="35" spans="1:2" x14ac:dyDescent="0.25">
      <c r="A35" s="39" t="s">
        <v>133</v>
      </c>
      <c r="B35" s="39" t="s">
        <v>134</v>
      </c>
    </row>
    <row r="36" spans="1:2" x14ac:dyDescent="0.25">
      <c r="A36" s="39" t="s">
        <v>86</v>
      </c>
      <c r="B36" s="39" t="s">
        <v>135</v>
      </c>
    </row>
    <row r="37" spans="1:2" x14ac:dyDescent="0.25">
      <c r="A37" s="39" t="s">
        <v>136</v>
      </c>
      <c r="B37" s="39" t="s">
        <v>137</v>
      </c>
    </row>
    <row r="38" spans="1:2" x14ac:dyDescent="0.25">
      <c r="A38" s="39" t="s">
        <v>138</v>
      </c>
      <c r="B38" s="39" t="s">
        <v>139</v>
      </c>
    </row>
    <row r="39" spans="1:2" x14ac:dyDescent="0.25">
      <c r="A39" s="39" t="s">
        <v>140</v>
      </c>
      <c r="B39" s="39" t="s">
        <v>141</v>
      </c>
    </row>
    <row r="40" spans="1:2" x14ac:dyDescent="0.25">
      <c r="A40" s="39" t="s">
        <v>142</v>
      </c>
      <c r="B40" s="39" t="s">
        <v>143</v>
      </c>
    </row>
    <row r="41" spans="1:2" x14ac:dyDescent="0.25">
      <c r="A41" s="41" t="s">
        <v>72</v>
      </c>
      <c r="B41" s="41" t="s">
        <v>144</v>
      </c>
    </row>
    <row r="42" spans="1:2" x14ac:dyDescent="0.25">
      <c r="A42" s="39" t="s">
        <v>88</v>
      </c>
      <c r="B42" s="39" t="s">
        <v>145</v>
      </c>
    </row>
    <row r="43" spans="1:2" x14ac:dyDescent="0.25">
      <c r="A43" s="39" t="s">
        <v>146</v>
      </c>
      <c r="B43" s="39" t="s">
        <v>147</v>
      </c>
    </row>
    <row r="44" spans="1:2" x14ac:dyDescent="0.25">
      <c r="A44" s="39" t="s">
        <v>74</v>
      </c>
      <c r="B44" s="39" t="s">
        <v>148</v>
      </c>
    </row>
    <row r="45" spans="1:2" x14ac:dyDescent="0.25">
      <c r="A45" s="39" t="s">
        <v>149</v>
      </c>
      <c r="B45" s="39" t="s">
        <v>150</v>
      </c>
    </row>
    <row r="46" spans="1:2" x14ac:dyDescent="0.25">
      <c r="A46" s="39" t="s">
        <v>151</v>
      </c>
      <c r="B46" s="39" t="s">
        <v>152</v>
      </c>
    </row>
    <row r="47" spans="1:2" x14ac:dyDescent="0.25">
      <c r="A47" s="40" t="s">
        <v>73</v>
      </c>
      <c r="B47" s="40" t="s">
        <v>153</v>
      </c>
    </row>
    <row r="48" spans="1:2" x14ac:dyDescent="0.25">
      <c r="A48" s="39" t="s">
        <v>154</v>
      </c>
      <c r="B48" s="39" t="s">
        <v>155</v>
      </c>
    </row>
    <row r="49" spans="1:2" x14ac:dyDescent="0.25">
      <c r="A49" s="39" t="s">
        <v>99</v>
      </c>
      <c r="B49" s="39" t="s">
        <v>156</v>
      </c>
    </row>
    <row r="50" spans="1:2" x14ac:dyDescent="0.25">
      <c r="A50" s="39" t="s">
        <v>108</v>
      </c>
      <c r="B50" s="39" t="s">
        <v>157</v>
      </c>
    </row>
    <row r="51" spans="1:2" x14ac:dyDescent="0.25">
      <c r="A51" s="41" t="s">
        <v>110</v>
      </c>
      <c r="B51" s="41" t="s">
        <v>158</v>
      </c>
    </row>
    <row r="52" spans="1:2" x14ac:dyDescent="0.25">
      <c r="A52" s="39" t="s">
        <v>159</v>
      </c>
      <c r="B52" s="39" t="s">
        <v>160</v>
      </c>
    </row>
    <row r="53" spans="1:2" x14ac:dyDescent="0.25">
      <c r="A53" s="39" t="s">
        <v>75</v>
      </c>
      <c r="B53" s="39" t="s">
        <v>161</v>
      </c>
    </row>
    <row r="54" spans="1:2" x14ac:dyDescent="0.25">
      <c r="A54" s="39" t="s">
        <v>118</v>
      </c>
      <c r="B54" s="39" t="s">
        <v>162</v>
      </c>
    </row>
    <row r="55" spans="1:2" x14ac:dyDescent="0.25">
      <c r="A55" s="39" t="s">
        <v>120</v>
      </c>
      <c r="B55" s="39" t="s">
        <v>163</v>
      </c>
    </row>
    <row r="56" spans="1:2" x14ac:dyDescent="0.25">
      <c r="A56" s="39" t="s">
        <v>51</v>
      </c>
      <c r="B56" s="39" t="s">
        <v>164</v>
      </c>
    </row>
    <row r="57" spans="1:2" x14ac:dyDescent="0.25">
      <c r="A57" s="39" t="s">
        <v>70</v>
      </c>
      <c r="B57" s="39" t="s">
        <v>165</v>
      </c>
    </row>
    <row r="58" spans="1:2" x14ac:dyDescent="0.25">
      <c r="A58" s="39" t="s">
        <v>71</v>
      </c>
      <c r="B58" s="39" t="s">
        <v>166</v>
      </c>
    </row>
    <row r="59" spans="1:2" x14ac:dyDescent="0.25">
      <c r="A59" s="40" t="s">
        <v>123</v>
      </c>
      <c r="B59" s="40" t="s">
        <v>167</v>
      </c>
    </row>
    <row r="60" spans="1:2" x14ac:dyDescent="0.25">
      <c r="A60" s="40" t="s">
        <v>168</v>
      </c>
      <c r="B60" s="40" t="s">
        <v>169</v>
      </c>
    </row>
    <row r="61" spans="1:2" x14ac:dyDescent="0.25">
      <c r="A61" s="39" t="s">
        <v>170</v>
      </c>
      <c r="B61" s="39" t="s">
        <v>171</v>
      </c>
    </row>
    <row r="62" spans="1:2" x14ac:dyDescent="0.25">
      <c r="A62" s="39" t="s">
        <v>172</v>
      </c>
      <c r="B62" s="39" t="s">
        <v>173</v>
      </c>
    </row>
    <row r="63" spans="1:2" x14ac:dyDescent="0.25">
      <c r="A63" s="39" t="s">
        <v>174</v>
      </c>
      <c r="B63" s="39" t="s">
        <v>175</v>
      </c>
    </row>
    <row r="64" spans="1:2" x14ac:dyDescent="0.25">
      <c r="A64" s="39" t="s">
        <v>52</v>
      </c>
      <c r="B64" s="39" t="s">
        <v>176</v>
      </c>
    </row>
    <row r="65" spans="1:2" x14ac:dyDescent="0.25">
      <c r="A65" s="39" t="s">
        <v>177</v>
      </c>
      <c r="B65" s="39" t="s">
        <v>178</v>
      </c>
    </row>
    <row r="66" spans="1:2" x14ac:dyDescent="0.25">
      <c r="A66" s="39" t="s">
        <v>179</v>
      </c>
      <c r="B66" s="39" t="s">
        <v>180</v>
      </c>
    </row>
    <row r="67" spans="1:2" x14ac:dyDescent="0.25">
      <c r="A67" s="40" t="s">
        <v>181</v>
      </c>
      <c r="B67" s="40" t="s">
        <v>182</v>
      </c>
    </row>
    <row r="68" spans="1:2" x14ac:dyDescent="0.25">
      <c r="A68" s="39" t="s">
        <v>183</v>
      </c>
      <c r="B68" s="39" t="s">
        <v>184</v>
      </c>
    </row>
    <row r="69" spans="1:2" x14ac:dyDescent="0.25">
      <c r="A69" s="40" t="s">
        <v>185</v>
      </c>
      <c r="B69" s="40" t="s">
        <v>186</v>
      </c>
    </row>
    <row r="70" spans="1:2" x14ac:dyDescent="0.25">
      <c r="A70" s="40" t="s">
        <v>187</v>
      </c>
      <c r="B70" s="40" t="s">
        <v>188</v>
      </c>
    </row>
    <row r="71" spans="1:2" x14ac:dyDescent="0.25">
      <c r="A71" s="39" t="s">
        <v>189</v>
      </c>
      <c r="B71" s="39" t="s">
        <v>190</v>
      </c>
    </row>
    <row r="72" spans="1:2" x14ac:dyDescent="0.25">
      <c r="A72" s="39" t="s">
        <v>83</v>
      </c>
      <c r="B72" s="39" t="s">
        <v>191</v>
      </c>
    </row>
    <row r="73" spans="1:2" x14ac:dyDescent="0.25">
      <c r="A73" s="39" t="s">
        <v>125</v>
      </c>
      <c r="B73" s="39" t="s">
        <v>192</v>
      </c>
    </row>
    <row r="74" spans="1:2" x14ac:dyDescent="0.25">
      <c r="A74" s="39" t="s">
        <v>193</v>
      </c>
      <c r="B74" s="39" t="s">
        <v>194</v>
      </c>
    </row>
    <row r="75" spans="1:2" x14ac:dyDescent="0.25">
      <c r="A75" s="39" t="s">
        <v>195</v>
      </c>
      <c r="B75" s="39" t="s">
        <v>196</v>
      </c>
    </row>
    <row r="76" spans="1:2" x14ac:dyDescent="0.25">
      <c r="A76" s="39" t="s">
        <v>197</v>
      </c>
      <c r="B76" s="39" t="s">
        <v>198</v>
      </c>
    </row>
    <row r="77" spans="1:2" x14ac:dyDescent="0.25">
      <c r="A77" s="39" t="s">
        <v>199</v>
      </c>
      <c r="B77" s="39" t="s">
        <v>200</v>
      </c>
    </row>
    <row r="78" spans="1:2" x14ac:dyDescent="0.25">
      <c r="A78" s="39" t="s">
        <v>201</v>
      </c>
      <c r="B78" s="39" t="s">
        <v>202</v>
      </c>
    </row>
    <row r="79" spans="1:2" x14ac:dyDescent="0.25">
      <c r="A79" s="39" t="s">
        <v>203</v>
      </c>
      <c r="B79" s="39" t="s">
        <v>204</v>
      </c>
    </row>
    <row r="80" spans="1:2" x14ac:dyDescent="0.25">
      <c r="A80" s="39" t="s">
        <v>205</v>
      </c>
      <c r="B80" s="39" t="s">
        <v>206</v>
      </c>
    </row>
    <row r="81" spans="1:2" x14ac:dyDescent="0.25">
      <c r="A81" s="39" t="s">
        <v>207</v>
      </c>
      <c r="B81" s="39" t="s">
        <v>208</v>
      </c>
    </row>
    <row r="82" spans="1:2" x14ac:dyDescent="0.25">
      <c r="A82" s="39" t="s">
        <v>209</v>
      </c>
      <c r="B82" s="39" t="s">
        <v>210</v>
      </c>
    </row>
    <row r="83" spans="1:2" x14ac:dyDescent="0.25">
      <c r="A83" s="39" t="s">
        <v>211</v>
      </c>
      <c r="B83" s="39" t="s">
        <v>212</v>
      </c>
    </row>
    <row r="84" spans="1:2" x14ac:dyDescent="0.25">
      <c r="A84" s="39" t="s">
        <v>213</v>
      </c>
      <c r="B84" s="39" t="s">
        <v>214</v>
      </c>
    </row>
    <row r="85" spans="1:2" x14ac:dyDescent="0.25">
      <c r="A85" s="4" t="s">
        <v>53</v>
      </c>
      <c r="B85" s="4" t="s">
        <v>215</v>
      </c>
    </row>
    <row r="86" spans="1:2" x14ac:dyDescent="0.25">
      <c r="A86" s="4" t="s">
        <v>216</v>
      </c>
      <c r="B86" s="4" t="s">
        <v>217</v>
      </c>
    </row>
    <row r="87" spans="1:2" x14ac:dyDescent="0.25">
      <c r="A87" s="4" t="s">
        <v>218</v>
      </c>
      <c r="B87" s="4" t="s">
        <v>219</v>
      </c>
    </row>
    <row r="88" spans="1:2" x14ac:dyDescent="0.25">
      <c r="A88" s="4" t="s">
        <v>220</v>
      </c>
      <c r="B88" s="4" t="s">
        <v>221</v>
      </c>
    </row>
    <row r="89" spans="1:2" x14ac:dyDescent="0.25">
      <c r="A89" s="4" t="s">
        <v>222</v>
      </c>
      <c r="B89" s="4" t="s">
        <v>223</v>
      </c>
    </row>
    <row r="90" spans="1:2" x14ac:dyDescent="0.25">
      <c r="A90" s="4" t="s">
        <v>224</v>
      </c>
      <c r="B90" s="4" t="s">
        <v>225</v>
      </c>
    </row>
    <row r="91" spans="1:2" x14ac:dyDescent="0.25">
      <c r="A91" s="4" t="s">
        <v>226</v>
      </c>
      <c r="B91" s="4" t="s">
        <v>227</v>
      </c>
    </row>
    <row r="92" spans="1:2" x14ac:dyDescent="0.25">
      <c r="A92" s="4" t="s">
        <v>228</v>
      </c>
      <c r="B92" s="4" t="s">
        <v>229</v>
      </c>
    </row>
    <row r="93" spans="1:2" x14ac:dyDescent="0.25">
      <c r="A93" s="4" t="s">
        <v>230</v>
      </c>
      <c r="B93" s="4" t="s">
        <v>231</v>
      </c>
    </row>
    <row r="94" spans="1:2" x14ac:dyDescent="0.25">
      <c r="A94" s="4" t="s">
        <v>232</v>
      </c>
      <c r="B94" s="4" t="s">
        <v>233</v>
      </c>
    </row>
    <row r="95" spans="1:2" x14ac:dyDescent="0.25">
      <c r="A95" s="4" t="s">
        <v>234</v>
      </c>
      <c r="B95" s="4" t="s">
        <v>235</v>
      </c>
    </row>
    <row r="96" spans="1:2" x14ac:dyDescent="0.25">
      <c r="A96" s="4" t="s">
        <v>236</v>
      </c>
      <c r="B96" s="4" t="s">
        <v>237</v>
      </c>
    </row>
    <row r="97" spans="1:2" x14ac:dyDescent="0.25">
      <c r="A97" s="4" t="s">
        <v>238</v>
      </c>
      <c r="B97" s="4" t="s">
        <v>239</v>
      </c>
    </row>
    <row r="98" spans="1:2" x14ac:dyDescent="0.25">
      <c r="A98" s="4" t="s">
        <v>240</v>
      </c>
      <c r="B98" s="4" t="s">
        <v>241</v>
      </c>
    </row>
    <row r="99" spans="1:2" x14ac:dyDescent="0.25">
      <c r="A99" s="4" t="s">
        <v>242</v>
      </c>
      <c r="B99" s="4" t="s">
        <v>243</v>
      </c>
    </row>
    <row r="100" spans="1:2" x14ac:dyDescent="0.25">
      <c r="A100" s="4" t="s">
        <v>244</v>
      </c>
      <c r="B100" s="4" t="s">
        <v>245</v>
      </c>
    </row>
    <row r="101" spans="1:2" x14ac:dyDescent="0.25">
      <c r="A101" s="4" t="s">
        <v>246</v>
      </c>
      <c r="B101" s="4" t="s">
        <v>247</v>
      </c>
    </row>
    <row r="102" spans="1:2" x14ac:dyDescent="0.25">
      <c r="A102" s="4" t="s">
        <v>248</v>
      </c>
      <c r="B102" s="4" t="s">
        <v>249</v>
      </c>
    </row>
    <row r="103" spans="1:2" x14ac:dyDescent="0.25">
      <c r="A103" s="4" t="s">
        <v>250</v>
      </c>
      <c r="B103" s="4" t="s">
        <v>251</v>
      </c>
    </row>
    <row r="104" spans="1:2" x14ac:dyDescent="0.25">
      <c r="A104" s="4" t="s">
        <v>252</v>
      </c>
      <c r="B104" s="4" t="s">
        <v>253</v>
      </c>
    </row>
    <row r="105" spans="1:2" x14ac:dyDescent="0.25">
      <c r="A105" s="4" t="s">
        <v>254</v>
      </c>
      <c r="B105" s="4" t="s">
        <v>255</v>
      </c>
    </row>
    <row r="106" spans="1:2" x14ac:dyDescent="0.25">
      <c r="A106" s="4" t="s">
        <v>256</v>
      </c>
      <c r="B106" s="4" t="s">
        <v>257</v>
      </c>
    </row>
    <row r="107" spans="1:2" x14ac:dyDescent="0.25">
      <c r="A107" s="4" t="s">
        <v>258</v>
      </c>
      <c r="B107" s="4" t="s">
        <v>259</v>
      </c>
    </row>
    <row r="108" spans="1:2" x14ac:dyDescent="0.25">
      <c r="A108" s="4" t="s">
        <v>260</v>
      </c>
      <c r="B108" s="4" t="s">
        <v>261</v>
      </c>
    </row>
    <row r="109" spans="1:2" x14ac:dyDescent="0.25">
      <c r="A109" s="4" t="s">
        <v>262</v>
      </c>
      <c r="B109" s="4" t="s">
        <v>263</v>
      </c>
    </row>
    <row r="110" spans="1:2" x14ac:dyDescent="0.25">
      <c r="A110" s="4" t="s">
        <v>264</v>
      </c>
      <c r="B110" s="4" t="s">
        <v>265</v>
      </c>
    </row>
    <row r="111" spans="1:2" x14ac:dyDescent="0.25">
      <c r="A111" s="4" t="s">
        <v>266</v>
      </c>
      <c r="B111" s="4" t="s">
        <v>267</v>
      </c>
    </row>
    <row r="112" spans="1:2" x14ac:dyDescent="0.25">
      <c r="A112" s="4" t="s">
        <v>268</v>
      </c>
      <c r="B112" s="4" t="s">
        <v>269</v>
      </c>
    </row>
    <row r="113" spans="1:2" x14ac:dyDescent="0.25">
      <c r="A113" s="4" t="s">
        <v>270</v>
      </c>
      <c r="B113" s="4" t="s">
        <v>271</v>
      </c>
    </row>
    <row r="114" spans="1:2" x14ac:dyDescent="0.25">
      <c r="A114" s="4" t="s">
        <v>272</v>
      </c>
      <c r="B114" s="4" t="s">
        <v>273</v>
      </c>
    </row>
    <row r="115" spans="1:2" x14ac:dyDescent="0.25">
      <c r="A115" s="4" t="s">
        <v>274</v>
      </c>
      <c r="B115" s="4" t="s">
        <v>275</v>
      </c>
    </row>
    <row r="116" spans="1:2" x14ac:dyDescent="0.25">
      <c r="A116" s="4" t="s">
        <v>276</v>
      </c>
      <c r="B116" s="4" t="s">
        <v>277</v>
      </c>
    </row>
    <row r="117" spans="1:2" x14ac:dyDescent="0.25">
      <c r="A117" s="4" t="s">
        <v>278</v>
      </c>
      <c r="B117" s="4" t="s">
        <v>279</v>
      </c>
    </row>
    <row r="118" spans="1:2" x14ac:dyDescent="0.25">
      <c r="A118" s="4" t="s">
        <v>280</v>
      </c>
      <c r="B118" s="4" t="s">
        <v>281</v>
      </c>
    </row>
    <row r="119" spans="1:2" x14ac:dyDescent="0.25">
      <c r="A119" s="4" t="s">
        <v>282</v>
      </c>
      <c r="B119" s="4" t="s">
        <v>283</v>
      </c>
    </row>
    <row r="120" spans="1:2" x14ac:dyDescent="0.25">
      <c r="A120" s="4" t="s">
        <v>284</v>
      </c>
      <c r="B120" s="4" t="s">
        <v>285</v>
      </c>
    </row>
    <row r="121" spans="1:2" x14ac:dyDescent="0.25">
      <c r="A121" s="4" t="s">
        <v>286</v>
      </c>
      <c r="B121" s="4" t="s">
        <v>287</v>
      </c>
    </row>
    <row r="122" spans="1:2" x14ac:dyDescent="0.25">
      <c r="A122" s="4" t="s">
        <v>288</v>
      </c>
      <c r="B122" s="4" t="s">
        <v>289</v>
      </c>
    </row>
    <row r="123" spans="1:2" x14ac:dyDescent="0.25">
      <c r="A123" s="4" t="s">
        <v>290</v>
      </c>
      <c r="B123" s="4" t="s">
        <v>291</v>
      </c>
    </row>
    <row r="124" spans="1:2" x14ac:dyDescent="0.25">
      <c r="A124" s="4" t="s">
        <v>292</v>
      </c>
      <c r="B124" s="4" t="s">
        <v>293</v>
      </c>
    </row>
    <row r="125" spans="1:2" x14ac:dyDescent="0.25">
      <c r="A125" s="4" t="s">
        <v>294</v>
      </c>
      <c r="B125" s="4" t="s">
        <v>295</v>
      </c>
    </row>
    <row r="126" spans="1:2" x14ac:dyDescent="0.25">
      <c r="A126" s="4" t="s">
        <v>296</v>
      </c>
      <c r="B126" s="4" t="s">
        <v>297</v>
      </c>
    </row>
    <row r="127" spans="1:2" x14ac:dyDescent="0.25">
      <c r="A127" s="4" t="s">
        <v>298</v>
      </c>
      <c r="B127" s="4" t="s">
        <v>299</v>
      </c>
    </row>
    <row r="128" spans="1:2" x14ac:dyDescent="0.25">
      <c r="A128" s="4" t="s">
        <v>300</v>
      </c>
      <c r="B128" s="4" t="s">
        <v>301</v>
      </c>
    </row>
    <row r="129" spans="1:2" x14ac:dyDescent="0.25">
      <c r="A129" s="4" t="s">
        <v>302</v>
      </c>
      <c r="B129" s="4" t="s">
        <v>303</v>
      </c>
    </row>
    <row r="130" spans="1:2" x14ac:dyDescent="0.25">
      <c r="A130" s="4" t="s">
        <v>304</v>
      </c>
      <c r="B130" s="4" t="s">
        <v>305</v>
      </c>
    </row>
    <row r="131" spans="1:2" x14ac:dyDescent="0.25">
      <c r="A131" s="4" t="s">
        <v>306</v>
      </c>
      <c r="B131" s="4" t="s">
        <v>307</v>
      </c>
    </row>
    <row r="132" spans="1:2" x14ac:dyDescent="0.25">
      <c r="A132" s="4" t="s">
        <v>308</v>
      </c>
      <c r="B132" s="4" t="s">
        <v>309</v>
      </c>
    </row>
    <row r="133" spans="1:2" x14ac:dyDescent="0.25">
      <c r="A133" s="4" t="s">
        <v>310</v>
      </c>
      <c r="B133" s="4" t="s">
        <v>311</v>
      </c>
    </row>
    <row r="134" spans="1:2" x14ac:dyDescent="0.25">
      <c r="A134" s="4" t="s">
        <v>312</v>
      </c>
      <c r="B134" s="4" t="s">
        <v>313</v>
      </c>
    </row>
    <row r="135" spans="1:2" x14ac:dyDescent="0.25">
      <c r="A135" s="4" t="s">
        <v>314</v>
      </c>
      <c r="B135" s="4" t="s">
        <v>315</v>
      </c>
    </row>
    <row r="136" spans="1:2" x14ac:dyDescent="0.25">
      <c r="A136" s="4" t="s">
        <v>316</v>
      </c>
      <c r="B136" s="4" t="s">
        <v>317</v>
      </c>
    </row>
    <row r="137" spans="1:2" x14ac:dyDescent="0.25">
      <c r="A137" s="4" t="s">
        <v>318</v>
      </c>
      <c r="B137" s="4" t="s">
        <v>319</v>
      </c>
    </row>
    <row r="138" spans="1:2" x14ac:dyDescent="0.25">
      <c r="A138" s="4" t="s">
        <v>320</v>
      </c>
      <c r="B138" s="4" t="s">
        <v>321</v>
      </c>
    </row>
    <row r="139" spans="1:2" x14ac:dyDescent="0.25">
      <c r="A139" s="4" t="s">
        <v>322</v>
      </c>
      <c r="B139" s="4" t="s">
        <v>323</v>
      </c>
    </row>
    <row r="140" spans="1:2" x14ac:dyDescent="0.25">
      <c r="A140" s="4" t="s">
        <v>324</v>
      </c>
      <c r="B140" s="4" t="s">
        <v>325</v>
      </c>
    </row>
    <row r="141" spans="1:2" x14ac:dyDescent="0.25">
      <c r="A141" s="4" t="s">
        <v>326</v>
      </c>
      <c r="B141" s="4" t="s">
        <v>327</v>
      </c>
    </row>
    <row r="142" spans="1:2" x14ac:dyDescent="0.25">
      <c r="A142" s="4" t="s">
        <v>328</v>
      </c>
      <c r="B142" s="4" t="s">
        <v>329</v>
      </c>
    </row>
    <row r="143" spans="1:2" x14ac:dyDescent="0.25">
      <c r="A143" s="4" t="s">
        <v>330</v>
      </c>
      <c r="B143" s="4" t="s">
        <v>331</v>
      </c>
    </row>
    <row r="144" spans="1:2" x14ac:dyDescent="0.25">
      <c r="A144" s="4" t="s">
        <v>332</v>
      </c>
      <c r="B144" s="4" t="s">
        <v>333</v>
      </c>
    </row>
    <row r="145" spans="1:2" x14ac:dyDescent="0.25">
      <c r="A145" s="4" t="s">
        <v>334</v>
      </c>
      <c r="B145" s="4" t="s">
        <v>335</v>
      </c>
    </row>
    <row r="146" spans="1:2" x14ac:dyDescent="0.25">
      <c r="A146" s="4" t="s">
        <v>336</v>
      </c>
      <c r="B146" s="4" t="s">
        <v>337</v>
      </c>
    </row>
    <row r="147" spans="1:2" x14ac:dyDescent="0.25">
      <c r="A147" s="4" t="s">
        <v>338</v>
      </c>
      <c r="B147" s="4" t="s">
        <v>339</v>
      </c>
    </row>
    <row r="148" spans="1:2" x14ac:dyDescent="0.25">
      <c r="A148" s="4" t="s">
        <v>340</v>
      </c>
      <c r="B148" s="4" t="s">
        <v>341</v>
      </c>
    </row>
    <row r="149" spans="1:2" x14ac:dyDescent="0.25">
      <c r="A149" s="4" t="s">
        <v>342</v>
      </c>
      <c r="B149" s="4" t="s">
        <v>343</v>
      </c>
    </row>
    <row r="150" spans="1:2" x14ac:dyDescent="0.25">
      <c r="A150" s="4" t="s">
        <v>344</v>
      </c>
      <c r="B150" s="4" t="s">
        <v>345</v>
      </c>
    </row>
    <row r="151" spans="1:2" x14ac:dyDescent="0.25">
      <c r="A151" s="4" t="s">
        <v>346</v>
      </c>
      <c r="B151" s="4" t="s">
        <v>347</v>
      </c>
    </row>
    <row r="152" spans="1:2" x14ac:dyDescent="0.25">
      <c r="A152" s="4" t="s">
        <v>348</v>
      </c>
      <c r="B152" s="4" t="s">
        <v>349</v>
      </c>
    </row>
    <row r="153" spans="1:2" x14ac:dyDescent="0.25">
      <c r="A153" s="4" t="s">
        <v>350</v>
      </c>
      <c r="B153" s="4" t="s">
        <v>351</v>
      </c>
    </row>
    <row r="154" spans="1:2" x14ac:dyDescent="0.25">
      <c r="A154" s="4" t="s">
        <v>352</v>
      </c>
      <c r="B154" s="4" t="s">
        <v>353</v>
      </c>
    </row>
    <row r="155" spans="1:2" x14ac:dyDescent="0.25">
      <c r="A155" s="4" t="s">
        <v>354</v>
      </c>
      <c r="B155" s="4" t="s">
        <v>355</v>
      </c>
    </row>
    <row r="156" spans="1:2" x14ac:dyDescent="0.25">
      <c r="A156" s="4" t="s">
        <v>356</v>
      </c>
      <c r="B156" s="4" t="s">
        <v>357</v>
      </c>
    </row>
    <row r="157" spans="1:2" x14ac:dyDescent="0.25">
      <c r="A157" s="4" t="s">
        <v>358</v>
      </c>
      <c r="B157" s="4" t="s">
        <v>359</v>
      </c>
    </row>
    <row r="158" spans="1:2" x14ac:dyDescent="0.25">
      <c r="A158" s="4" t="s">
        <v>360</v>
      </c>
      <c r="B158" s="4" t="s">
        <v>361</v>
      </c>
    </row>
    <row r="159" spans="1:2" x14ac:dyDescent="0.25">
      <c r="A159" s="4" t="s">
        <v>362</v>
      </c>
      <c r="B159" s="4" t="s">
        <v>363</v>
      </c>
    </row>
    <row r="160" spans="1:2" x14ac:dyDescent="0.25">
      <c r="A160" s="4" t="s">
        <v>364</v>
      </c>
      <c r="B160" s="4" t="s">
        <v>365</v>
      </c>
    </row>
    <row r="161" spans="1:2" x14ac:dyDescent="0.25">
      <c r="A161" s="4" t="s">
        <v>366</v>
      </c>
      <c r="B161" s="4" t="s">
        <v>367</v>
      </c>
    </row>
    <row r="162" spans="1:2" x14ac:dyDescent="0.25">
      <c r="A162" s="4" t="s">
        <v>368</v>
      </c>
      <c r="B162" s="4" t="s">
        <v>369</v>
      </c>
    </row>
    <row r="163" spans="1:2" x14ac:dyDescent="0.25">
      <c r="A163" s="4" t="s">
        <v>370</v>
      </c>
      <c r="B163" s="4" t="s">
        <v>371</v>
      </c>
    </row>
    <row r="164" spans="1:2" x14ac:dyDescent="0.25">
      <c r="A164" s="4" t="s">
        <v>372</v>
      </c>
      <c r="B164" s="4" t="s">
        <v>373</v>
      </c>
    </row>
    <row r="165" spans="1:2" x14ac:dyDescent="0.25">
      <c r="A165" s="4" t="s">
        <v>374</v>
      </c>
      <c r="B165" s="4" t="s">
        <v>375</v>
      </c>
    </row>
    <row r="166" spans="1:2" x14ac:dyDescent="0.25">
      <c r="A166" s="4" t="s">
        <v>376</v>
      </c>
      <c r="B166" s="4" t="s">
        <v>377</v>
      </c>
    </row>
    <row r="167" spans="1:2" x14ac:dyDescent="0.25">
      <c r="A167" s="4" t="s">
        <v>378</v>
      </c>
      <c r="B167" s="4" t="s">
        <v>379</v>
      </c>
    </row>
    <row r="168" spans="1:2" x14ac:dyDescent="0.25">
      <c r="A168" s="4" t="s">
        <v>380</v>
      </c>
      <c r="B168" s="4" t="s">
        <v>381</v>
      </c>
    </row>
    <row r="169" spans="1:2" x14ac:dyDescent="0.25">
      <c r="A169" s="4" t="s">
        <v>382</v>
      </c>
      <c r="B169" s="4" t="s">
        <v>383</v>
      </c>
    </row>
    <row r="170" spans="1:2" x14ac:dyDescent="0.25">
      <c r="A170" s="4" t="s">
        <v>384</v>
      </c>
      <c r="B170" s="4" t="s">
        <v>385</v>
      </c>
    </row>
    <row r="171" spans="1:2" x14ac:dyDescent="0.25">
      <c r="A171" s="4" t="s">
        <v>386</v>
      </c>
      <c r="B171" s="4" t="s">
        <v>387</v>
      </c>
    </row>
    <row r="172" spans="1:2" x14ac:dyDescent="0.25">
      <c r="A172" s="4" t="s">
        <v>388</v>
      </c>
      <c r="B172" s="4" t="s">
        <v>389</v>
      </c>
    </row>
    <row r="173" spans="1:2" x14ac:dyDescent="0.25">
      <c r="A173" s="4" t="s">
        <v>390</v>
      </c>
      <c r="B173" s="4" t="s">
        <v>391</v>
      </c>
    </row>
    <row r="174" spans="1:2" x14ac:dyDescent="0.25">
      <c r="A174" s="4" t="s">
        <v>392</v>
      </c>
      <c r="B174" s="4" t="s">
        <v>393</v>
      </c>
    </row>
    <row r="175" spans="1:2" x14ac:dyDescent="0.25">
      <c r="A175" s="4" t="s">
        <v>394</v>
      </c>
      <c r="B175" s="4" t="s">
        <v>395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4"/>
  <sheetViews>
    <sheetView showGridLines="0" tabSelected="1" workbookViewId="0">
      <pane ySplit="1" topLeftCell="A2" activePane="bottomLeft" state="frozen"/>
      <selection pane="bottomLeft" activeCell="B5" sqref="B5"/>
    </sheetView>
  </sheetViews>
  <sheetFormatPr defaultRowHeight="15" x14ac:dyDescent="0.25"/>
  <cols>
    <col min="1" max="1" width="10.7109375" bestFit="1" customWidth="1"/>
  </cols>
  <sheetData>
    <row r="1" spans="1:5" x14ac:dyDescent="0.25">
      <c r="A1" s="1" t="s">
        <v>62</v>
      </c>
      <c r="B1" s="49" t="s">
        <v>63</v>
      </c>
      <c r="C1" s="49" t="s">
        <v>59</v>
      </c>
      <c r="D1" s="49" t="s">
        <v>60</v>
      </c>
      <c r="E1" s="49" t="s">
        <v>61</v>
      </c>
    </row>
    <row r="2" spans="1:5" x14ac:dyDescent="0.25">
      <c r="A2" s="36">
        <v>32111</v>
      </c>
      <c r="B2" s="37">
        <v>1.0905</v>
      </c>
      <c r="C2" s="37">
        <v>0.16189999999999999</v>
      </c>
      <c r="D2" s="37">
        <v>6.25E-2</v>
      </c>
      <c r="E2">
        <v>1.5019</v>
      </c>
    </row>
    <row r="3" spans="1:5" x14ac:dyDescent="0.25">
      <c r="A3" s="36">
        <v>32477</v>
      </c>
      <c r="B3" s="37">
        <v>1.7928999999999999</v>
      </c>
      <c r="C3" s="37">
        <v>0.2288</v>
      </c>
      <c r="D3" s="37">
        <v>6.6199999999999995E-2</v>
      </c>
      <c r="E3">
        <v>1.6314</v>
      </c>
    </row>
    <row r="4" spans="1:5" x14ac:dyDescent="0.25">
      <c r="A4" s="36">
        <v>32842</v>
      </c>
      <c r="B4" s="37">
        <v>3.3290000000000002</v>
      </c>
      <c r="C4" s="37">
        <v>0.77</v>
      </c>
      <c r="D4" s="37">
        <v>8.5000000000000006E-2</v>
      </c>
      <c r="E4">
        <v>2.0859999999999999</v>
      </c>
    </row>
    <row r="5" spans="1:5" x14ac:dyDescent="0.25">
      <c r="A5" s="36">
        <v>33207</v>
      </c>
      <c r="B5" s="37">
        <v>3.1240999999999999</v>
      </c>
      <c r="C5" s="37">
        <v>0.41499999999999998</v>
      </c>
      <c r="D5" s="37">
        <v>0.115</v>
      </c>
      <c r="E5">
        <v>2.2810999999999999</v>
      </c>
    </row>
    <row r="6" spans="1:5" x14ac:dyDescent="0.25">
      <c r="A6" s="36">
        <v>33572</v>
      </c>
      <c r="B6" s="37">
        <v>5.6932</v>
      </c>
      <c r="C6" s="37">
        <v>0.49</v>
      </c>
      <c r="D6" s="37">
        <v>0.14000000000000001</v>
      </c>
      <c r="E6">
        <v>2.4422000000000001</v>
      </c>
    </row>
    <row r="7" spans="1:5" x14ac:dyDescent="0.25">
      <c r="A7" s="36">
        <v>33938</v>
      </c>
      <c r="B7" s="37">
        <v>7.9899000000000004</v>
      </c>
      <c r="C7" s="37">
        <v>0.57999999999999996</v>
      </c>
      <c r="D7" s="37">
        <v>9.5000000000000001E-2</v>
      </c>
      <c r="E7">
        <v>2.7265999999999999</v>
      </c>
    </row>
    <row r="8" spans="1:5" x14ac:dyDescent="0.25">
      <c r="A8" s="36">
        <v>34303</v>
      </c>
      <c r="B8" s="37">
        <v>6.6413000000000002</v>
      </c>
      <c r="C8" s="37">
        <v>0.44500000000000001</v>
      </c>
      <c r="D8" s="37">
        <v>0.11</v>
      </c>
      <c r="E8">
        <v>2.8816000000000002</v>
      </c>
    </row>
    <row r="9" spans="1:5" x14ac:dyDescent="0.25">
      <c r="A9" s="36">
        <v>34668</v>
      </c>
      <c r="B9" s="37">
        <v>5.5522999999999998</v>
      </c>
      <c r="C9" s="37">
        <v>0.375</v>
      </c>
      <c r="D9" s="37">
        <v>0.12</v>
      </c>
      <c r="E9">
        <v>3.0167999999999999</v>
      </c>
    </row>
    <row r="10" spans="1:5" x14ac:dyDescent="0.25">
      <c r="A10" s="36">
        <v>35033</v>
      </c>
      <c r="B10" s="37">
        <v>7.0744999999999996</v>
      </c>
      <c r="C10" s="37">
        <v>0.6</v>
      </c>
      <c r="D10" s="37">
        <v>0.26</v>
      </c>
      <c r="E10">
        <v>3.1966999999999999</v>
      </c>
    </row>
    <row r="11" spans="1:5" x14ac:dyDescent="0.25">
      <c r="A11" s="36">
        <v>35399</v>
      </c>
      <c r="B11" s="37">
        <v>7.5582000000000003</v>
      </c>
      <c r="C11" s="37">
        <v>0.26</v>
      </c>
      <c r="D11" s="37">
        <v>0.14000000000000001</v>
      </c>
      <c r="E11">
        <v>2.8773</v>
      </c>
    </row>
    <row r="12" spans="1:5" x14ac:dyDescent="0.25">
      <c r="A12" s="36">
        <v>35764</v>
      </c>
      <c r="B12" s="37">
        <v>8.3351000000000006</v>
      </c>
      <c r="C12" s="37">
        <v>0.65</v>
      </c>
      <c r="D12" s="37">
        <v>0.3</v>
      </c>
      <c r="E12">
        <v>2.6553</v>
      </c>
    </row>
    <row r="13" spans="1:5" x14ac:dyDescent="0.25">
      <c r="A13" s="36">
        <v>36129</v>
      </c>
      <c r="B13" s="37">
        <v>10.721299999999999</v>
      </c>
      <c r="C13" s="37">
        <v>0.70499999999999996</v>
      </c>
      <c r="D13" s="37">
        <v>0.32</v>
      </c>
      <c r="E13">
        <v>3.09</v>
      </c>
    </row>
    <row r="14" spans="1:5" x14ac:dyDescent="0.25">
      <c r="A14" s="36">
        <v>36494</v>
      </c>
      <c r="B14" s="37">
        <v>10.523199999999999</v>
      </c>
      <c r="C14" s="37">
        <v>0.71499999999999997</v>
      </c>
      <c r="D14" s="37">
        <v>0.34</v>
      </c>
      <c r="E14">
        <v>2.7159</v>
      </c>
    </row>
    <row r="15" spans="1:5" x14ac:dyDescent="0.25">
      <c r="A15" s="36">
        <v>36860</v>
      </c>
      <c r="B15" s="37">
        <v>12.5344</v>
      </c>
      <c r="C15" s="37">
        <v>0.99</v>
      </c>
      <c r="D15" s="37">
        <v>0.38</v>
      </c>
      <c r="E15">
        <v>2.6303000000000001</v>
      </c>
    </row>
    <row r="16" spans="1:5" x14ac:dyDescent="0.25">
      <c r="A16" s="36">
        <v>37225</v>
      </c>
      <c r="B16" s="37">
        <v>14.760300000000001</v>
      </c>
      <c r="C16" s="37">
        <v>0.52500000000000002</v>
      </c>
      <c r="D16" s="37">
        <v>0.4</v>
      </c>
      <c r="E16">
        <v>1.6718</v>
      </c>
    </row>
    <row r="17" spans="1:5" x14ac:dyDescent="0.25">
      <c r="A17" s="36">
        <v>37590</v>
      </c>
      <c r="B17" s="37">
        <v>16.627700000000001</v>
      </c>
      <c r="C17" s="37">
        <v>1.26</v>
      </c>
      <c r="D17" s="37">
        <v>0.42</v>
      </c>
      <c r="E17">
        <v>4.2306999999999997</v>
      </c>
    </row>
    <row r="18" spans="1:5" x14ac:dyDescent="0.25">
      <c r="A18" s="36">
        <v>37955</v>
      </c>
      <c r="B18" s="37">
        <v>20.4175</v>
      </c>
      <c r="C18" s="37">
        <v>1.48</v>
      </c>
      <c r="D18" s="37">
        <v>0.46</v>
      </c>
      <c r="E18">
        <v>5.5044000000000004</v>
      </c>
    </row>
    <row r="19" spans="1:5" x14ac:dyDescent="0.25">
      <c r="A19" s="36">
        <v>38321</v>
      </c>
      <c r="B19" s="37">
        <v>26.386900000000001</v>
      </c>
      <c r="C19" s="37">
        <v>1.52</v>
      </c>
      <c r="D19" s="37">
        <v>0.56000000000000005</v>
      </c>
      <c r="E19">
        <v>6.5661000000000005</v>
      </c>
    </row>
    <row r="20" spans="1:5" x14ac:dyDescent="0.25">
      <c r="A20" s="36">
        <v>38686</v>
      </c>
      <c r="B20" s="37">
        <v>23.0243</v>
      </c>
      <c r="C20" s="37">
        <v>1.56</v>
      </c>
      <c r="D20" s="37">
        <v>0.64</v>
      </c>
      <c r="E20">
        <v>6.0324</v>
      </c>
    </row>
    <row r="21" spans="1:5" x14ac:dyDescent="0.25">
      <c r="A21" s="36">
        <v>39051</v>
      </c>
      <c r="B21" s="37">
        <v>29.170200000000001</v>
      </c>
      <c r="C21" s="37">
        <v>1.5</v>
      </c>
      <c r="D21" s="37">
        <v>0.72</v>
      </c>
      <c r="E21">
        <v>7.1737000000000002</v>
      </c>
    </row>
    <row r="22" spans="1:5" x14ac:dyDescent="0.25">
      <c r="A22" s="36">
        <v>39416</v>
      </c>
      <c r="B22" s="37">
        <v>29.402899999999999</v>
      </c>
      <c r="C22" s="37">
        <v>1.73</v>
      </c>
      <c r="D22" s="37">
        <v>0.8</v>
      </c>
      <c r="E22">
        <v>8.4906000000000006</v>
      </c>
    </row>
    <row r="23" spans="1:5" x14ac:dyDescent="0.25">
      <c r="A23" s="36">
        <v>39782</v>
      </c>
      <c r="B23" s="37">
        <v>23.4512</v>
      </c>
      <c r="C23" s="37">
        <v>1.94</v>
      </c>
      <c r="D23" s="37">
        <v>0.88</v>
      </c>
      <c r="E23">
        <v>8.1114999999999995</v>
      </c>
    </row>
    <row r="24" spans="1:5" x14ac:dyDescent="0.25">
      <c r="A24" s="36">
        <v>40147</v>
      </c>
      <c r="B24" s="37">
        <v>28.97</v>
      </c>
      <c r="C24" s="37">
        <v>2.27</v>
      </c>
      <c r="D24" s="37">
        <v>0.96</v>
      </c>
      <c r="E24">
        <v>10.1259</v>
      </c>
    </row>
    <row r="25" spans="1:5" x14ac:dyDescent="0.25">
      <c r="A25" s="36">
        <v>40512</v>
      </c>
      <c r="B25" s="37">
        <v>36.716000000000001</v>
      </c>
      <c r="C25" s="37">
        <v>2.75</v>
      </c>
      <c r="D25" s="37">
        <v>1.04</v>
      </c>
      <c r="E25">
        <v>10.921900000000001</v>
      </c>
    </row>
    <row r="26" spans="1:5" x14ac:dyDescent="0.25">
      <c r="A26" s="36">
        <v>40877</v>
      </c>
      <c r="B26" s="37">
        <v>41.600299999999997</v>
      </c>
      <c r="C26" s="37">
        <v>2.79</v>
      </c>
      <c r="D26" s="37">
        <v>1.1200000000000001</v>
      </c>
      <c r="E26">
        <v>12.0519</v>
      </c>
    </row>
    <row r="27" spans="1:5" x14ac:dyDescent="0.25">
      <c r="A27" s="36">
        <v>41243</v>
      </c>
      <c r="B27" s="37">
        <v>56.361699999999999</v>
      </c>
      <c r="C27" s="37">
        <v>3.04</v>
      </c>
      <c r="D27" s="37">
        <v>1.24</v>
      </c>
      <c r="E27">
        <v>12.7011</v>
      </c>
    </row>
    <row r="28" spans="1:5" x14ac:dyDescent="0.25">
      <c r="A28" s="36">
        <v>41608</v>
      </c>
      <c r="B28" s="37">
        <v>61.4709</v>
      </c>
      <c r="C28" s="37">
        <v>2.91</v>
      </c>
      <c r="D28" s="37">
        <v>1.3599999999999999</v>
      </c>
      <c r="E28">
        <v>14.7407</v>
      </c>
    </row>
    <row r="29" spans="1:5" x14ac:dyDescent="0.25">
      <c r="A29" s="36">
        <v>41973</v>
      </c>
      <c r="B29" s="37">
        <v>67.642799999999994</v>
      </c>
      <c r="C29" s="37">
        <v>3.34</v>
      </c>
      <c r="D29" s="37">
        <v>1.48</v>
      </c>
      <c r="E29">
        <v>13.9579</v>
      </c>
    </row>
    <row r="30" spans="1:5" x14ac:dyDescent="0.25">
      <c r="A30" s="36">
        <v>42338</v>
      </c>
      <c r="B30" s="37">
        <v>79.799599999999998</v>
      </c>
      <c r="C30" s="37">
        <v>3.11</v>
      </c>
      <c r="D30" s="37">
        <v>1.6</v>
      </c>
      <c r="E30">
        <v>13.120200000000001</v>
      </c>
    </row>
    <row r="31" spans="1:5" x14ac:dyDescent="0.25">
      <c r="A31" s="36">
        <v>42704</v>
      </c>
      <c r="B31" s="37">
        <v>86.225300000000004</v>
      </c>
      <c r="C31" s="37">
        <v>3.69</v>
      </c>
      <c r="D31" s="37">
        <v>1.72</v>
      </c>
      <c r="E31">
        <v>13.128299999999999</v>
      </c>
    </row>
    <row r="32" spans="1:5" x14ac:dyDescent="0.25">
      <c r="A32" s="36">
        <v>43069</v>
      </c>
      <c r="B32" s="37">
        <v>98.499499999999998</v>
      </c>
      <c r="C32" s="37">
        <v>3.7199999999999998</v>
      </c>
      <c r="D32" s="37">
        <v>1.88</v>
      </c>
      <c r="E32">
        <v>19.5412</v>
      </c>
    </row>
    <row r="33" spans="1:5" x14ac:dyDescent="0.25">
      <c r="A33" s="36">
        <v>43434</v>
      </c>
      <c r="B33" s="37">
        <v>147.26840000000001</v>
      </c>
      <c r="C33" s="37">
        <v>7</v>
      </c>
      <c r="D33" s="37">
        <v>2.08</v>
      </c>
      <c r="E33">
        <v>24.003799999999998</v>
      </c>
    </row>
    <row r="34" spans="1:5" x14ac:dyDescent="0.25">
      <c r="A34" s="36">
        <v>43799</v>
      </c>
      <c r="B34" s="37">
        <v>168.63939999999999</v>
      </c>
      <c r="C34" s="37">
        <v>5.24</v>
      </c>
      <c r="D34" s="37">
        <v>2.2800000000000002</v>
      </c>
      <c r="E34">
        <v>25.915700000000001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MKC</vt:lpstr>
      <vt:lpstr>IS</vt:lpstr>
      <vt:lpstr>BS</vt:lpstr>
      <vt:lpstr>CF</vt:lpstr>
      <vt:lpstr>BloombergCodes</vt:lpstr>
      <vt:lpstr>AnnualSummary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Nikhil Jathar</dc:creator>
  <cp:lastModifiedBy>Nick Jathar</cp:lastModifiedBy>
  <dcterms:created xsi:type="dcterms:W3CDTF">2020-03-08T18:30:53Z</dcterms:created>
  <dcterms:modified xsi:type="dcterms:W3CDTF">2020-03-11T21:53:08Z</dcterms:modified>
</cp:coreProperties>
</file>