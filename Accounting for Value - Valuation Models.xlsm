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B32E4E70-841A-4F7E-A933-61005F0284F9}" xr6:coauthVersionLast="44" xr6:coauthVersionMax="44" xr10:uidLastSave="{00000000-0000-0000-0000-000000000000}"/>
  <bookViews>
    <workbookView xWindow="-120" yWindow="-120" windowWidth="38640" windowHeight="23640" activeTab="1" xr2:uid="{00000000-000D-0000-FFFF-FFFF00000000}"/>
  </bookViews>
  <sheets>
    <sheet name="CSCO - Eq 2.7" sheetId="9" r:id="rId1"/>
    <sheet name="CSCO - Eq 2.8" sheetId="10" r:id="rId2"/>
    <sheet name="MKC" sheetId="5" r:id="rId3"/>
    <sheet name="BS" sheetId="6" r:id="rId4"/>
    <sheet name="IS" sheetId="7" r:id="rId5"/>
    <sheet name="GE" sheetId="8" r:id="rId6"/>
    <sheet name="Bloomberg" sheetId="4" r:id="rId7"/>
    <sheet name="Cisco" sheetId="3" r:id="rId8"/>
    <sheet name="Prototype" sheetId="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0" i="10" l="1"/>
  <c r="G30" i="10"/>
  <c r="F28" i="10"/>
  <c r="G28" i="10"/>
  <c r="G21" i="10"/>
  <c r="F21" i="10"/>
  <c r="G42" i="10"/>
  <c r="G32" i="10"/>
  <c r="G33" i="10" s="1"/>
  <c r="F32" i="10"/>
  <c r="F25" i="10"/>
  <c r="F22" i="10"/>
  <c r="F34" i="10" s="1"/>
  <c r="F35" i="10" s="1"/>
  <c r="G18" i="10"/>
  <c r="F18" i="10"/>
  <c r="G19" i="10" s="1"/>
  <c r="E18" i="10"/>
  <c r="F19" i="10" s="1"/>
  <c r="G12" i="10"/>
  <c r="G25" i="10" s="1"/>
  <c r="G11" i="10"/>
  <c r="G13" i="10" s="1"/>
  <c r="G14" i="10" s="1"/>
  <c r="F11" i="10"/>
  <c r="F13" i="10" s="1"/>
  <c r="F14" i="10" s="1"/>
  <c r="G9" i="10"/>
  <c r="G8" i="10"/>
  <c r="G6" i="10"/>
  <c r="F6" i="10"/>
  <c r="G28" i="9"/>
  <c r="F28" i="9"/>
  <c r="F25" i="9"/>
  <c r="G22" i="10" l="1"/>
  <c r="F26" i="10"/>
  <c r="F36" i="10" s="1"/>
  <c r="F37" i="10" s="1"/>
  <c r="G26" i="10"/>
  <c r="G36" i="10" s="1"/>
  <c r="G37" i="10" s="1"/>
  <c r="G16" i="10"/>
  <c r="F33" i="10"/>
  <c r="G9" i="9"/>
  <c r="G8" i="9"/>
  <c r="G34" i="10" l="1"/>
  <c r="F38" i="10"/>
  <c r="G42" i="9"/>
  <c r="G12" i="9"/>
  <c r="G25" i="9" s="1"/>
  <c r="G32" i="9"/>
  <c r="F32" i="9"/>
  <c r="F33" i="9" s="1"/>
  <c r="F22" i="9"/>
  <c r="G18" i="9"/>
  <c r="F18" i="9"/>
  <c r="G19" i="9" s="1"/>
  <c r="E18" i="9"/>
  <c r="F19" i="9" s="1"/>
  <c r="F11" i="9"/>
  <c r="F13" i="9" s="1"/>
  <c r="F14" i="9" s="1"/>
  <c r="F6" i="9"/>
  <c r="F40" i="10" l="1"/>
  <c r="F41" i="10" s="1"/>
  <c r="F39" i="10"/>
  <c r="G38" i="10"/>
  <c r="G35" i="10"/>
  <c r="F34" i="9"/>
  <c r="F35" i="9" s="1"/>
  <c r="F30" i="9"/>
  <c r="F21" i="9"/>
  <c r="G22" i="9" s="1"/>
  <c r="G33" i="9"/>
  <c r="G6" i="9"/>
  <c r="F26" i="9"/>
  <c r="G11" i="9"/>
  <c r="G13" i="9" s="1"/>
  <c r="G14" i="9" s="1"/>
  <c r="G16" i="9" s="1"/>
  <c r="G39" i="10" l="1"/>
  <c r="G40" i="10"/>
  <c r="G41" i="10" s="1"/>
  <c r="G30" i="9"/>
  <c r="G21" i="9"/>
  <c r="G26" i="9"/>
  <c r="G36" i="9" s="1"/>
  <c r="G37" i="9" s="1"/>
  <c r="G34" i="9"/>
  <c r="F36" i="9"/>
  <c r="F29" i="8"/>
  <c r="F30" i="8" s="1"/>
  <c r="F27" i="8"/>
  <c r="F28" i="8" s="1"/>
  <c r="F25" i="8"/>
  <c r="F26" i="8"/>
  <c r="G24" i="8"/>
  <c r="F24" i="8"/>
  <c r="G23" i="8"/>
  <c r="F23" i="8"/>
  <c r="G22" i="8"/>
  <c r="H22" i="8"/>
  <c r="I22" i="8"/>
  <c r="J22" i="8"/>
  <c r="F22" i="8"/>
  <c r="J21" i="8"/>
  <c r="I21" i="8"/>
  <c r="H21" i="8"/>
  <c r="G21" i="8"/>
  <c r="F21" i="8"/>
  <c r="J17" i="8"/>
  <c r="I17" i="8"/>
  <c r="H17" i="8"/>
  <c r="G17" i="8"/>
  <c r="F17" i="8"/>
  <c r="J11" i="8"/>
  <c r="I11" i="8"/>
  <c r="H11" i="8"/>
  <c r="G11" i="8"/>
  <c r="F11" i="8"/>
  <c r="J10" i="8"/>
  <c r="I10" i="8"/>
  <c r="H10" i="8"/>
  <c r="G10" i="8"/>
  <c r="F10" i="8"/>
  <c r="E10" i="8"/>
  <c r="F8" i="8"/>
  <c r="F12" i="8"/>
  <c r="F5" i="8"/>
  <c r="G5" i="8" s="1"/>
  <c r="G38" i="9" l="1"/>
  <c r="G35" i="9"/>
  <c r="F37" i="9"/>
  <c r="F38" i="9"/>
  <c r="H5" i="8"/>
  <c r="I5" i="8" s="1"/>
  <c r="J5" i="8" s="1"/>
  <c r="G8" i="8"/>
  <c r="H8" i="8"/>
  <c r="G12" i="8"/>
  <c r="H12" i="8"/>
  <c r="F16" i="8"/>
  <c r="E82" i="1"/>
  <c r="E78" i="1"/>
  <c r="I76" i="1"/>
  <c r="H76" i="1"/>
  <c r="G76" i="1"/>
  <c r="F76" i="1"/>
  <c r="E76" i="1"/>
  <c r="D43" i="1"/>
  <c r="D32" i="1"/>
  <c r="E62" i="1"/>
  <c r="E49" i="1"/>
  <c r="I61" i="1"/>
  <c r="H61" i="1"/>
  <c r="G61" i="1"/>
  <c r="F61" i="1"/>
  <c r="E61" i="1"/>
  <c r="I47" i="1"/>
  <c r="H47" i="1"/>
  <c r="G47" i="1"/>
  <c r="F47" i="1"/>
  <c r="E47" i="1"/>
  <c r="E68" i="1"/>
  <c r="E54" i="1"/>
  <c r="I13" i="1"/>
  <c r="I51" i="1" s="1"/>
  <c r="H13" i="1"/>
  <c r="I66" i="1" s="1"/>
  <c r="G13" i="1"/>
  <c r="H66" i="1" s="1"/>
  <c r="F13" i="1"/>
  <c r="F65" i="1" s="1"/>
  <c r="E13" i="1"/>
  <c r="F66" i="1" s="1"/>
  <c r="D13" i="1"/>
  <c r="D65" i="1" s="1"/>
  <c r="F40" i="9" l="1"/>
  <c r="F41" i="9" s="1"/>
  <c r="F39" i="9"/>
  <c r="G40" i="9"/>
  <c r="G41" i="9" s="1"/>
  <c r="G39" i="9"/>
  <c r="J12" i="8"/>
  <c r="I12" i="8"/>
  <c r="J8" i="8"/>
  <c r="I8" i="8"/>
  <c r="E79" i="1"/>
  <c r="F79" i="1"/>
  <c r="H80" i="1"/>
  <c r="I80" i="1"/>
  <c r="H79" i="1"/>
  <c r="I79" i="1"/>
  <c r="E52" i="1"/>
  <c r="E80" i="1"/>
  <c r="E83" i="1" s="1"/>
  <c r="F52" i="1"/>
  <c r="F80" i="1"/>
  <c r="G79" i="1"/>
  <c r="E65" i="1"/>
  <c r="D79" i="1"/>
  <c r="G80" i="1"/>
  <c r="G65" i="1"/>
  <c r="H65" i="1"/>
  <c r="I65" i="1"/>
  <c r="D51" i="1"/>
  <c r="G52" i="1"/>
  <c r="E63" i="1"/>
  <c r="E51" i="1"/>
  <c r="H52" i="1"/>
  <c r="E66" i="1"/>
  <c r="F51" i="1"/>
  <c r="I52" i="1"/>
  <c r="G51" i="1"/>
  <c r="G66" i="1"/>
  <c r="H51" i="1"/>
  <c r="J44" i="3"/>
  <c r="I44" i="3"/>
  <c r="H44" i="3"/>
  <c r="G44" i="3"/>
  <c r="F44" i="3"/>
  <c r="E44" i="3"/>
  <c r="D44" i="3"/>
  <c r="C44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F13" i="8" l="1"/>
  <c r="F14" i="8" s="1"/>
  <c r="D9" i="3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F18" i="8" l="1"/>
  <c r="F19" i="8" s="1"/>
  <c r="F15" i="8"/>
  <c r="G16" i="8" s="1"/>
  <c r="G13" i="8"/>
  <c r="G14" i="8" s="1"/>
  <c r="E27" i="5"/>
  <c r="E33" i="5" s="1"/>
  <c r="E34" i="5" s="1"/>
  <c r="E9" i="3"/>
  <c r="E10" i="3" s="1"/>
  <c r="E21" i="3" s="1"/>
  <c r="G26" i="3"/>
  <c r="G32" i="3" s="1"/>
  <c r="G33" i="3" s="1"/>
  <c r="H26" i="3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E18" i="1"/>
  <c r="B8" i="1"/>
  <c r="I86" i="1" l="1"/>
  <c r="H86" i="1"/>
  <c r="G86" i="1"/>
  <c r="F86" i="1"/>
  <c r="E86" i="1"/>
  <c r="I69" i="1"/>
  <c r="H69" i="1"/>
  <c r="G69" i="1"/>
  <c r="F69" i="1"/>
  <c r="E69" i="1"/>
  <c r="H55" i="1"/>
  <c r="I55" i="1"/>
  <c r="F55" i="1"/>
  <c r="G55" i="1"/>
  <c r="E55" i="1"/>
  <c r="E24" i="5"/>
  <c r="E14" i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E19" i="1"/>
  <c r="G14" i="1"/>
  <c r="I14" i="1"/>
  <c r="H14" i="1"/>
  <c r="F14" i="1"/>
  <c r="G15" i="8" l="1"/>
  <c r="H16" i="8" s="1"/>
  <c r="H23" i="8" s="1"/>
  <c r="G18" i="8"/>
  <c r="H13" i="8"/>
  <c r="H14" i="8" s="1"/>
  <c r="E46" i="1"/>
  <c r="E60" i="1"/>
  <c r="E64" i="1" s="1"/>
  <c r="E20" i="1"/>
  <c r="E74" i="1" s="1"/>
  <c r="E81" i="1" s="1"/>
  <c r="E38" i="3"/>
  <c r="E39" i="3" s="1"/>
  <c r="G24" i="3"/>
  <c r="H8" i="3"/>
  <c r="G19" i="3"/>
  <c r="H20" i="3" s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G19" i="8" l="1"/>
  <c r="G25" i="8"/>
  <c r="H24" i="8"/>
  <c r="F82" i="1"/>
  <c r="E48" i="1"/>
  <c r="E50" i="1" s="1"/>
  <c r="E56" i="1" s="1"/>
  <c r="E57" i="1" s="1"/>
  <c r="E75" i="1"/>
  <c r="E77" i="1" s="1"/>
  <c r="E84" i="1" s="1"/>
  <c r="E67" i="1"/>
  <c r="E70" i="1"/>
  <c r="E71" i="1" s="1"/>
  <c r="E39" i="1"/>
  <c r="E40" i="1" s="1"/>
  <c r="E21" i="1"/>
  <c r="F78" i="1" s="1"/>
  <c r="F83" i="1" s="1"/>
  <c r="E23" i="1"/>
  <c r="F23" i="1" s="1"/>
  <c r="G23" i="1" s="1"/>
  <c r="H23" i="1" s="1"/>
  <c r="I23" i="1" s="1"/>
  <c r="F4" i="3"/>
  <c r="F45" i="3"/>
  <c r="F35" i="3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G26" i="8" l="1"/>
  <c r="G27" i="8"/>
  <c r="E53" i="1"/>
  <c r="F54" i="1" s="1"/>
  <c r="F49" i="1"/>
  <c r="F62" i="1"/>
  <c r="F63" i="1" s="1"/>
  <c r="F68" i="1"/>
  <c r="E30" i="1"/>
  <c r="E41" i="1"/>
  <c r="E36" i="1"/>
  <c r="F18" i="1"/>
  <c r="E28" i="1"/>
  <c r="E31" i="1" s="1"/>
  <c r="J8" i="3"/>
  <c r="I24" i="3"/>
  <c r="I19" i="3"/>
  <c r="J20" i="3" s="1"/>
  <c r="G9" i="3"/>
  <c r="F21" i="3"/>
  <c r="F11" i="3"/>
  <c r="F12" i="3" s="1"/>
  <c r="G29" i="8" l="1"/>
  <c r="G30" i="8" s="1"/>
  <c r="G28" i="8"/>
  <c r="H15" i="8"/>
  <c r="H18" i="8"/>
  <c r="E42" i="1"/>
  <c r="E43" i="1" s="1"/>
  <c r="E32" i="1"/>
  <c r="F19" i="1"/>
  <c r="F60" i="1" s="1"/>
  <c r="F64" i="1" s="1"/>
  <c r="J24" i="3"/>
  <c r="J19" i="3"/>
  <c r="F23" i="3"/>
  <c r="F41" i="3" s="1"/>
  <c r="F42" i="3" s="1"/>
  <c r="F25" i="3"/>
  <c r="F28" i="3" s="1"/>
  <c r="F22" i="3"/>
  <c r="H19" i="8" l="1"/>
  <c r="H25" i="8"/>
  <c r="I13" i="8"/>
  <c r="I14" i="8" s="1"/>
  <c r="I16" i="8"/>
  <c r="I23" i="8" s="1"/>
  <c r="E85" i="1"/>
  <c r="E87" i="1"/>
  <c r="E88" i="1" s="1"/>
  <c r="F67" i="1"/>
  <c r="F70" i="1"/>
  <c r="F34" i="1"/>
  <c r="F46" i="1"/>
  <c r="F20" i="1"/>
  <c r="F74" i="1" s="1"/>
  <c r="F81" i="1" s="1"/>
  <c r="G4" i="3"/>
  <c r="G6" i="3" s="1"/>
  <c r="G45" i="3"/>
  <c r="G27" i="3"/>
  <c r="G10" i="3"/>
  <c r="G13" i="3"/>
  <c r="G7" i="3"/>
  <c r="F36" i="3"/>
  <c r="F29" i="3"/>
  <c r="I24" i="8" l="1"/>
  <c r="H26" i="8"/>
  <c r="H27" i="8"/>
  <c r="G82" i="1"/>
  <c r="F48" i="1"/>
  <c r="F50" i="1" s="1"/>
  <c r="F53" i="1" s="1"/>
  <c r="G54" i="1" s="1"/>
  <c r="F75" i="1"/>
  <c r="F77" i="1" s="1"/>
  <c r="F84" i="1" s="1"/>
  <c r="F35" i="1"/>
  <c r="F21" i="1"/>
  <c r="G78" i="1" s="1"/>
  <c r="G83" i="1" s="1"/>
  <c r="F39" i="1"/>
  <c r="F40" i="1" s="1"/>
  <c r="F24" i="1"/>
  <c r="G24" i="1" s="1"/>
  <c r="H24" i="1" s="1"/>
  <c r="I24" i="1" s="1"/>
  <c r="G34" i="3"/>
  <c r="G35" i="3" s="1"/>
  <c r="H9" i="3"/>
  <c r="G11" i="3"/>
  <c r="G12" i="3" s="1"/>
  <c r="G21" i="3"/>
  <c r="F38" i="3"/>
  <c r="F39" i="3" s="1"/>
  <c r="F37" i="3"/>
  <c r="H29" i="8" l="1"/>
  <c r="H30" i="8" s="1"/>
  <c r="H28" i="8"/>
  <c r="F56" i="1"/>
  <c r="F57" i="1" s="1"/>
  <c r="G49" i="1"/>
  <c r="G62" i="1"/>
  <c r="G63" i="1" s="1"/>
  <c r="F71" i="1"/>
  <c r="F41" i="1"/>
  <c r="G18" i="1"/>
  <c r="G19" i="1" s="1"/>
  <c r="F30" i="1"/>
  <c r="F36" i="1"/>
  <c r="F28" i="1"/>
  <c r="F31" i="1" s="1"/>
  <c r="G22" i="3"/>
  <c r="G23" i="3"/>
  <c r="G41" i="3" s="1"/>
  <c r="G42" i="3" s="1"/>
  <c r="G25" i="3"/>
  <c r="G28" i="3" s="1"/>
  <c r="J13" i="8" l="1"/>
  <c r="J14" i="8" s="1"/>
  <c r="I15" i="8"/>
  <c r="J16" i="8" s="1"/>
  <c r="J23" i="8" s="1"/>
  <c r="I18" i="8"/>
  <c r="F42" i="1"/>
  <c r="F43" i="1" s="1"/>
  <c r="G68" i="1"/>
  <c r="F32" i="1"/>
  <c r="H4" i="3"/>
  <c r="H45" i="3"/>
  <c r="G36" i="3"/>
  <c r="G29" i="3"/>
  <c r="H13" i="3"/>
  <c r="H10" i="3"/>
  <c r="H7" i="3"/>
  <c r="H6" i="3"/>
  <c r="H27" i="3"/>
  <c r="J24" i="8" l="1"/>
  <c r="I19" i="8"/>
  <c r="I25" i="8"/>
  <c r="F85" i="1"/>
  <c r="F87" i="1"/>
  <c r="F88" i="1" s="1"/>
  <c r="G46" i="1"/>
  <c r="G60" i="1"/>
  <c r="G64" i="1" s="1"/>
  <c r="G34" i="1"/>
  <c r="G20" i="1"/>
  <c r="I9" i="3"/>
  <c r="H11" i="3"/>
  <c r="H12" i="3" s="1"/>
  <c r="H21" i="3"/>
  <c r="H34" i="3"/>
  <c r="H35" i="3" s="1"/>
  <c r="G37" i="3"/>
  <c r="G38" i="3"/>
  <c r="G39" i="3" s="1"/>
  <c r="I26" i="8" l="1"/>
  <c r="I27" i="8"/>
  <c r="G48" i="1"/>
  <c r="G50" i="1" s="1"/>
  <c r="G53" i="1" s="1"/>
  <c r="H54" i="1" s="1"/>
  <c r="G75" i="1"/>
  <c r="G77" i="1" s="1"/>
  <c r="G84" i="1" s="1"/>
  <c r="G25" i="1"/>
  <c r="H25" i="1" s="1"/>
  <c r="I25" i="1" s="1"/>
  <c r="G74" i="1"/>
  <c r="G81" i="1" s="1"/>
  <c r="G21" i="1"/>
  <c r="G67" i="1"/>
  <c r="G70" i="1"/>
  <c r="G35" i="1"/>
  <c r="G39" i="1"/>
  <c r="G40" i="1" s="1"/>
  <c r="H23" i="3"/>
  <c r="H41" i="3" s="1"/>
  <c r="H42" i="3" s="1"/>
  <c r="H25" i="3"/>
  <c r="H28" i="3" s="1"/>
  <c r="H22" i="3"/>
  <c r="I27" i="3" s="1"/>
  <c r="I28" i="8" l="1"/>
  <c r="I29" i="8"/>
  <c r="I30" i="8" s="1"/>
  <c r="J15" i="8"/>
  <c r="J18" i="8"/>
  <c r="H82" i="1"/>
  <c r="G28" i="1"/>
  <c r="G31" i="1" s="1"/>
  <c r="G56" i="1"/>
  <c r="G57" i="1" s="1"/>
  <c r="G41" i="1"/>
  <c r="G42" i="1" s="1"/>
  <c r="G43" i="1" s="1"/>
  <c r="H78" i="1"/>
  <c r="H83" i="1" s="1"/>
  <c r="G30" i="1"/>
  <c r="H62" i="1"/>
  <c r="H63" i="1" s="1"/>
  <c r="H49" i="1"/>
  <c r="G36" i="1"/>
  <c r="H18" i="1"/>
  <c r="H19" i="1" s="1"/>
  <c r="H60" i="1" s="1"/>
  <c r="G71" i="1"/>
  <c r="I4" i="3"/>
  <c r="I45" i="3"/>
  <c r="I34" i="3"/>
  <c r="I35" i="3" s="1"/>
  <c r="H36" i="3"/>
  <c r="H29" i="3"/>
  <c r="I13" i="3"/>
  <c r="I7" i="3"/>
  <c r="I10" i="3"/>
  <c r="I6" i="3"/>
  <c r="J19" i="8" l="1"/>
  <c r="J25" i="8"/>
  <c r="G32" i="1"/>
  <c r="G85" i="1"/>
  <c r="H64" i="1"/>
  <c r="H70" i="1" s="1"/>
  <c r="H68" i="1"/>
  <c r="H20" i="1"/>
  <c r="H74" i="1" s="1"/>
  <c r="H81" i="1" s="1"/>
  <c r="I82" i="1" s="1"/>
  <c r="H46" i="1"/>
  <c r="H34" i="1"/>
  <c r="H37" i="3"/>
  <c r="H38" i="3"/>
  <c r="H39" i="3" s="1"/>
  <c r="J9" i="3"/>
  <c r="I11" i="3"/>
  <c r="I12" i="3" s="1"/>
  <c r="I21" i="3"/>
  <c r="J26" i="8" l="1"/>
  <c r="J27" i="8"/>
  <c r="G87" i="1"/>
  <c r="G88" i="1" s="1"/>
  <c r="H48" i="1"/>
  <c r="H50" i="1" s="1"/>
  <c r="H53" i="1" s="1"/>
  <c r="I54" i="1" s="1"/>
  <c r="H75" i="1"/>
  <c r="H77" i="1" s="1"/>
  <c r="H84" i="1" s="1"/>
  <c r="H67" i="1"/>
  <c r="H35" i="1"/>
  <c r="H21" i="1"/>
  <c r="I78" i="1" s="1"/>
  <c r="I83" i="1" s="1"/>
  <c r="H26" i="1"/>
  <c r="I26" i="1" s="1"/>
  <c r="H39" i="1"/>
  <c r="H40" i="1" s="1"/>
  <c r="I25" i="3"/>
  <c r="I28" i="3" s="1"/>
  <c r="I23" i="3"/>
  <c r="I41" i="3" s="1"/>
  <c r="I42" i="3" s="1"/>
  <c r="I22" i="3"/>
  <c r="J27" i="3" s="1"/>
  <c r="J28" i="8" l="1"/>
  <c r="J29" i="8"/>
  <c r="J30" i="8" s="1"/>
  <c r="H56" i="1"/>
  <c r="H57" i="1" s="1"/>
  <c r="I62" i="1"/>
  <c r="I63" i="1" s="1"/>
  <c r="I49" i="1"/>
  <c r="I68" i="1"/>
  <c r="H71" i="1"/>
  <c r="H30" i="1"/>
  <c r="H36" i="1"/>
  <c r="H41" i="1"/>
  <c r="I18" i="1"/>
  <c r="I19" i="1" s="1"/>
  <c r="H28" i="1"/>
  <c r="H31" i="1" s="1"/>
  <c r="J4" i="3"/>
  <c r="J13" i="3" s="1"/>
  <c r="J45" i="3"/>
  <c r="J34" i="3"/>
  <c r="J35" i="3" s="1"/>
  <c r="I36" i="3"/>
  <c r="I29" i="3"/>
  <c r="H42" i="1" l="1"/>
  <c r="H43" i="1" s="1"/>
  <c r="I46" i="1"/>
  <c r="I60" i="1"/>
  <c r="I64" i="1" s="1"/>
  <c r="H32" i="1"/>
  <c r="I34" i="1"/>
  <c r="I20" i="1"/>
  <c r="I74" i="1" s="1"/>
  <c r="I81" i="1" s="1"/>
  <c r="J10" i="3"/>
  <c r="J7" i="3"/>
  <c r="J6" i="3"/>
  <c r="I37" i="3"/>
  <c r="I38" i="3"/>
  <c r="I39" i="3" s="1"/>
  <c r="J21" i="3"/>
  <c r="J11" i="3"/>
  <c r="J12" i="3" s="1"/>
  <c r="I48" i="1" l="1"/>
  <c r="I50" i="1" s="1"/>
  <c r="I53" i="1" s="1"/>
  <c r="I75" i="1"/>
  <c r="I77" i="1" s="1"/>
  <c r="I84" i="1" s="1"/>
  <c r="H87" i="1"/>
  <c r="H88" i="1" s="1"/>
  <c r="H85" i="1"/>
  <c r="I67" i="1"/>
  <c r="I70" i="1"/>
  <c r="I35" i="1"/>
  <c r="I27" i="1"/>
  <c r="I39" i="1"/>
  <c r="I40" i="1" s="1"/>
  <c r="I21" i="1"/>
  <c r="J23" i="3"/>
  <c r="J41" i="3" s="1"/>
  <c r="J42" i="3" s="1"/>
  <c r="J25" i="3"/>
  <c r="J28" i="3" s="1"/>
  <c r="J22" i="3"/>
  <c r="I56" i="1" l="1"/>
  <c r="I57" i="1" s="1"/>
  <c r="I28" i="1"/>
  <c r="I31" i="1" s="1"/>
  <c r="I71" i="1"/>
  <c r="I41" i="1"/>
  <c r="I30" i="1"/>
  <c r="I36" i="1"/>
  <c r="J36" i="3"/>
  <c r="J29" i="3"/>
  <c r="I85" i="1" l="1"/>
  <c r="I87" i="1"/>
  <c r="I88" i="1" s="1"/>
  <c r="I32" i="1"/>
  <c r="I42" i="1"/>
  <c r="I43" i="1" s="1"/>
  <c r="J37" i="3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6" authorId="0" shapeId="0" xr:uid="{DD358D4D-25EE-4E82-B4C9-A17A6A3F80AF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6" authorId="0" shapeId="0" xr:uid="{35D21901-A684-4230-A10D-E69435403DDB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5" authorId="0" shapeId="0" xr:uid="{3FFF71A7-CA8A-45D2-9F97-1E08477678C5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5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2FA8F760-095C-4E31-B90A-648648405BF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3" authorId="1" shapeId="0" xr:uid="{F346BF08-547B-4426-833B-33D46DF65856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sharedStrings.xml><?xml version="1.0" encoding="utf-8"?>
<sst xmlns="http://schemas.openxmlformats.org/spreadsheetml/2006/main" count="726" uniqueCount="447">
  <si>
    <t>Initial investment</t>
  </si>
  <si>
    <t>INPUTS and PARAMETERS</t>
  </si>
  <si>
    <t>ROCE</t>
  </si>
  <si>
    <t>Earnings</t>
  </si>
  <si>
    <t>Dividends</t>
  </si>
  <si>
    <t>Risk-free rate</t>
  </si>
  <si>
    <t>Risk premium</t>
  </si>
  <si>
    <t>Years elapsed</t>
  </si>
  <si>
    <t>Discount factor</t>
  </si>
  <si>
    <t>Growth rate</t>
  </si>
  <si>
    <t>Book value today</t>
  </si>
  <si>
    <t>Discount Factor</t>
  </si>
  <si>
    <t>Earnings and Dividends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</si>
  <si>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</si>
  <si>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</si>
  <si>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</si>
  <si>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</si>
  <si>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</si>
  <si>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</si>
  <si>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</si>
  <si>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</si>
  <si>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</si>
  <si>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</si>
  <si>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</si>
  <si>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</si>
  <si>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</si>
  <si>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</si>
  <si>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</si>
  <si>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</si>
  <si>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</si>
  <si>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</si>
  <si>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</si>
  <si>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</si>
  <si>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</si>
  <si>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</si>
  <si>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</si>
  <si>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</si>
  <si>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</si>
  <si>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</si>
  <si>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</si>
  <si>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</si>
  <si>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</si>
  <si>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</si>
  <si>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</si>
  <si>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</si>
  <si>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</si>
  <si>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</si>
  <si>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</si>
  <si>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</si>
  <si>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</si>
  <si>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</si>
  <si>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</si>
  <si>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</si>
  <si>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</si>
  <si>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</si>
  <si>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</si>
  <si>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</si>
  <si>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</si>
  <si>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</si>
  <si>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</si>
  <si>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</si>
  <si>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</si>
  <si>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</si>
  <si>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</si>
  <si>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</si>
  <si>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</si>
  <si>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</si>
  <si>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</si>
  <si>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</si>
  <si>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</si>
  <si>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</si>
  <si>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</si>
  <si>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</si>
  <si>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</si>
  <si>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</si>
  <si>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</si>
  <si>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</si>
  <si>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</si>
  <si>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</si>
  <si>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</si>
  <si>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</si>
  <si>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</si>
  <si>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</si>
  <si>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</si>
  <si>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</si>
  <si>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</si>
  <si>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</si>
  <si>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</si>
  <si>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</si>
  <si>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</si>
  <si>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</si>
  <si>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</si>
  <si>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</si>
  <si>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</si>
  <si>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</si>
  <si>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</si>
  <si>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</si>
  <si>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</si>
  <si>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</si>
  <si>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</si>
  <si>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</si>
  <si>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</si>
  <si>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</si>
  <si>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</si>
  <si>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</si>
  <si>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</si>
  <si>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</si>
  <si>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</si>
  <si>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</si>
  <si>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</si>
  <si>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</si>
  <si>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</si>
  <si>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</si>
  <si>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</si>
  <si>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</si>
  <si>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</si>
  <si>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</si>
  <si>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</si>
  <si>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</si>
  <si>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</si>
  <si>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</si>
  <si>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</si>
  <si>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</si>
  <si>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</si>
  <si>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</si>
  <si>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</si>
  <si>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</si>
  <si>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</si>
  <si>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</si>
  <si>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</si>
  <si>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</si>
  <si>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</si>
  <si>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</si>
  <si>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</si>
  <si>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</si>
  <si>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</si>
  <si>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</si>
  <si>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</si>
  <si>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</si>
  <si>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</si>
  <si>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</si>
  <si>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</si>
  <si>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</si>
  <si>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</si>
  <si>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</si>
  <si>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</si>
  <si>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</si>
  <si>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</si>
  <si>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</si>
  <si>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</si>
  <si>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</si>
  <si>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</si>
  <si>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</si>
  <si>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</si>
  <si>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</si>
  <si>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</si>
  <si>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</si>
  <si>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</si>
  <si>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</si>
  <si>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</si>
  <si>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</si>
  <si>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</si>
  <si>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</si>
  <si>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</si>
  <si>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</si>
  <si>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</si>
  <si>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</si>
  <si>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</si>
  <si>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</si>
  <si>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</si>
  <si>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</si>
  <si>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</si>
  <si>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</si>
  <si>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</si>
  <si>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</si>
  <si>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</si>
  <si>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</si>
  <si>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</si>
  <si>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</si>
  <si>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</si>
  <si>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</si>
  <si>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</si>
  <si>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</si>
  <si>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</si>
  <si>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</si>
  <si>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</si>
  <si>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</si>
  <si>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</si>
  <si>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</si>
  <si>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</si>
  <si>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</si>
  <si>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</si>
  <si>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</si>
  <si>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</si>
  <si>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</si>
  <si>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</si>
  <si>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</si>
  <si>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</si>
  <si>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</si>
  <si>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</si>
  <si>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</si>
  <si>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</si>
  <si>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</si>
  <si>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</si>
  <si>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</si>
  <si>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</si>
  <si>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</si>
  <si>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</si>
  <si>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</si>
  <si>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</si>
  <si>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</si>
  <si>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</si>
  <si>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</si>
  <si>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</si>
  <si>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</si>
  <si>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</si>
  <si>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</si>
  <si>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</si>
  <si>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</si>
  <si>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</si>
  <si>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</si>
  <si>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</si>
  <si>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</si>
  <si>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</si>
  <si>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</si>
  <si>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</si>
  <si>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</si>
  <si>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</si>
  <si>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</si>
  <si>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</si>
  <si>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</si>
  <si>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</si>
  <si>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</si>
  <si>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</si>
  <si>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</si>
  <si>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</si>
  <si>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</si>
  <si>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</si>
  <si>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</si>
  <si>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</si>
  <si>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</si>
  <si>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</si>
  <si>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</si>
  <si>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</si>
  <si>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</si>
  <si>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</si>
  <si>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</si>
  <si>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</si>
  <si>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</si>
  <si>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</si>
  <si>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</si>
  <si>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</si>
  <si>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</si>
  <si>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</si>
  <si>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</si>
  <si>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</si>
  <si>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</si>
  <si>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</si>
  <si>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</si>
  <si>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</si>
  <si>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</si>
  <si>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</si>
  <si>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</si>
  <si>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</si>
  <si>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</si>
  <si>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</si>
  <si>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</si>
  <si>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</si>
  <si>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</si>
  <si>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</si>
  <si>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</si>
  <si>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</si>
  <si>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</si>
  <si>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</si>
  <si>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</si>
  <si>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</si>
  <si>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</si>
  <si>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</si>
  <si>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</si>
  <si>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</si>
  <si>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</si>
  <si>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</si>
  <si>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</si>
  <si>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</si>
  <si>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</si>
  <si>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</si>
  <si>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</si>
  <si>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</si>
  <si>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</si>
  <si>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</si>
  <si>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</si>
  <si>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</si>
  <si>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</si>
  <si>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</si>
  <si>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</si>
  <si>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</si>
  <si>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</si>
  <si>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</si>
  <si>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</si>
  <si>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</si>
  <si>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</si>
  <si>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</si>
  <si>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</si>
  <si>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</si>
  <si>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</si>
  <si>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</si>
  <si>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</si>
  <si>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</si>
  <si>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</si>
  <si>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</si>
  <si>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</si>
  <si>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</si>
  <si>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</si>
  <si>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</si>
  <si>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</si>
  <si>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</si>
  <si>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</si>
  <si>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</si>
  <si>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</si>
  <si>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</si>
  <si>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</si>
  <si>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</si>
  <si>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</si>
  <si>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</si>
  <si>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</si>
  <si>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</si>
  <si>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</si>
  <si>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</si>
  <si>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</si>
  <si>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</si>
  <si>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</si>
  <si>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</si>
  <si>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</si>
  <si>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</si>
  <si>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</si>
  <si>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</si>
  <si>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</si>
  <si>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</si>
  <si>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</si>
  <si>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</si>
  <si>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</si>
  <si>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</si>
  <si>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</si>
  <si>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</si>
  <si>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</si>
  <si>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</si>
  <si>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</si>
  <si>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</si>
  <si>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</si>
  <si>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</si>
  <si>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</si>
  <si>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</si>
  <si>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</si>
  <si>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</si>
  <si>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</si>
  <si>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</si>
  <si>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</si>
  <si>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</si>
  <si>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</si>
  <si>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</si>
  <si>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</si>
  <si>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</si>
  <si>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</si>
  <si>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</si>
  <si>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</si>
  <si>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</si>
  <si>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</si>
  <si>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</si>
  <si>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</si>
  <si>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</si>
  <si>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</si>
  <si>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</si>
  <si>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</si>
  <si>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</si>
  <si>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</si>
  <si>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</si>
  <si>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</si>
  <si>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</si>
  <si>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</si>
  <si>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</si>
  <si>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</si>
  <si>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</si>
  <si>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</si>
  <si>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</si>
  <si>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</si>
  <si>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</si>
  <si>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</si>
  <si>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</si>
  <si>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</si>
  <si>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</si>
  <si>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</si>
  <si>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</si>
  <si>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</si>
  <si>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</si>
  <si>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</si>
  <si>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</si>
  <si>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</si>
  <si>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Equation 2.1</t>
  </si>
  <si>
    <t>Discount factor, one year lagged</t>
  </si>
  <si>
    <t>Dividend growth</t>
  </si>
  <si>
    <t>Discount rate (hurdle)</t>
  </si>
  <si>
    <t>Dividend payout rate</t>
  </si>
  <si>
    <t>Book value, beginning</t>
  </si>
  <si>
    <t>Book value, ending</t>
  </si>
  <si>
    <t>Book value today, based on n-year pro forma forecast</t>
  </si>
  <si>
    <t>Present value, dividends</t>
  </si>
  <si>
    <t>Cumulative present value, dividends</t>
  </si>
  <si>
    <t>Present value, book value, ending</t>
  </si>
  <si>
    <t>Capitalization factor, inclusive of growth rate</t>
  </si>
  <si>
    <t>Capitalized terminal residual earnings, present valued by one year lagged discount factor</t>
  </si>
  <si>
    <t>Equity value today, based on n-year pro forma forecast</t>
  </si>
  <si>
    <t>Abnormal earnings (aka residual earnings, excess earnings)</t>
  </si>
  <si>
    <t>Equation 2.6</t>
  </si>
  <si>
    <t>Cost-of-capital</t>
  </si>
  <si>
    <t>Abnormal earnings</t>
  </si>
  <si>
    <t>Equation 2.7</t>
  </si>
  <si>
    <t>Equation 2.8a</t>
  </si>
  <si>
    <t>Return in excess of hurdle</t>
  </si>
  <si>
    <t>Dividends, present value</t>
  </si>
  <si>
    <t>Cumulative present value of one year lagged dividends</t>
  </si>
  <si>
    <t>Book value, beginning, present valued by one year lagged discount factor</t>
  </si>
  <si>
    <t>Present value, abnormal earnings</t>
  </si>
  <si>
    <t>Cumulative present value of one year lagged abnormal earnings</t>
  </si>
  <si>
    <t>Capitalized terminal abnormal earnings, present valued by one year lagged discount factor</t>
  </si>
  <si>
    <t>Book rate-of-return, ROCE</t>
  </si>
  <si>
    <t>Book value today % of stock price</t>
  </si>
  <si>
    <t>Stock price</t>
  </si>
  <si>
    <t>Short term forecast of proforma earnings</t>
  </si>
  <si>
    <t>Pro forma earnings % of stock price</t>
  </si>
  <si>
    <t>No growth capitalized terminal value</t>
  </si>
  <si>
    <t>Terminal value % of stock price</t>
  </si>
  <si>
    <t>Anchor value</t>
  </si>
  <si>
    <t>Anchor value % of stock price</t>
  </si>
  <si>
    <t>Value of speculative growth</t>
  </si>
  <si>
    <t>Speculative growth % of stock price</t>
  </si>
  <si>
    <t>Abnormal earnings growth</t>
  </si>
  <si>
    <t>Cisco Systems</t>
  </si>
  <si>
    <t>Excess ROCE</t>
  </si>
  <si>
    <t>Abnormal earnings (residual earnings)</t>
  </si>
  <si>
    <t>Book rate-of-return (ROCE)</t>
  </si>
  <si>
    <t>Present value, one year lagged cumulative abnormal earnings</t>
  </si>
  <si>
    <t>Perpetual growth rate of abnormal earnings after forecast horizon</t>
  </si>
  <si>
    <t>Capitalization factor</t>
  </si>
  <si>
    <t>Book value, today</t>
  </si>
  <si>
    <t>Present value, one year lagged cumulative dividends</t>
  </si>
  <si>
    <t>Present value, one year lagged book value, one year lagged discount factor</t>
  </si>
  <si>
    <t>Present value, capitalized terminal value, one year lagged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</si>
</sst>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_(* #,##0_);_(* \(#,##0\);_(* &quot;-&quot;??_);_(@_)"/>
    <numFmt numFmtId="170" formatCode="&quot;$&quot;#,##0.000_);[Red]\(&quot;$&quot;#,##0.000\)"/>
    <numFmt numFmtId="171" formatCode="&quot;$&quot;#,##0.00000_);[Red]\(&quot;$&quot;#,##0.00000\)"/>
    <numFmt numFmtId="172" formatCode="&quot;$&quot;#,##0.0000000_);[Red]\(&quot;$&quot;#,##0.0000000\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7" fillId="0" borderId="0" applyFont="0" applyFill="0" applyBorder="0" applyAlignment="0" applyProtection="0"/>
    <xf numFmtId="0" fontId="9" fillId="8" borderId="0"/>
    <xf numFmtId="0" fontId="10" fillId="8" borderId="4">
      <alignment horizontal="left"/>
    </xf>
    <xf numFmtId="0" fontId="10" fillId="8" borderId="4">
      <alignment horizontal="right"/>
    </xf>
    <xf numFmtId="0" fontId="10" fillId="8" borderId="5">
      <alignment horizontal="right"/>
    </xf>
    <xf numFmtId="0" fontId="11" fillId="9" borderId="6"/>
    <xf numFmtId="3" fontId="11" fillId="9" borderId="7">
      <alignment horizontal="right"/>
    </xf>
    <xf numFmtId="0" fontId="12" fillId="9" borderId="6"/>
    <xf numFmtId="168" fontId="13" fillId="9" borderId="7">
      <alignment horizontal="right"/>
    </xf>
    <xf numFmtId="168" fontId="11" fillId="9" borderId="7">
      <alignment horizontal="right"/>
    </xf>
    <xf numFmtId="0" fontId="14" fillId="9" borderId="6"/>
    <xf numFmtId="168" fontId="15" fillId="9" borderId="7">
      <alignment horizontal="right"/>
    </xf>
    <xf numFmtId="3" fontId="13" fillId="9" borderId="7">
      <alignment horizontal="right"/>
    </xf>
    <xf numFmtId="4" fontId="13" fillId="9" borderId="7">
      <alignment horizontal="right"/>
    </xf>
    <xf numFmtId="0" fontId="15" fillId="10" borderId="3" applyNumberFormat="0" applyAlignment="0" applyProtection="0"/>
    <xf numFmtId="4" fontId="11" fillId="9" borderId="7">
      <alignment horizontal="right"/>
    </xf>
    <xf numFmtId="43" fontId="7" fillId="0" borderId="0" applyFont="0" applyFill="0" applyBorder="0" applyAlignment="0" applyProtection="0"/>
  </cellStyleXfs>
  <cellXfs count="94">
    <xf numFmtId="0" fontId="0" fillId="0" borderId="0" xfId="0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9" fontId="0" fillId="0" borderId="0" xfId="1" applyFont="1"/>
    <xf numFmtId="9" fontId="8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8" fillId="0" borderId="0" xfId="0" applyNumberFormat="1" applyFont="1"/>
    <xf numFmtId="167" fontId="0" fillId="0" borderId="0" xfId="0" applyNumberFormat="1"/>
    <xf numFmtId="0" fontId="1" fillId="7" borderId="1" xfId="0" applyFon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1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6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8" borderId="4" xfId="3" applyNumberFormat="1" applyFont="1" applyFill="1" applyBorder="1" applyAlignment="1" applyProtection="1">
      <alignment horizontal="left"/>
    </xf>
    <xf numFmtId="0" fontId="10" fillId="8" borderId="4" xfId="4" applyNumberFormat="1" applyFont="1" applyFill="1" applyBorder="1" applyAlignment="1" applyProtection="1">
      <alignment horizontal="right"/>
    </xf>
    <xf numFmtId="0" fontId="11" fillId="9" borderId="6" xfId="6" applyNumberFormat="1" applyFont="1" applyFill="1" applyBorder="1" applyAlignment="1" applyProtection="1"/>
    <xf numFmtId="3" fontId="11" fillId="9" borderId="7" xfId="7" applyNumberFormat="1" applyFont="1" applyFill="1" applyBorder="1" applyAlignment="1" applyProtection="1">
      <alignment horizontal="right"/>
    </xf>
    <xf numFmtId="0" fontId="12" fillId="9" borderId="6" xfId="8" applyNumberFormat="1" applyFont="1" applyFill="1" applyBorder="1" applyAlignment="1" applyProtection="1"/>
    <xf numFmtId="168" fontId="13" fillId="9" borderId="7" xfId="9" applyNumberFormat="1" applyFont="1" applyFill="1" applyBorder="1" applyAlignment="1" applyProtection="1">
      <alignment horizontal="right"/>
    </xf>
    <xf numFmtId="168" fontId="11" fillId="9" borderId="7" xfId="10" applyNumberFormat="1" applyFont="1" applyFill="1" applyBorder="1" applyAlignment="1" applyProtection="1">
      <alignment horizontal="right"/>
    </xf>
    <xf numFmtId="0" fontId="14" fillId="9" borderId="6" xfId="11" applyNumberFormat="1" applyFont="1" applyFill="1" applyBorder="1" applyAlignment="1" applyProtection="1"/>
    <xf numFmtId="168" fontId="15" fillId="9" borderId="7" xfId="12" applyNumberFormat="1" applyFont="1" applyFill="1" applyBorder="1" applyAlignment="1" applyProtection="1">
      <alignment horizontal="right"/>
    </xf>
    <xf numFmtId="3" fontId="13" fillId="9" borderId="7" xfId="13" applyNumberFormat="1" applyFont="1" applyFill="1" applyBorder="1" applyAlignment="1" applyProtection="1">
      <alignment horizontal="right"/>
    </xf>
    <xf numFmtId="4" fontId="13" fillId="9" borderId="7" xfId="14" applyNumberFormat="1" applyFont="1" applyFill="1" applyBorder="1" applyAlignment="1" applyProtection="1">
      <alignment horizontal="right"/>
    </xf>
    <xf numFmtId="0" fontId="15" fillId="10" borderId="3" xfId="15" applyFont="1" applyFill="1" applyBorder="1"/>
    <xf numFmtId="4" fontId="11" fillId="9" borderId="7" xfId="16" applyNumberFormat="1" applyFont="1" applyFill="1" applyBorder="1" applyAlignment="1" applyProtection="1">
      <alignment horizontal="right"/>
    </xf>
    <xf numFmtId="0" fontId="1" fillId="5" borderId="3" xfId="0" applyFont="1" applyFill="1" applyBorder="1"/>
    <xf numFmtId="166" fontId="1" fillId="5" borderId="3" xfId="1" applyNumberFormat="1" applyFont="1" applyFill="1" applyBorder="1"/>
    <xf numFmtId="0" fontId="1" fillId="5" borderId="2" xfId="0" applyFont="1" applyFill="1" applyBorder="1" applyAlignment="1">
      <alignment horizontal="left" indent="1"/>
    </xf>
    <xf numFmtId="0" fontId="1" fillId="5" borderId="2" xfId="0" applyFont="1" applyFill="1" applyBorder="1"/>
    <xf numFmtId="9" fontId="1" fillId="5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164" fontId="1" fillId="0" borderId="0" xfId="0" applyNumberFormat="1" applyFont="1"/>
    <xf numFmtId="8" fontId="17" fillId="0" borderId="0" xfId="0" applyNumberFormat="1" applyFont="1"/>
    <xf numFmtId="0" fontId="1" fillId="11" borderId="1" xfId="0" applyFont="1" applyFill="1" applyBorder="1" applyAlignment="1">
      <alignment horizontal="left" indent="1"/>
    </xf>
    <xf numFmtId="0" fontId="0" fillId="11" borderId="1" xfId="0" applyFill="1" applyBorder="1"/>
    <xf numFmtId="8" fontId="0" fillId="11" borderId="1" xfId="0" applyNumberFormat="1" applyFill="1" applyBorder="1"/>
    <xf numFmtId="169" fontId="0" fillId="0" borderId="0" xfId="17" applyNumberFormat="1" applyFont="1"/>
    <xf numFmtId="0" fontId="18" fillId="0" borderId="0" xfId="0" applyFont="1" applyAlignment="1">
      <alignment horizontal="left" indent="2"/>
    </xf>
    <xf numFmtId="164" fontId="18" fillId="0" borderId="0" xfId="1" applyNumberFormat="1" applyFont="1"/>
    <xf numFmtId="0" fontId="1" fillId="12" borderId="1" xfId="0" applyFont="1" applyFill="1" applyBorder="1" applyAlignment="1">
      <alignment horizontal="left" indent="1"/>
    </xf>
    <xf numFmtId="0" fontId="1" fillId="12" borderId="1" xfId="0" applyFont="1" applyFill="1" applyBorder="1"/>
    <xf numFmtId="8" fontId="1" fillId="12" borderId="1" xfId="0" applyNumberFormat="1" applyFont="1" applyFill="1" applyBorder="1"/>
    <xf numFmtId="0" fontId="1" fillId="4" borderId="1" xfId="0" applyFont="1" applyFill="1" applyBorder="1" applyAlignment="1">
      <alignment horizontal="left" indent="1"/>
    </xf>
    <xf numFmtId="0" fontId="1" fillId="4" borderId="1" xfId="0" applyFont="1" applyFill="1" applyBorder="1"/>
    <xf numFmtId="8" fontId="1" fillId="4" borderId="1" xfId="0" applyNumberFormat="1" applyFont="1" applyFill="1" applyBorder="1"/>
    <xf numFmtId="0" fontId="1" fillId="13" borderId="1" xfId="0" applyFont="1" applyFill="1" applyBorder="1" applyAlignment="1">
      <alignment horizontal="left" indent="1"/>
    </xf>
    <xf numFmtId="0" fontId="1" fillId="13" borderId="1" xfId="0" applyFont="1" applyFill="1" applyBorder="1"/>
    <xf numFmtId="8" fontId="1" fillId="13" borderId="1" xfId="0" applyNumberFormat="1" applyFont="1" applyFill="1" applyBorder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1" fillId="2" borderId="1" xfId="0" applyFont="1" applyFill="1" applyBorder="1" applyAlignment="1">
      <alignment horizontal="right" vertical="center"/>
    </xf>
    <xf numFmtId="0" fontId="1" fillId="0" borderId="0" xfId="0" applyFont="1"/>
    <xf numFmtId="170" fontId="1" fillId="0" borderId="0" xfId="0" applyNumberFormat="1" applyFont="1"/>
    <xf numFmtId="10" fontId="0" fillId="0" borderId="0" xfId="1" applyNumberFormat="1" applyFont="1"/>
    <xf numFmtId="0" fontId="0" fillId="14" borderId="1" xfId="0" applyFill="1" applyBorder="1" applyAlignment="1">
      <alignment horizontal="left" indent="1"/>
    </xf>
    <xf numFmtId="0" fontId="0" fillId="14" borderId="1" xfId="0" applyFill="1" applyBorder="1"/>
    <xf numFmtId="0" fontId="0" fillId="15" borderId="3" xfId="0" applyFill="1" applyBorder="1" applyAlignment="1">
      <alignment horizontal="left" indent="1"/>
    </xf>
    <xf numFmtId="0" fontId="0" fillId="15" borderId="3" xfId="0" applyFill="1" applyBorder="1"/>
    <xf numFmtId="164" fontId="0" fillId="15" borderId="3" xfId="1" applyNumberFormat="1" applyFont="1" applyFill="1" applyBorder="1"/>
    <xf numFmtId="0" fontId="0" fillId="15" borderId="2" xfId="0" applyFill="1" applyBorder="1" applyAlignment="1">
      <alignment horizontal="left" indent="1"/>
    </xf>
    <xf numFmtId="0" fontId="0" fillId="15" borderId="2" xfId="0" applyFill="1" applyBorder="1"/>
    <xf numFmtId="164" fontId="0" fillId="15" borderId="2" xfId="1" applyNumberFormat="1" applyFont="1" applyFill="1" applyBorder="1" applyAlignment="1">
      <alignment horizontal="right"/>
    </xf>
    <xf numFmtId="0" fontId="0" fillId="15" borderId="1" xfId="0" applyFill="1" applyBorder="1" applyAlignment="1">
      <alignment horizontal="left" indent="1"/>
    </xf>
    <xf numFmtId="0" fontId="0" fillId="15" borderId="1" xfId="0" applyFill="1" applyBorder="1"/>
    <xf numFmtId="164" fontId="0" fillId="15" borderId="1" xfId="1" applyNumberFormat="1" applyFont="1" applyFill="1" applyBorder="1" applyAlignment="1">
      <alignment horizontal="right"/>
    </xf>
  </cellXfs>
  <cellStyles count="18">
    <cellStyle name="blp_column_header" xfId="2" xr:uid="{00000000-0005-0000-0000-000000000000}"/>
    <cellStyle name="Comma" xfId="17" builtinId="3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Cisco!$E$44:$J$44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Cisco!$E$45:$J$45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18</xdr:row>
      <xdr:rowOff>95250</xdr:rowOff>
    </xdr:from>
    <xdr:to>
      <xdr:col>14</xdr:col>
      <xdr:colOff>389983</xdr:colOff>
      <xdr:row>22</xdr:row>
      <xdr:rowOff>47536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109E0AC-5664-48EA-B174-97A38EA10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505200"/>
          <a:ext cx="4333333" cy="714286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10</xdr:row>
      <xdr:rowOff>76200</xdr:rowOff>
    </xdr:from>
    <xdr:to>
      <xdr:col>7</xdr:col>
      <xdr:colOff>361950</xdr:colOff>
      <xdr:row>30</xdr:row>
      <xdr:rowOff>0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09E938F5-1221-4E75-A8C8-6AEF545E9F67}"/>
            </a:ext>
          </a:extLst>
        </xdr:cNvPr>
        <xdr:cNvSpPr/>
      </xdr:nvSpPr>
      <xdr:spPr>
        <a:xfrm>
          <a:off x="7477125" y="1962150"/>
          <a:ext cx="266700" cy="3733800"/>
        </a:xfrm>
        <a:prstGeom prst="rightBrace">
          <a:avLst>
            <a:gd name="adj1" fmla="val 165476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30325" y="781044"/>
          <a:ext cx="2289155" cy="1328751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8FED9-1533-475F-B062-6CC423F8BC3D}">
  <sheetPr codeName="Sheet8"/>
  <dimension ref="B1:M46"/>
  <sheetViews>
    <sheetView showGridLines="0" zoomScaleNormal="100" workbookViewId="0">
      <selection activeCell="B27" sqref="B27"/>
    </sheetView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7" width="10.5703125" customWidth="1"/>
  </cols>
  <sheetData>
    <row r="1" spans="2:13" ht="9" customHeight="1" x14ac:dyDescent="0.25"/>
    <row r="2" spans="2:13" ht="20.100000000000001" customHeight="1" x14ac:dyDescent="0.25">
      <c r="B2" s="55" t="s">
        <v>436</v>
      </c>
      <c r="C2" s="13"/>
      <c r="D2" s="13"/>
      <c r="E2" s="79" t="s">
        <v>19</v>
      </c>
      <c r="F2" s="79" t="s">
        <v>20</v>
      </c>
      <c r="G2" s="79" t="s">
        <v>21</v>
      </c>
    </row>
    <row r="3" spans="2:13" x14ac:dyDescent="0.25">
      <c r="B3" s="83" t="s">
        <v>7</v>
      </c>
      <c r="C3" s="84"/>
      <c r="D3" s="84"/>
      <c r="E3" s="84">
        <v>0</v>
      </c>
      <c r="F3" s="84">
        <v>1</v>
      </c>
      <c r="G3" s="84">
        <v>2</v>
      </c>
    </row>
    <row r="4" spans="2:13" x14ac:dyDescent="0.25">
      <c r="B4" s="8" t="s">
        <v>3</v>
      </c>
      <c r="F4" s="1">
        <v>1.42</v>
      </c>
      <c r="G4" s="1">
        <v>1.61</v>
      </c>
      <c r="H4" s="1"/>
      <c r="M4" s="2"/>
    </row>
    <row r="5" spans="2:13" x14ac:dyDescent="0.25">
      <c r="B5" s="57" t="s">
        <v>4</v>
      </c>
      <c r="C5" s="6"/>
      <c r="D5" s="6"/>
      <c r="E5" s="6"/>
      <c r="F5" s="7">
        <v>0</v>
      </c>
      <c r="G5" s="7">
        <v>0</v>
      </c>
      <c r="H5" s="1"/>
    </row>
    <row r="6" spans="2:13" x14ac:dyDescent="0.25">
      <c r="B6" s="8" t="s">
        <v>403</v>
      </c>
      <c r="E6" s="1">
        <v>6.68</v>
      </c>
      <c r="F6" s="60">
        <f>E6+F4-F5</f>
        <v>8.1</v>
      </c>
      <c r="G6" s="60">
        <f>F6+G4-G5</f>
        <v>9.7099999999999991</v>
      </c>
      <c r="H6" s="1"/>
      <c r="I6" s="1"/>
    </row>
    <row r="7" spans="2:13" x14ac:dyDescent="0.25">
      <c r="E7" s="1"/>
      <c r="F7" s="1"/>
      <c r="G7" s="1"/>
      <c r="H7" s="1"/>
    </row>
    <row r="8" spans="2:13" x14ac:dyDescent="0.25">
      <c r="B8" s="85" t="s">
        <v>387</v>
      </c>
      <c r="C8" s="86"/>
      <c r="D8" s="86"/>
      <c r="E8" s="86"/>
      <c r="F8" s="86"/>
      <c r="G8" s="87">
        <f>G4/F4-1</f>
        <v>0.13380281690140849</v>
      </c>
    </row>
    <row r="9" spans="2:13" x14ac:dyDescent="0.25">
      <c r="B9" s="88" t="s">
        <v>399</v>
      </c>
      <c r="C9" s="89"/>
      <c r="D9" s="89"/>
      <c r="E9" s="89"/>
      <c r="F9" s="89"/>
      <c r="G9" s="90" t="str">
        <f>IFERROR(G5/F5-1,"NM")</f>
        <v>NM</v>
      </c>
    </row>
    <row r="11" spans="2:13" x14ac:dyDescent="0.25">
      <c r="B11" s="8" t="s">
        <v>439</v>
      </c>
      <c r="E11" s="1"/>
      <c r="F11" s="10">
        <f>F4/E6</f>
        <v>0.21257485029940121</v>
      </c>
      <c r="G11" s="10">
        <f>G4/F6</f>
        <v>0.19876543209876546</v>
      </c>
      <c r="H11" s="1"/>
    </row>
    <row r="12" spans="2:13" ht="15" customHeight="1" x14ac:dyDescent="0.25">
      <c r="B12" s="58" t="s">
        <v>400</v>
      </c>
      <c r="C12" s="9"/>
      <c r="D12" s="9"/>
      <c r="E12" s="1"/>
      <c r="F12" s="12">
        <v>0.1</v>
      </c>
      <c r="G12" s="12">
        <f>F12</f>
        <v>0.1</v>
      </c>
    </row>
    <row r="13" spans="2:13" x14ac:dyDescent="0.25">
      <c r="B13" s="8" t="s">
        <v>437</v>
      </c>
      <c r="F13" s="12">
        <f>F11-F12</f>
        <v>0.1125748502994012</v>
      </c>
      <c r="G13" s="12">
        <f>G11-G12</f>
        <v>9.8765432098765454E-2</v>
      </c>
    </row>
    <row r="14" spans="2:13" ht="15" customHeight="1" x14ac:dyDescent="0.25">
      <c r="B14" s="58" t="s">
        <v>438</v>
      </c>
      <c r="C14" s="9"/>
      <c r="D14" s="9"/>
      <c r="E14" s="1"/>
      <c r="F14" s="76">
        <f>F13*E6</f>
        <v>0.752</v>
      </c>
      <c r="G14" s="76">
        <f>G13*F6</f>
        <v>0.80000000000000016</v>
      </c>
      <c r="H14" s="76"/>
    </row>
    <row r="16" spans="2:13" x14ac:dyDescent="0.25">
      <c r="B16" s="91" t="s">
        <v>435</v>
      </c>
      <c r="C16" s="92"/>
      <c r="D16" s="92"/>
      <c r="E16" s="92"/>
      <c r="F16" s="92"/>
      <c r="G16" s="93">
        <f>IFERROR(G14/F14-1,"NM")</f>
        <v>6.3829787234042756E-2</v>
      </c>
    </row>
    <row r="18" spans="2:7" x14ac:dyDescent="0.25">
      <c r="B18" s="8" t="s">
        <v>8</v>
      </c>
      <c r="E18" s="10">
        <f>1/(1+$F$12)^E3</f>
        <v>1</v>
      </c>
      <c r="F18" s="10">
        <f>1/(1+$F$12)^F3</f>
        <v>0.90909090909090906</v>
      </c>
      <c r="G18" s="10">
        <f>1/(1+$F$12)^G3</f>
        <v>0.82644628099173545</v>
      </c>
    </row>
    <row r="19" spans="2:7" x14ac:dyDescent="0.25">
      <c r="B19" s="8" t="s">
        <v>398</v>
      </c>
      <c r="E19" s="10"/>
      <c r="F19" s="10">
        <f>E18</f>
        <v>1</v>
      </c>
      <c r="G19" s="10">
        <f>F18</f>
        <v>0.90909090909090906</v>
      </c>
    </row>
    <row r="21" spans="2:7" x14ac:dyDescent="0.25">
      <c r="B21" s="56" t="s">
        <v>421</v>
      </c>
      <c r="C21" s="80"/>
      <c r="D21" s="80"/>
      <c r="E21" s="80"/>
      <c r="F21" s="81">
        <f>F14*F18</f>
        <v>0.6836363636363636</v>
      </c>
      <c r="G21" s="81">
        <f>G14*G18</f>
        <v>0.66115702479338845</v>
      </c>
    </row>
    <row r="22" spans="2:7" x14ac:dyDescent="0.25">
      <c r="B22" s="56" t="s">
        <v>440</v>
      </c>
      <c r="F22" s="76">
        <f>SUM($E21:E21)</f>
        <v>0</v>
      </c>
      <c r="G22" s="76">
        <f>SUM($E21:F21)</f>
        <v>0.6836363636363636</v>
      </c>
    </row>
    <row r="23" spans="2:7" x14ac:dyDescent="0.25">
      <c r="F23" s="76"/>
      <c r="G23" s="76"/>
    </row>
    <row r="24" spans="2:7" x14ac:dyDescent="0.25">
      <c r="B24" s="8" t="s">
        <v>441</v>
      </c>
      <c r="F24" s="10">
        <v>0</v>
      </c>
      <c r="G24" s="10">
        <v>0</v>
      </c>
    </row>
    <row r="25" spans="2:7" x14ac:dyDescent="0.25">
      <c r="B25" s="8" t="s">
        <v>442</v>
      </c>
      <c r="F25" s="64">
        <f>1/(F$12-F$24)</f>
        <v>10</v>
      </c>
      <c r="G25" s="64">
        <f>1/(G$12-G$24)</f>
        <v>10</v>
      </c>
    </row>
    <row r="26" spans="2:7" x14ac:dyDescent="0.25">
      <c r="B26" s="8" t="s">
        <v>446</v>
      </c>
      <c r="F26" s="1">
        <f>F14*F25*F19</f>
        <v>7.52</v>
      </c>
      <c r="G26" s="1">
        <f>G14*G25*G19</f>
        <v>7.2727272727272743</v>
      </c>
    </row>
    <row r="27" spans="2:7" x14ac:dyDescent="0.25">
      <c r="F27" s="1"/>
      <c r="G27" s="1"/>
    </row>
    <row r="28" spans="2:7" x14ac:dyDescent="0.25">
      <c r="B28" s="8" t="s">
        <v>443</v>
      </c>
      <c r="F28" s="1">
        <f>$E$6</f>
        <v>6.68</v>
      </c>
      <c r="G28" s="1">
        <f>$E$6</f>
        <v>6.68</v>
      </c>
    </row>
    <row r="29" spans="2:7" x14ac:dyDescent="0.25">
      <c r="F29" s="1"/>
      <c r="G29" s="1"/>
    </row>
    <row r="30" spans="2:7" x14ac:dyDescent="0.25">
      <c r="B30" s="61" t="s">
        <v>410</v>
      </c>
      <c r="C30" s="62"/>
      <c r="D30" s="62"/>
      <c r="E30" s="62"/>
      <c r="F30" s="63">
        <f>$F$28+F22+F26</f>
        <v>14.2</v>
      </c>
      <c r="G30" s="63">
        <f>$F$28+G22+G26</f>
        <v>14.636363636363637</v>
      </c>
    </row>
    <row r="31" spans="2:7" ht="7.5" customHeight="1" x14ac:dyDescent="0.25"/>
    <row r="32" spans="2:7" x14ac:dyDescent="0.25">
      <c r="B32" s="8" t="s">
        <v>10</v>
      </c>
      <c r="F32" s="1">
        <f>$E$6</f>
        <v>6.68</v>
      </c>
      <c r="G32" s="1">
        <f>$E$6</f>
        <v>6.68</v>
      </c>
    </row>
    <row r="33" spans="2:8" x14ac:dyDescent="0.25">
      <c r="B33" s="65" t="s">
        <v>425</v>
      </c>
      <c r="F33" s="66">
        <f>F32/F$42</f>
        <v>0.27833333333333332</v>
      </c>
      <c r="G33" s="66">
        <f>G32/G$42</f>
        <v>0.27833333333333332</v>
      </c>
    </row>
    <row r="34" spans="2:8" x14ac:dyDescent="0.25">
      <c r="B34" s="8" t="s">
        <v>427</v>
      </c>
      <c r="F34" s="76">
        <f>F22</f>
        <v>0</v>
      </c>
      <c r="G34" s="76">
        <f>G22</f>
        <v>0.6836363636363636</v>
      </c>
      <c r="H34" s="1"/>
    </row>
    <row r="35" spans="2:8" x14ac:dyDescent="0.25">
      <c r="B35" s="65" t="s">
        <v>428</v>
      </c>
      <c r="F35" s="66">
        <f>F34/F$42</f>
        <v>0</v>
      </c>
      <c r="G35" s="66">
        <f>G34/G$42</f>
        <v>2.8484848484848484E-2</v>
      </c>
    </row>
    <row r="36" spans="2:8" x14ac:dyDescent="0.25">
      <c r="B36" s="8" t="s">
        <v>429</v>
      </c>
      <c r="F36" s="1">
        <f>F26</f>
        <v>7.52</v>
      </c>
      <c r="G36" s="1">
        <f>G26</f>
        <v>7.2727272727272743</v>
      </c>
    </row>
    <row r="37" spans="2:8" x14ac:dyDescent="0.25">
      <c r="B37" s="65" t="s">
        <v>430</v>
      </c>
      <c r="F37" s="66">
        <f>F36/F$42</f>
        <v>0.3133333333333333</v>
      </c>
      <c r="G37" s="66">
        <f>G36/G$42</f>
        <v>0.30303030303030309</v>
      </c>
    </row>
    <row r="38" spans="2:8" x14ac:dyDescent="0.25">
      <c r="B38" s="67" t="s">
        <v>431</v>
      </c>
      <c r="C38" s="68"/>
      <c r="D38" s="68"/>
      <c r="E38" s="68"/>
      <c r="F38" s="69">
        <f>F32+F34+F36</f>
        <v>14.2</v>
      </c>
      <c r="G38" s="69">
        <f>G32+G34+G36</f>
        <v>14.636363636363637</v>
      </c>
    </row>
    <row r="39" spans="2:8" x14ac:dyDescent="0.25">
      <c r="B39" s="65" t="s">
        <v>432</v>
      </c>
      <c r="F39" s="66">
        <f>F38/F$42</f>
        <v>0.59166666666666667</v>
      </c>
      <c r="G39" s="66">
        <f>G38/G$42</f>
        <v>0.60984848484848486</v>
      </c>
    </row>
    <row r="40" spans="2:8" x14ac:dyDescent="0.25">
      <c r="B40" s="70" t="s">
        <v>433</v>
      </c>
      <c r="C40" s="71"/>
      <c r="D40" s="71"/>
      <c r="E40" s="71"/>
      <c r="F40" s="72">
        <f>F42-F38</f>
        <v>9.8000000000000007</v>
      </c>
      <c r="G40" s="72">
        <f>G42-G38</f>
        <v>9.3636363636363633</v>
      </c>
    </row>
    <row r="41" spans="2:8" x14ac:dyDescent="0.25">
      <c r="B41" s="65" t="s">
        <v>434</v>
      </c>
      <c r="F41" s="66">
        <f>F40/F$42</f>
        <v>0.40833333333333338</v>
      </c>
      <c r="G41" s="66">
        <f>G40/G$42</f>
        <v>0.39015151515151514</v>
      </c>
    </row>
    <row r="42" spans="2:8" x14ac:dyDescent="0.25">
      <c r="B42" s="73" t="s">
        <v>426</v>
      </c>
      <c r="C42" s="74"/>
      <c r="D42" s="74"/>
      <c r="E42" s="74"/>
      <c r="F42" s="75">
        <v>24</v>
      </c>
      <c r="G42" s="75">
        <f>F42</f>
        <v>24</v>
      </c>
    </row>
    <row r="44" spans="2:8" x14ac:dyDescent="0.25">
      <c r="G44" s="1"/>
    </row>
    <row r="45" spans="2:8" x14ac:dyDescent="0.25">
      <c r="G45" s="82"/>
    </row>
    <row r="46" spans="2:8" x14ac:dyDescent="0.25">
      <c r="G46" s="82"/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02CA9-6903-45A0-8FC5-88C6ECA73564}">
  <sheetPr codeName="Sheet9"/>
  <dimension ref="B1:M46"/>
  <sheetViews>
    <sheetView showGridLines="0" tabSelected="1" zoomScaleNormal="100" workbookViewId="0">
      <selection activeCell="F31" sqref="F31"/>
    </sheetView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7" width="10.5703125" customWidth="1"/>
  </cols>
  <sheetData>
    <row r="1" spans="2:13" ht="9" customHeight="1" x14ac:dyDescent="0.25"/>
    <row r="2" spans="2:13" ht="20.100000000000001" customHeight="1" x14ac:dyDescent="0.25">
      <c r="B2" s="55" t="s">
        <v>436</v>
      </c>
      <c r="C2" s="13"/>
      <c r="D2" s="13"/>
      <c r="E2" s="79" t="s">
        <v>19</v>
      </c>
      <c r="F2" s="79" t="s">
        <v>20</v>
      </c>
      <c r="G2" s="79" t="s">
        <v>21</v>
      </c>
    </row>
    <row r="3" spans="2:13" x14ac:dyDescent="0.25">
      <c r="B3" s="83" t="s">
        <v>7</v>
      </c>
      <c r="C3" s="84"/>
      <c r="D3" s="84"/>
      <c r="E3" s="84">
        <v>0</v>
      </c>
      <c r="F3" s="84">
        <v>1</v>
      </c>
      <c r="G3" s="84">
        <v>2</v>
      </c>
    </row>
    <row r="4" spans="2:13" x14ac:dyDescent="0.25">
      <c r="B4" s="8" t="s">
        <v>3</v>
      </c>
      <c r="F4" s="1">
        <v>1.42</v>
      </c>
      <c r="G4" s="1">
        <v>1.61</v>
      </c>
      <c r="H4" s="1"/>
      <c r="M4" s="2"/>
    </row>
    <row r="5" spans="2:13" x14ac:dyDescent="0.25">
      <c r="B5" s="57" t="s">
        <v>4</v>
      </c>
      <c r="C5" s="6"/>
      <c r="D5" s="6"/>
      <c r="E5" s="6"/>
      <c r="F5" s="7">
        <v>0</v>
      </c>
      <c r="G5" s="7">
        <v>0</v>
      </c>
      <c r="H5" s="1"/>
    </row>
    <row r="6" spans="2:13" x14ac:dyDescent="0.25">
      <c r="B6" s="8" t="s">
        <v>403</v>
      </c>
      <c r="E6" s="1">
        <v>6.68</v>
      </c>
      <c r="F6" s="60">
        <f>E6+F4-F5</f>
        <v>8.1</v>
      </c>
      <c r="G6" s="60">
        <f>F6+G4-G5</f>
        <v>9.7099999999999991</v>
      </c>
      <c r="H6" s="1"/>
      <c r="I6" s="1"/>
    </row>
    <row r="7" spans="2:13" x14ac:dyDescent="0.25">
      <c r="E7" s="1"/>
      <c r="F7" s="1"/>
      <c r="G7" s="1"/>
      <c r="H7" s="1"/>
    </row>
    <row r="8" spans="2:13" x14ac:dyDescent="0.25">
      <c r="B8" s="85" t="s">
        <v>387</v>
      </c>
      <c r="C8" s="86"/>
      <c r="D8" s="86"/>
      <c r="E8" s="86"/>
      <c r="F8" s="86"/>
      <c r="G8" s="87">
        <f>G4/F4-1</f>
        <v>0.13380281690140849</v>
      </c>
    </row>
    <row r="9" spans="2:13" x14ac:dyDescent="0.25">
      <c r="B9" s="88" t="s">
        <v>399</v>
      </c>
      <c r="C9" s="89"/>
      <c r="D9" s="89"/>
      <c r="E9" s="89"/>
      <c r="F9" s="89"/>
      <c r="G9" s="90" t="str">
        <f>IFERROR(G5/F5-1,"NM")</f>
        <v>NM</v>
      </c>
    </row>
    <row r="11" spans="2:13" x14ac:dyDescent="0.25">
      <c r="B11" s="8" t="s">
        <v>439</v>
      </c>
      <c r="E11" s="1"/>
      <c r="F11" s="10">
        <f>F4/E6</f>
        <v>0.21257485029940121</v>
      </c>
      <c r="G11" s="10">
        <f>G4/F6</f>
        <v>0.19876543209876546</v>
      </c>
      <c r="H11" s="1"/>
    </row>
    <row r="12" spans="2:13" ht="15" customHeight="1" x14ac:dyDescent="0.25">
      <c r="B12" s="58" t="s">
        <v>400</v>
      </c>
      <c r="C12" s="9"/>
      <c r="D12" s="9"/>
      <c r="E12" s="1"/>
      <c r="F12" s="12">
        <v>0.1</v>
      </c>
      <c r="G12" s="12">
        <f>F12</f>
        <v>0.1</v>
      </c>
    </row>
    <row r="13" spans="2:13" x14ac:dyDescent="0.25">
      <c r="B13" s="8" t="s">
        <v>437</v>
      </c>
      <c r="F13" s="12">
        <f>F11-F12</f>
        <v>0.1125748502994012</v>
      </c>
      <c r="G13" s="12">
        <f>G11-G12</f>
        <v>9.8765432098765454E-2</v>
      </c>
    </row>
    <row r="14" spans="2:13" ht="15" customHeight="1" x14ac:dyDescent="0.25">
      <c r="B14" s="58" t="s">
        <v>438</v>
      </c>
      <c r="C14" s="9"/>
      <c r="D14" s="9"/>
      <c r="E14" s="1"/>
      <c r="F14" s="76">
        <f>F13*E6</f>
        <v>0.752</v>
      </c>
      <c r="G14" s="76">
        <f>G13*F6</f>
        <v>0.80000000000000016</v>
      </c>
      <c r="H14" s="76"/>
    </row>
    <row r="16" spans="2:13" x14ac:dyDescent="0.25">
      <c r="B16" s="91" t="s">
        <v>435</v>
      </c>
      <c r="C16" s="92"/>
      <c r="D16" s="92"/>
      <c r="E16" s="92"/>
      <c r="F16" s="92"/>
      <c r="G16" s="93">
        <f>IFERROR(G14/F14-1,"NM")</f>
        <v>6.3829787234042756E-2</v>
      </c>
    </row>
    <row r="18" spans="2:7" x14ac:dyDescent="0.25">
      <c r="B18" s="8" t="s">
        <v>8</v>
      </c>
      <c r="E18" s="10">
        <f>1/(1+$F$12)^E3</f>
        <v>1</v>
      </c>
      <c r="F18" s="10">
        <f>1/(1+$F$12)^F3</f>
        <v>0.90909090909090906</v>
      </c>
      <c r="G18" s="10">
        <f>1/(1+$F$12)^G3</f>
        <v>0.82644628099173545</v>
      </c>
    </row>
    <row r="19" spans="2:7" x14ac:dyDescent="0.25">
      <c r="B19" s="8" t="s">
        <v>398</v>
      </c>
      <c r="E19" s="10"/>
      <c r="F19" s="10">
        <f>E18</f>
        <v>1</v>
      </c>
      <c r="G19" s="10">
        <f>F18</f>
        <v>0.90909090909090906</v>
      </c>
    </row>
    <row r="21" spans="2:7" x14ac:dyDescent="0.25">
      <c r="B21" s="56" t="s">
        <v>405</v>
      </c>
      <c r="C21" s="80"/>
      <c r="D21" s="80"/>
      <c r="E21" s="80"/>
      <c r="F21" s="81">
        <f>F5*F18</f>
        <v>0</v>
      </c>
      <c r="G21" s="81">
        <f>G5*G18</f>
        <v>0</v>
      </c>
    </row>
    <row r="22" spans="2:7" x14ac:dyDescent="0.25">
      <c r="B22" s="56" t="s">
        <v>444</v>
      </c>
      <c r="F22" s="76">
        <f>SUM($E21:E21)</f>
        <v>0</v>
      </c>
      <c r="G22" s="76">
        <f>SUM($E21:F21)</f>
        <v>0</v>
      </c>
    </row>
    <row r="23" spans="2:7" x14ac:dyDescent="0.25">
      <c r="F23" s="76"/>
      <c r="G23" s="76"/>
    </row>
    <row r="24" spans="2:7" x14ac:dyDescent="0.25">
      <c r="B24" s="8" t="s">
        <v>441</v>
      </c>
      <c r="F24" s="10">
        <v>0</v>
      </c>
      <c r="G24" s="10">
        <v>0</v>
      </c>
    </row>
    <row r="25" spans="2:7" x14ac:dyDescent="0.25">
      <c r="B25" s="8" t="s">
        <v>442</v>
      </c>
      <c r="F25" s="64">
        <f>1/(F$12-F$24)</f>
        <v>10</v>
      </c>
      <c r="G25" s="64">
        <f>1/(G$12-G$24)</f>
        <v>10</v>
      </c>
    </row>
    <row r="26" spans="2:7" x14ac:dyDescent="0.25">
      <c r="B26" s="8" t="s">
        <v>446</v>
      </c>
      <c r="F26" s="1">
        <f>F14*F25*F19</f>
        <v>7.52</v>
      </c>
      <c r="G26" s="1">
        <f>G14*G25*G19</f>
        <v>7.2727272727272743</v>
      </c>
    </row>
    <row r="27" spans="2:7" x14ac:dyDescent="0.25">
      <c r="F27" s="1"/>
      <c r="G27" s="1"/>
    </row>
    <row r="28" spans="2:7" x14ac:dyDescent="0.25">
      <c r="B28" s="8" t="s">
        <v>445</v>
      </c>
      <c r="F28" s="1">
        <f>E6*F19</f>
        <v>6.68</v>
      </c>
      <c r="G28" s="1">
        <f>F6*G19</f>
        <v>7.3636363636363633</v>
      </c>
    </row>
    <row r="29" spans="2:7" x14ac:dyDescent="0.25">
      <c r="F29" s="1"/>
      <c r="G29" s="1"/>
    </row>
    <row r="30" spans="2:7" x14ac:dyDescent="0.25">
      <c r="B30" s="61" t="s">
        <v>410</v>
      </c>
      <c r="C30" s="62"/>
      <c r="D30" s="62"/>
      <c r="E30" s="62"/>
      <c r="F30" s="63">
        <f>$F$28+F22+F26</f>
        <v>14.2</v>
      </c>
      <c r="G30" s="63">
        <f>$G$28+G22+G26</f>
        <v>14.636363636363637</v>
      </c>
    </row>
    <row r="31" spans="2:7" ht="7.5" customHeight="1" x14ac:dyDescent="0.25"/>
    <row r="32" spans="2:7" x14ac:dyDescent="0.25">
      <c r="B32" s="8" t="s">
        <v>10</v>
      </c>
      <c r="F32" s="1">
        <f>$E$6</f>
        <v>6.68</v>
      </c>
      <c r="G32" s="1">
        <f>$E$6</f>
        <v>6.68</v>
      </c>
    </row>
    <row r="33" spans="2:8" x14ac:dyDescent="0.25">
      <c r="B33" s="65" t="s">
        <v>425</v>
      </c>
      <c r="F33" s="66">
        <f>F32/F$42</f>
        <v>0.27833333333333332</v>
      </c>
      <c r="G33" s="66">
        <f>G32/G$42</f>
        <v>0.27833333333333332</v>
      </c>
    </row>
    <row r="34" spans="2:8" x14ac:dyDescent="0.25">
      <c r="B34" s="8" t="s">
        <v>427</v>
      </c>
      <c r="F34" s="76">
        <f>F22</f>
        <v>0</v>
      </c>
      <c r="G34" s="76">
        <f>G22</f>
        <v>0</v>
      </c>
      <c r="H34" s="1"/>
    </row>
    <row r="35" spans="2:8" x14ac:dyDescent="0.25">
      <c r="B35" s="65" t="s">
        <v>428</v>
      </c>
      <c r="F35" s="66">
        <f>F34/F$42</f>
        <v>0</v>
      </c>
      <c r="G35" s="66">
        <f>G34/G$42</f>
        <v>0</v>
      </c>
    </row>
    <row r="36" spans="2:8" x14ac:dyDescent="0.25">
      <c r="B36" s="8" t="s">
        <v>429</v>
      </c>
      <c r="F36" s="1">
        <f>F26</f>
        <v>7.52</v>
      </c>
      <c r="G36" s="1">
        <f>G26</f>
        <v>7.2727272727272743</v>
      </c>
    </row>
    <row r="37" spans="2:8" x14ac:dyDescent="0.25">
      <c r="B37" s="65" t="s">
        <v>430</v>
      </c>
      <c r="F37" s="66">
        <f>F36/F$42</f>
        <v>0.3133333333333333</v>
      </c>
      <c r="G37" s="66">
        <f>G36/G$42</f>
        <v>0.30303030303030309</v>
      </c>
    </row>
    <row r="38" spans="2:8" x14ac:dyDescent="0.25">
      <c r="B38" s="67" t="s">
        <v>431</v>
      </c>
      <c r="C38" s="68"/>
      <c r="D38" s="68"/>
      <c r="E38" s="68"/>
      <c r="F38" s="69">
        <f>F32+F34+F36</f>
        <v>14.2</v>
      </c>
      <c r="G38" s="69">
        <f>G32+G34+G36</f>
        <v>13.952727272727273</v>
      </c>
    </row>
    <row r="39" spans="2:8" x14ac:dyDescent="0.25">
      <c r="B39" s="65" t="s">
        <v>432</v>
      </c>
      <c r="F39" s="66">
        <f>F38/F$42</f>
        <v>0.59166666666666667</v>
      </c>
      <c r="G39" s="66">
        <f>G38/G$42</f>
        <v>0.58136363636363642</v>
      </c>
    </row>
    <row r="40" spans="2:8" x14ac:dyDescent="0.25">
      <c r="B40" s="70" t="s">
        <v>433</v>
      </c>
      <c r="C40" s="71"/>
      <c r="D40" s="71"/>
      <c r="E40" s="71"/>
      <c r="F40" s="72">
        <f>F42-F38</f>
        <v>9.8000000000000007</v>
      </c>
      <c r="G40" s="72">
        <f>G42-G38</f>
        <v>10.047272727272727</v>
      </c>
    </row>
    <row r="41" spans="2:8" x14ac:dyDescent="0.25">
      <c r="B41" s="65" t="s">
        <v>434</v>
      </c>
      <c r="F41" s="66">
        <f>F40/F$42</f>
        <v>0.40833333333333338</v>
      </c>
      <c r="G41" s="66">
        <f>G40/G$42</f>
        <v>0.41863636363636364</v>
      </c>
    </row>
    <row r="42" spans="2:8" x14ac:dyDescent="0.25">
      <c r="B42" s="73" t="s">
        <v>426</v>
      </c>
      <c r="C42" s="74"/>
      <c r="D42" s="74"/>
      <c r="E42" s="74"/>
      <c r="F42" s="75">
        <v>24</v>
      </c>
      <c r="G42" s="75">
        <f>F42</f>
        <v>24</v>
      </c>
    </row>
    <row r="44" spans="2:8" x14ac:dyDescent="0.25">
      <c r="G44" s="1"/>
    </row>
    <row r="45" spans="2:8" x14ac:dyDescent="0.25">
      <c r="G45" s="82"/>
    </row>
    <row r="46" spans="2:8" x14ac:dyDescent="0.25">
      <c r="G46" s="8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28" customFormat="1" ht="19.5" customHeight="1" x14ac:dyDescent="0.25">
      <c r="B2" s="26" t="s">
        <v>38</v>
      </c>
      <c r="C2" s="27" t="s">
        <v>53</v>
      </c>
      <c r="D2" s="27" t="s">
        <v>54</v>
      </c>
      <c r="E2" s="27" t="s">
        <v>55</v>
      </c>
    </row>
    <row r="3" spans="2:5" x14ac:dyDescent="0.25">
      <c r="B3" t="s">
        <v>46</v>
      </c>
      <c r="C3" s="34">
        <v>0</v>
      </c>
      <c r="D3" s="34">
        <f>C3+1</f>
        <v>1</v>
      </c>
      <c r="E3" s="34">
        <f>D3+1</f>
        <v>2</v>
      </c>
    </row>
    <row r="4" spans="2:5" x14ac:dyDescent="0.25">
      <c r="B4" t="s">
        <v>17</v>
      </c>
      <c r="C4" s="20"/>
      <c r="D4" s="21">
        <v>5.1639999999999997</v>
      </c>
      <c r="E4" s="21">
        <v>5.6070000000000002</v>
      </c>
    </row>
    <row r="5" spans="2:5" x14ac:dyDescent="0.25">
      <c r="B5" t="s">
        <v>25</v>
      </c>
      <c r="C5" s="20"/>
      <c r="D5" s="21">
        <f>25.916+5.164-28.325</f>
        <v>2.754999999999999</v>
      </c>
      <c r="E5" s="21">
        <f>D6+E4-31.108</f>
        <v>2.8240000000000016</v>
      </c>
    </row>
    <row r="6" spans="2:5" x14ac:dyDescent="0.25">
      <c r="B6" t="s">
        <v>18</v>
      </c>
      <c r="C6" s="21">
        <v>25.916</v>
      </c>
      <c r="D6" s="20">
        <f>C6+D$4-D$5</f>
        <v>28.324999999999999</v>
      </c>
      <c r="E6" s="20">
        <f>D6+E$4-E$5</f>
        <v>31.108000000000001</v>
      </c>
    </row>
    <row r="7" spans="2:5" x14ac:dyDescent="0.25">
      <c r="B7" t="s">
        <v>29</v>
      </c>
      <c r="D7" s="10">
        <f>D4/C6</f>
        <v>0.19925914492977309</v>
      </c>
      <c r="E7" s="10">
        <f>E4/D6</f>
        <v>0.19795233892321273</v>
      </c>
    </row>
    <row r="8" spans="2:5" x14ac:dyDescent="0.25">
      <c r="B8" t="s">
        <v>16</v>
      </c>
      <c r="C8" s="18">
        <v>0.08</v>
      </c>
      <c r="D8" s="3">
        <f>C8</f>
        <v>0.08</v>
      </c>
      <c r="E8" s="3">
        <f>D8</f>
        <v>0.08</v>
      </c>
    </row>
    <row r="9" spans="2:5" x14ac:dyDescent="0.25">
      <c r="B9" t="s">
        <v>13</v>
      </c>
      <c r="D9" s="22">
        <f>C6*D8</f>
        <v>2.07328</v>
      </c>
      <c r="E9" s="22">
        <f>D6*E8</f>
        <v>2.266</v>
      </c>
    </row>
    <row r="10" spans="2:5" x14ac:dyDescent="0.25">
      <c r="B10" t="s">
        <v>14</v>
      </c>
      <c r="D10" s="22">
        <f>D4-D9</f>
        <v>3.0907199999999997</v>
      </c>
      <c r="E10" s="22">
        <f>E4-E9</f>
        <v>3.3410000000000002</v>
      </c>
    </row>
    <row r="11" spans="2:5" x14ac:dyDescent="0.25">
      <c r="B11" t="s">
        <v>15</v>
      </c>
      <c r="E11" s="22">
        <f>E10-D10</f>
        <v>0.2502800000000005</v>
      </c>
    </row>
    <row r="12" spans="2:5" x14ac:dyDescent="0.25">
      <c r="B12" t="s">
        <v>22</v>
      </c>
      <c r="E12" s="10">
        <f>E11/D10</f>
        <v>8.0977895118289761E-2</v>
      </c>
    </row>
    <row r="13" spans="2:5" x14ac:dyDescent="0.25">
      <c r="B13" t="s">
        <v>30</v>
      </c>
      <c r="E13" s="10">
        <f>E4/D4-1</f>
        <v>8.5786212238574855E-2</v>
      </c>
    </row>
    <row r="14" spans="2:5" x14ac:dyDescent="0.25">
      <c r="B14" t="s">
        <v>23</v>
      </c>
      <c r="C14" s="21">
        <v>145.94</v>
      </c>
    </row>
    <row r="15" spans="2:5" x14ac:dyDescent="0.25">
      <c r="B15" t="s">
        <v>27</v>
      </c>
      <c r="C15" s="19">
        <f>$C$14/C6</f>
        <v>5.6312702577558262</v>
      </c>
    </row>
    <row r="16" spans="2:5" x14ac:dyDescent="0.25">
      <c r="B16" t="s">
        <v>28</v>
      </c>
      <c r="C16" s="19">
        <f>$C$14/D4</f>
        <v>28.261037955073586</v>
      </c>
    </row>
    <row r="18" spans="2:5" s="28" customFormat="1" ht="19.5" customHeight="1" x14ac:dyDescent="0.25">
      <c r="B18" s="26" t="s">
        <v>37</v>
      </c>
      <c r="C18" s="27" t="str">
        <f>C$2</f>
        <v>2019A</v>
      </c>
      <c r="D18" s="27" t="str">
        <f>D$2</f>
        <v>2020E</v>
      </c>
      <c r="E18" s="27" t="str">
        <f>E$2</f>
        <v>2021E</v>
      </c>
    </row>
    <row r="19" spans="2:5" x14ac:dyDescent="0.25">
      <c r="B19" t="s">
        <v>8</v>
      </c>
      <c r="C19" s="12">
        <f>1/(1+C8)^C3</f>
        <v>1</v>
      </c>
      <c r="D19" s="12">
        <f>1/(1+D8)^D3</f>
        <v>0.92592592592592582</v>
      </c>
      <c r="E19" s="12">
        <f>1/(1+E8)^E3</f>
        <v>0.85733882030178321</v>
      </c>
    </row>
    <row r="20" spans="2:5" x14ac:dyDescent="0.25">
      <c r="B20" t="s">
        <v>26</v>
      </c>
      <c r="C20" s="12"/>
      <c r="D20" s="12">
        <f>C19</f>
        <v>1</v>
      </c>
      <c r="E20" s="12">
        <f>D19</f>
        <v>0.92592592592592582</v>
      </c>
    </row>
    <row r="21" spans="2:5" x14ac:dyDescent="0.25">
      <c r="B21" t="s">
        <v>31</v>
      </c>
      <c r="C21" s="12"/>
      <c r="D21" s="12"/>
      <c r="E21" s="12"/>
    </row>
    <row r="22" spans="2:5" x14ac:dyDescent="0.25">
      <c r="B22" t="s">
        <v>14</v>
      </c>
      <c r="D22" s="22">
        <f>D10</f>
        <v>3.0907199999999997</v>
      </c>
      <c r="E22" s="22">
        <f>E10</f>
        <v>3.3410000000000002</v>
      </c>
    </row>
    <row r="23" spans="2:5" x14ac:dyDescent="0.25">
      <c r="B23" t="s">
        <v>32</v>
      </c>
      <c r="D23" s="22">
        <f>D22*D19</f>
        <v>2.8617777777777773</v>
      </c>
      <c r="E23" s="22">
        <f>E22*E19</f>
        <v>2.8643689986282577</v>
      </c>
    </row>
    <row r="24" spans="2:5" x14ac:dyDescent="0.25">
      <c r="B24" t="s">
        <v>44</v>
      </c>
      <c r="D24" s="20">
        <f>D22*D20</f>
        <v>3.0907199999999997</v>
      </c>
      <c r="E24" s="20">
        <f>E22*E20</f>
        <v>3.0935185185185183</v>
      </c>
    </row>
    <row r="25" spans="2:5" x14ac:dyDescent="0.25">
      <c r="B25" t="s">
        <v>24</v>
      </c>
      <c r="C25" s="19">
        <f>1/C8</f>
        <v>12.5</v>
      </c>
      <c r="D25" s="19">
        <f>1/D8</f>
        <v>12.5</v>
      </c>
      <c r="E25" s="19">
        <f>1/E8</f>
        <v>12.5</v>
      </c>
    </row>
    <row r="26" spans="2:5" x14ac:dyDescent="0.25">
      <c r="B26" t="s">
        <v>34</v>
      </c>
      <c r="D26" s="20">
        <f>D22*D25</f>
        <v>38.633999999999993</v>
      </c>
      <c r="E26" s="20">
        <f>E22*E25</f>
        <v>41.762500000000003</v>
      </c>
    </row>
    <row r="27" spans="2:5" x14ac:dyDescent="0.25">
      <c r="B27" t="s">
        <v>10</v>
      </c>
      <c r="C27" s="20"/>
      <c r="D27" s="20">
        <f>C6</f>
        <v>25.916</v>
      </c>
      <c r="E27" s="20">
        <f>D27</f>
        <v>25.916</v>
      </c>
    </row>
    <row r="28" spans="2:5" x14ac:dyDescent="0.25">
      <c r="B28" t="s">
        <v>33</v>
      </c>
      <c r="D28" s="20">
        <f>SUM($C23:C23)</f>
        <v>0</v>
      </c>
      <c r="E28" s="20">
        <f>SUM($C23:D23)</f>
        <v>2.8617777777777773</v>
      </c>
    </row>
    <row r="29" spans="2:5" x14ac:dyDescent="0.25">
      <c r="B29" t="s">
        <v>35</v>
      </c>
      <c r="D29" s="20">
        <f>D26*D20</f>
        <v>38.633999999999993</v>
      </c>
      <c r="E29" s="20">
        <f>E26*E20</f>
        <v>38.668981481481481</v>
      </c>
    </row>
    <row r="30" spans="2:5" x14ac:dyDescent="0.25">
      <c r="B30" s="23" t="s">
        <v>36</v>
      </c>
      <c r="C30" s="24"/>
      <c r="D30" s="25">
        <f>SUM(D27:D29)</f>
        <v>64.55</v>
      </c>
      <c r="E30" s="25">
        <f>SUM(E27:E29)</f>
        <v>67.446759259259267</v>
      </c>
    </row>
    <row r="32" spans="2:5" s="28" customFormat="1" ht="19.5" customHeight="1" x14ac:dyDescent="0.25">
      <c r="B32" s="26" t="s">
        <v>40</v>
      </c>
      <c r="C32" s="27" t="str">
        <f>C$2</f>
        <v>2019A</v>
      </c>
      <c r="D32" s="27" t="str">
        <f>D$2</f>
        <v>2020E</v>
      </c>
      <c r="E32" s="27" t="str">
        <f>E$2</f>
        <v>2021E</v>
      </c>
    </row>
    <row r="33" spans="2:5" x14ac:dyDescent="0.25">
      <c r="B33" t="s">
        <v>10</v>
      </c>
      <c r="D33" s="20">
        <f>D27</f>
        <v>25.916</v>
      </c>
      <c r="E33" s="20">
        <f>E27</f>
        <v>25.916</v>
      </c>
    </row>
    <row r="34" spans="2:5" x14ac:dyDescent="0.25">
      <c r="B34" s="8" t="s">
        <v>39</v>
      </c>
      <c r="D34" s="17">
        <f>D33/D$41</f>
        <v>0.17757982732629848</v>
      </c>
      <c r="E34" s="17">
        <f>E33/E$41</f>
        <v>0.17757982732629848</v>
      </c>
    </row>
    <row r="35" spans="2:5" x14ac:dyDescent="0.25">
      <c r="B35" t="s">
        <v>41</v>
      </c>
      <c r="D35" s="20">
        <f>D28</f>
        <v>0</v>
      </c>
      <c r="E35" s="20">
        <f>E28</f>
        <v>2.8617777777777773</v>
      </c>
    </row>
    <row r="36" spans="2:5" x14ac:dyDescent="0.25">
      <c r="B36" s="8" t="s">
        <v>39</v>
      </c>
      <c r="D36" s="17">
        <f>D35/D$41</f>
        <v>0</v>
      </c>
      <c r="E36" s="17">
        <f>E35/E$41</f>
        <v>1.9609276262695475E-2</v>
      </c>
    </row>
    <row r="37" spans="2:5" x14ac:dyDescent="0.25">
      <c r="B37" t="s">
        <v>43</v>
      </c>
      <c r="D37" s="20">
        <f>D29</f>
        <v>38.633999999999993</v>
      </c>
      <c r="E37" s="20">
        <f>E29</f>
        <v>38.668981481481481</v>
      </c>
    </row>
    <row r="38" spans="2:5" x14ac:dyDescent="0.25">
      <c r="B38" s="8" t="s">
        <v>39</v>
      </c>
      <c r="D38" s="17">
        <f>D37/D$41</f>
        <v>0.26472522954638888</v>
      </c>
      <c r="E38" s="17">
        <f>E37/E$41</f>
        <v>0.26496492724051995</v>
      </c>
    </row>
    <row r="39" spans="2:5" x14ac:dyDescent="0.25">
      <c r="B39" s="29" t="s">
        <v>42</v>
      </c>
      <c r="C39" s="29"/>
      <c r="D39" s="30">
        <f>D41-D37-D35-D33</f>
        <v>81.390000000000015</v>
      </c>
      <c r="E39" s="30">
        <f>E41-E37-E35-E33</f>
        <v>78.493240740740745</v>
      </c>
    </row>
    <row r="40" spans="2:5" x14ac:dyDescent="0.25">
      <c r="B40" s="31" t="s">
        <v>39</v>
      </c>
      <c r="C40" s="32"/>
      <c r="D40" s="33">
        <f>D39/D$41</f>
        <v>0.55769494312731271</v>
      </c>
      <c r="E40" s="33">
        <f>E39/E$41</f>
        <v>0.5378459691704861</v>
      </c>
    </row>
    <row r="41" spans="2:5" x14ac:dyDescent="0.25">
      <c r="B41" t="s">
        <v>23</v>
      </c>
      <c r="D41" s="20">
        <f>$C$14</f>
        <v>145.94</v>
      </c>
      <c r="E41" s="20">
        <f>$C$14</f>
        <v>145.94</v>
      </c>
    </row>
    <row r="42" spans="2:5" x14ac:dyDescent="0.25">
      <c r="B42" t="s">
        <v>45</v>
      </c>
      <c r="D42" s="10">
        <f>D8-D24/(D41-D33-D35)</f>
        <v>5.4249150169966009E-2</v>
      </c>
      <c r="E42" s="10">
        <f>E8-E24/(E41-E33-E35)</f>
        <v>5.3596279928430982E-2</v>
      </c>
    </row>
    <row r="43" spans="2:5" x14ac:dyDescent="0.25">
      <c r="B43" t="s">
        <v>49</v>
      </c>
      <c r="D43" s="10">
        <f>(D22*(1+D42)+D8*D6)/D4-1</f>
        <v>6.9788716772524628E-2</v>
      </c>
      <c r="E43" s="10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35" t="s">
        <v>56</v>
      </c>
      <c r="B1" s="35"/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62</v>
      </c>
      <c r="I1" s="36" t="s">
        <v>63</v>
      </c>
      <c r="J1" s="36" t="s">
        <v>64</v>
      </c>
      <c r="K1" s="36" t="s">
        <v>65</v>
      </c>
      <c r="L1" s="36" t="s">
        <v>66</v>
      </c>
      <c r="M1" s="36" t="s">
        <v>67</v>
      </c>
    </row>
    <row r="2" spans="1:13" x14ac:dyDescent="0.25">
      <c r="A2" s="37" t="s">
        <v>68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25">
      <c r="A3" s="39" t="s">
        <v>69</v>
      </c>
      <c r="B3" s="39" t="s">
        <v>70</v>
      </c>
      <c r="C3" s="40">
        <v>39.5</v>
      </c>
      <c r="D3" s="40">
        <v>50.8</v>
      </c>
      <c r="E3" s="40">
        <v>53.9</v>
      </c>
      <c r="F3" s="40">
        <v>79</v>
      </c>
      <c r="G3" s="40">
        <v>63</v>
      </c>
      <c r="H3" s="40">
        <v>77.3</v>
      </c>
      <c r="I3" s="40">
        <v>112.6</v>
      </c>
      <c r="J3" s="40">
        <v>118.4</v>
      </c>
      <c r="K3" s="40">
        <v>186.8</v>
      </c>
      <c r="L3" s="40">
        <v>96.6</v>
      </c>
      <c r="M3" s="40">
        <v>155.4</v>
      </c>
    </row>
    <row r="4" spans="1:13" x14ac:dyDescent="0.25">
      <c r="A4" s="39" t="s">
        <v>71</v>
      </c>
      <c r="B4" s="39" t="s">
        <v>72</v>
      </c>
      <c r="C4" s="40">
        <v>39.5</v>
      </c>
      <c r="D4" s="40">
        <v>50.8</v>
      </c>
      <c r="E4" s="40">
        <v>53.9</v>
      </c>
      <c r="F4" s="40">
        <v>79</v>
      </c>
      <c r="G4" s="40">
        <v>63</v>
      </c>
      <c r="H4" s="40">
        <v>77.3</v>
      </c>
      <c r="I4" s="40">
        <v>112.6</v>
      </c>
      <c r="J4" s="40">
        <v>118.4</v>
      </c>
      <c r="K4" s="40">
        <v>186.8</v>
      </c>
      <c r="L4" s="40">
        <v>96.6</v>
      </c>
      <c r="M4" s="40">
        <v>155.4</v>
      </c>
    </row>
    <row r="5" spans="1:13" x14ac:dyDescent="0.25">
      <c r="A5" s="39" t="s">
        <v>73</v>
      </c>
      <c r="B5" s="39" t="s">
        <v>74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</row>
    <row r="6" spans="1:13" x14ac:dyDescent="0.25">
      <c r="A6" s="39" t="s">
        <v>76</v>
      </c>
      <c r="B6" s="39" t="s">
        <v>77</v>
      </c>
      <c r="C6" s="40">
        <v>365.3</v>
      </c>
      <c r="D6" s="40">
        <v>386.7</v>
      </c>
      <c r="E6" s="40">
        <v>427</v>
      </c>
      <c r="F6" s="40">
        <v>465.9</v>
      </c>
      <c r="G6" s="40">
        <v>495.5</v>
      </c>
      <c r="H6" s="40">
        <v>493.6</v>
      </c>
      <c r="I6" s="40">
        <v>455.2</v>
      </c>
      <c r="J6" s="40">
        <v>465.2</v>
      </c>
      <c r="K6" s="40">
        <v>555.1</v>
      </c>
      <c r="L6" s="40">
        <v>518.1</v>
      </c>
      <c r="M6" s="40">
        <v>502.9</v>
      </c>
    </row>
    <row r="7" spans="1:13" x14ac:dyDescent="0.25">
      <c r="A7" s="39" t="s">
        <v>78</v>
      </c>
      <c r="B7" s="39" t="s">
        <v>79</v>
      </c>
      <c r="C7" s="40">
        <v>365.3</v>
      </c>
      <c r="D7" s="40">
        <v>386.7</v>
      </c>
      <c r="E7" s="40">
        <v>427</v>
      </c>
      <c r="F7" s="40">
        <v>465.9</v>
      </c>
      <c r="G7" s="40">
        <v>495.5</v>
      </c>
      <c r="H7" s="40">
        <v>493.6</v>
      </c>
      <c r="I7" s="40">
        <v>455.2</v>
      </c>
      <c r="J7" s="40">
        <v>465.2</v>
      </c>
      <c r="K7" s="40">
        <v>555.1</v>
      </c>
      <c r="L7" s="40">
        <v>518.1</v>
      </c>
      <c r="M7" s="40">
        <v>502.9</v>
      </c>
    </row>
    <row r="8" spans="1:13" x14ac:dyDescent="0.25">
      <c r="A8" s="39" t="s">
        <v>80</v>
      </c>
      <c r="B8" s="39" t="s">
        <v>81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</row>
    <row r="9" spans="1:13" x14ac:dyDescent="0.25">
      <c r="A9" s="39" t="s">
        <v>82</v>
      </c>
      <c r="B9" s="39" t="s">
        <v>83</v>
      </c>
      <c r="C9" s="40">
        <v>457.6</v>
      </c>
      <c r="D9" s="40">
        <v>477.6</v>
      </c>
      <c r="E9" s="40">
        <v>613.70000000000005</v>
      </c>
      <c r="F9" s="40">
        <v>615</v>
      </c>
      <c r="G9" s="40">
        <v>676.9</v>
      </c>
      <c r="H9" s="40">
        <v>713.8</v>
      </c>
      <c r="I9" s="40">
        <v>710.8</v>
      </c>
      <c r="J9" s="40">
        <v>756.3</v>
      </c>
      <c r="K9" s="40">
        <v>793.3</v>
      </c>
      <c r="L9" s="40">
        <v>786.3</v>
      </c>
      <c r="M9" s="40">
        <v>801.2</v>
      </c>
    </row>
    <row r="10" spans="1:13" x14ac:dyDescent="0.25">
      <c r="A10" s="39" t="s">
        <v>84</v>
      </c>
      <c r="B10" s="39" t="s">
        <v>85</v>
      </c>
      <c r="C10" s="40">
        <v>220</v>
      </c>
      <c r="D10" s="40">
        <v>243.5</v>
      </c>
      <c r="E10" s="40">
        <v>344.9</v>
      </c>
      <c r="F10" s="40">
        <v>341.8</v>
      </c>
      <c r="G10" s="40">
        <v>372.3</v>
      </c>
      <c r="H10" s="40">
        <v>410.6</v>
      </c>
      <c r="I10" s="40">
        <v>390.9</v>
      </c>
      <c r="J10" s="40">
        <v>420</v>
      </c>
      <c r="K10" s="40">
        <v>395.2</v>
      </c>
      <c r="L10" s="40">
        <v>380.2</v>
      </c>
      <c r="M10" s="40">
        <v>387.9</v>
      </c>
    </row>
    <row r="11" spans="1:13" x14ac:dyDescent="0.25">
      <c r="A11" s="39" t="s">
        <v>86</v>
      </c>
      <c r="B11" s="39" t="s">
        <v>87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</row>
    <row r="12" spans="1:13" x14ac:dyDescent="0.25">
      <c r="A12" s="39" t="s">
        <v>88</v>
      </c>
      <c r="B12" s="39" t="s">
        <v>89</v>
      </c>
      <c r="C12" s="40">
        <v>237.6</v>
      </c>
      <c r="D12" s="40">
        <v>234.1</v>
      </c>
      <c r="E12" s="40">
        <v>268.8</v>
      </c>
      <c r="F12" s="40">
        <v>273.2</v>
      </c>
      <c r="G12" s="40">
        <v>304.60000000000002</v>
      </c>
      <c r="H12" s="40">
        <v>303.2</v>
      </c>
      <c r="I12" s="40">
        <v>319.89999999999998</v>
      </c>
      <c r="J12" s="40">
        <v>336.3</v>
      </c>
      <c r="K12" s="40">
        <v>398.1</v>
      </c>
      <c r="L12" s="40">
        <v>406.1</v>
      </c>
      <c r="M12" s="40">
        <v>413.3</v>
      </c>
    </row>
    <row r="13" spans="1:13" x14ac:dyDescent="0.25">
      <c r="A13" s="39" t="s">
        <v>90</v>
      </c>
      <c r="B13" s="39" t="s">
        <v>91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</row>
    <row r="14" spans="1:13" x14ac:dyDescent="0.25">
      <c r="A14" s="39" t="s">
        <v>92</v>
      </c>
      <c r="B14" s="39" t="s">
        <v>93</v>
      </c>
      <c r="C14" s="40">
        <v>108.1</v>
      </c>
      <c r="D14" s="40">
        <v>100.8</v>
      </c>
      <c r="E14" s="40">
        <v>128.30000000000001</v>
      </c>
      <c r="F14" s="40">
        <v>125.5</v>
      </c>
      <c r="G14" s="40">
        <v>134.80000000000001</v>
      </c>
      <c r="H14" s="40">
        <v>131.5</v>
      </c>
      <c r="I14" s="40">
        <v>78.8</v>
      </c>
      <c r="J14" s="40">
        <v>81.900000000000006</v>
      </c>
      <c r="K14" s="40">
        <v>81.8</v>
      </c>
      <c r="L14" s="40">
        <v>78.900000000000006</v>
      </c>
      <c r="M14" s="40">
        <v>90.7</v>
      </c>
    </row>
    <row r="15" spans="1:13" x14ac:dyDescent="0.25">
      <c r="A15" s="39" t="s">
        <v>94</v>
      </c>
      <c r="B15" s="39" t="s">
        <v>95</v>
      </c>
      <c r="C15" s="40" t="s">
        <v>75</v>
      </c>
      <c r="D15" s="40" t="s">
        <v>75</v>
      </c>
      <c r="E15" s="40" t="s">
        <v>75</v>
      </c>
      <c r="F15" s="40" t="s">
        <v>75</v>
      </c>
      <c r="G15" s="40" t="s">
        <v>75</v>
      </c>
      <c r="H15" s="40" t="s">
        <v>75</v>
      </c>
      <c r="I15" s="40" t="s">
        <v>75</v>
      </c>
      <c r="J15" s="40" t="s">
        <v>75</v>
      </c>
      <c r="K15" s="40" t="s">
        <v>75</v>
      </c>
      <c r="L15" s="40">
        <v>27.2</v>
      </c>
      <c r="M15" s="40">
        <v>36</v>
      </c>
    </row>
    <row r="16" spans="1:13" x14ac:dyDescent="0.25">
      <c r="A16" s="39" t="s">
        <v>96</v>
      </c>
      <c r="B16" s="39" t="s">
        <v>97</v>
      </c>
      <c r="C16" s="40">
        <v>18.399999999999999</v>
      </c>
      <c r="D16" s="40">
        <v>19.399999999999999</v>
      </c>
      <c r="E16" s="40">
        <v>21.6</v>
      </c>
      <c r="F16" s="40">
        <v>17.600000000000001</v>
      </c>
      <c r="G16" s="40">
        <v>13.3</v>
      </c>
      <c r="H16" s="40">
        <v>12.3</v>
      </c>
      <c r="I16" s="40">
        <v>5.9</v>
      </c>
      <c r="J16" s="40">
        <v>4.9000000000000004</v>
      </c>
      <c r="K16" s="40">
        <v>12.7</v>
      </c>
      <c r="L16" s="40">
        <v>4.4000000000000004</v>
      </c>
      <c r="M16" s="40">
        <v>24.2</v>
      </c>
    </row>
    <row r="17" spans="1:13" x14ac:dyDescent="0.25">
      <c r="A17" s="39" t="s">
        <v>98</v>
      </c>
      <c r="B17" s="39" t="s">
        <v>99</v>
      </c>
      <c r="C17" s="40">
        <v>89.7</v>
      </c>
      <c r="D17" s="40">
        <v>81.400000000000006</v>
      </c>
      <c r="E17" s="40">
        <v>106.7</v>
      </c>
      <c r="F17" s="40">
        <v>107.9</v>
      </c>
      <c r="G17" s="40">
        <v>121.5</v>
      </c>
      <c r="H17" s="40">
        <v>119.2</v>
      </c>
      <c r="I17" s="40">
        <v>72.900000000000006</v>
      </c>
      <c r="J17" s="40">
        <v>77</v>
      </c>
      <c r="K17" s="40">
        <v>69.099999999999994</v>
      </c>
      <c r="L17" s="40">
        <v>47.3</v>
      </c>
      <c r="M17" s="40">
        <v>30.5</v>
      </c>
    </row>
    <row r="18" spans="1:13" x14ac:dyDescent="0.25">
      <c r="A18" s="37" t="s">
        <v>100</v>
      </c>
      <c r="B18" s="37" t="s">
        <v>101</v>
      </c>
      <c r="C18" s="41">
        <v>970.5</v>
      </c>
      <c r="D18" s="41">
        <v>1015.9</v>
      </c>
      <c r="E18" s="41">
        <v>1222.9000000000001</v>
      </c>
      <c r="F18" s="41">
        <v>1285.4000000000001</v>
      </c>
      <c r="G18" s="41">
        <v>1370.2</v>
      </c>
      <c r="H18" s="41">
        <v>1416.2</v>
      </c>
      <c r="I18" s="41">
        <v>1357.4</v>
      </c>
      <c r="J18" s="41">
        <v>1421.8</v>
      </c>
      <c r="K18" s="41">
        <v>1617</v>
      </c>
      <c r="L18" s="41">
        <v>1479.9</v>
      </c>
      <c r="M18" s="41">
        <v>1550.2</v>
      </c>
    </row>
    <row r="19" spans="1:13" x14ac:dyDescent="0.25">
      <c r="A19" s="39" t="s">
        <v>102</v>
      </c>
      <c r="B19" s="39" t="s">
        <v>103</v>
      </c>
      <c r="C19" s="40">
        <v>489.8</v>
      </c>
      <c r="D19" s="40">
        <v>488</v>
      </c>
      <c r="E19" s="40">
        <v>523.1</v>
      </c>
      <c r="F19" s="40">
        <v>547.29999999999995</v>
      </c>
      <c r="G19" s="40">
        <v>576.6</v>
      </c>
      <c r="H19" s="40">
        <v>602.70000000000005</v>
      </c>
      <c r="I19" s="40">
        <v>618.4</v>
      </c>
      <c r="J19" s="40">
        <v>669.4</v>
      </c>
      <c r="K19" s="40">
        <v>809.1</v>
      </c>
      <c r="L19" s="40">
        <v>941.5</v>
      </c>
      <c r="M19" s="40">
        <v>952.6</v>
      </c>
    </row>
    <row r="20" spans="1:13" x14ac:dyDescent="0.25">
      <c r="A20" s="39" t="s">
        <v>104</v>
      </c>
      <c r="B20" s="39" t="s">
        <v>105</v>
      </c>
      <c r="C20" s="40">
        <v>1128.4000000000001</v>
      </c>
      <c r="D20" s="40">
        <v>1163.3</v>
      </c>
      <c r="E20" s="40">
        <v>1269.2</v>
      </c>
      <c r="F20" s="40">
        <v>1333.1</v>
      </c>
      <c r="G20" s="40">
        <v>1407.7</v>
      </c>
      <c r="H20" s="40">
        <v>1481.4</v>
      </c>
      <c r="I20" s="40">
        <v>1531.3</v>
      </c>
      <c r="J20" s="40">
        <v>1630.2</v>
      </c>
      <c r="K20" s="40">
        <v>1865.9</v>
      </c>
      <c r="L20" s="40">
        <v>1741.4</v>
      </c>
      <c r="M20" s="40">
        <v>1819.6</v>
      </c>
    </row>
    <row r="21" spans="1:13" x14ac:dyDescent="0.25">
      <c r="A21" s="39" t="s">
        <v>106</v>
      </c>
      <c r="B21" s="39" t="s">
        <v>107</v>
      </c>
      <c r="C21" s="40">
        <v>638.6</v>
      </c>
      <c r="D21" s="40">
        <v>675.3</v>
      </c>
      <c r="E21" s="40">
        <v>746.1</v>
      </c>
      <c r="F21" s="40">
        <v>785.8</v>
      </c>
      <c r="G21" s="40">
        <v>831.1</v>
      </c>
      <c r="H21" s="40">
        <v>878.7</v>
      </c>
      <c r="I21" s="40">
        <v>912.9</v>
      </c>
      <c r="J21" s="40">
        <v>960.8</v>
      </c>
      <c r="K21" s="40">
        <v>1056.8</v>
      </c>
      <c r="L21" s="40">
        <v>799.9</v>
      </c>
      <c r="M21" s="40">
        <v>867</v>
      </c>
    </row>
    <row r="22" spans="1:13" x14ac:dyDescent="0.25">
      <c r="A22" s="39" t="s">
        <v>108</v>
      </c>
      <c r="B22" s="39" t="s">
        <v>109</v>
      </c>
      <c r="C22" s="40">
        <v>210.5</v>
      </c>
      <c r="D22" s="40">
        <v>265.89999999999998</v>
      </c>
      <c r="E22" s="40">
        <v>297.60000000000002</v>
      </c>
      <c r="F22" s="40">
        <v>313.89999999999998</v>
      </c>
      <c r="G22" s="40">
        <v>371</v>
      </c>
      <c r="H22" s="40">
        <v>342.4</v>
      </c>
      <c r="I22" s="40">
        <v>365.4</v>
      </c>
      <c r="J22" s="40">
        <v>348.4</v>
      </c>
      <c r="K22" s="40">
        <v>398.5</v>
      </c>
      <c r="L22" s="40">
        <v>120.8</v>
      </c>
      <c r="M22" s="40">
        <v>124.4</v>
      </c>
    </row>
    <row r="23" spans="1:13" x14ac:dyDescent="0.25">
      <c r="A23" s="39" t="s">
        <v>110</v>
      </c>
      <c r="B23" s="39" t="s">
        <v>111</v>
      </c>
      <c r="C23" s="40">
        <v>210.5</v>
      </c>
      <c r="D23" s="40">
        <v>265.89999999999998</v>
      </c>
      <c r="E23" s="40">
        <v>297.60000000000002</v>
      </c>
      <c r="F23" s="40">
        <v>313.89999999999998</v>
      </c>
      <c r="G23" s="40">
        <v>371</v>
      </c>
      <c r="H23" s="40">
        <v>342.4</v>
      </c>
      <c r="I23" s="40">
        <v>365.4</v>
      </c>
      <c r="J23" s="40">
        <v>348.4</v>
      </c>
      <c r="K23" s="40">
        <v>398.5</v>
      </c>
      <c r="L23" s="40">
        <v>120.8</v>
      </c>
      <c r="M23" s="40">
        <v>124.4</v>
      </c>
    </row>
    <row r="24" spans="1:13" x14ac:dyDescent="0.25">
      <c r="A24" s="39" t="s">
        <v>112</v>
      </c>
      <c r="B24" s="39" t="s">
        <v>113</v>
      </c>
      <c r="C24" s="40">
        <v>1717</v>
      </c>
      <c r="D24" s="40">
        <v>1649.9</v>
      </c>
      <c r="E24" s="40">
        <v>2044.2</v>
      </c>
      <c r="F24" s="40">
        <v>2018.8</v>
      </c>
      <c r="G24" s="40">
        <v>2131.9</v>
      </c>
      <c r="H24" s="40">
        <v>2053</v>
      </c>
      <c r="I24" s="40">
        <v>2131.4</v>
      </c>
      <c r="J24" s="40">
        <v>2196.3000000000002</v>
      </c>
      <c r="K24" s="40">
        <v>7561.2</v>
      </c>
      <c r="L24" s="40">
        <v>7670.6</v>
      </c>
      <c r="M24" s="40">
        <v>7658.5</v>
      </c>
    </row>
    <row r="25" spans="1:13" x14ac:dyDescent="0.25">
      <c r="A25" s="39" t="s">
        <v>114</v>
      </c>
      <c r="B25" s="39" t="s">
        <v>115</v>
      </c>
      <c r="C25" s="40">
        <v>1717</v>
      </c>
      <c r="D25" s="40">
        <v>1649.9</v>
      </c>
      <c r="E25" s="40">
        <v>2044.2</v>
      </c>
      <c r="F25" s="40">
        <v>2018.8</v>
      </c>
      <c r="G25" s="40">
        <v>2131.9</v>
      </c>
      <c r="H25" s="40">
        <v>2053</v>
      </c>
      <c r="I25" s="40">
        <v>2131.4</v>
      </c>
      <c r="J25" s="40">
        <v>2196.3000000000002</v>
      </c>
      <c r="K25" s="40">
        <v>7561.2</v>
      </c>
      <c r="L25" s="40">
        <v>7444.8</v>
      </c>
      <c r="M25" s="40">
        <v>7428.6</v>
      </c>
    </row>
    <row r="26" spans="1:13" x14ac:dyDescent="0.25">
      <c r="A26" s="42" t="s">
        <v>116</v>
      </c>
      <c r="B26" s="42" t="s">
        <v>117</v>
      </c>
      <c r="C26" s="43">
        <v>1479.7</v>
      </c>
      <c r="D26" s="43">
        <v>1417.4</v>
      </c>
      <c r="E26" s="43">
        <v>1694.2</v>
      </c>
      <c r="F26" s="43">
        <v>1695.3</v>
      </c>
      <c r="G26" s="43">
        <v>1798.5</v>
      </c>
      <c r="H26" s="43">
        <v>1722.2</v>
      </c>
      <c r="I26" s="43">
        <v>1759.3</v>
      </c>
      <c r="J26" s="43">
        <v>1771.4</v>
      </c>
      <c r="K26" s="43">
        <v>4490.1000000000004</v>
      </c>
      <c r="L26" s="43">
        <v>4527.8999999999996</v>
      </c>
      <c r="M26" s="43">
        <v>4505.2</v>
      </c>
    </row>
    <row r="27" spans="1:13" x14ac:dyDescent="0.25">
      <c r="A27" s="42" t="s">
        <v>118</v>
      </c>
      <c r="B27" s="42" t="s">
        <v>119</v>
      </c>
      <c r="C27" s="43">
        <v>237.3</v>
      </c>
      <c r="D27" s="43">
        <v>232.5</v>
      </c>
      <c r="E27" s="43">
        <v>350</v>
      </c>
      <c r="F27" s="43">
        <v>323.5</v>
      </c>
      <c r="G27" s="43">
        <v>333.4</v>
      </c>
      <c r="H27" s="43">
        <v>330.8</v>
      </c>
      <c r="I27" s="43">
        <v>372.1</v>
      </c>
      <c r="J27" s="43">
        <v>424.9</v>
      </c>
      <c r="K27" s="43">
        <v>3071.1</v>
      </c>
      <c r="L27" s="43">
        <v>2916.9</v>
      </c>
      <c r="M27" s="43">
        <v>2923.4</v>
      </c>
    </row>
    <row r="28" spans="1:13" x14ac:dyDescent="0.25">
      <c r="A28" s="39" t="s">
        <v>96</v>
      </c>
      <c r="B28" s="39" t="s">
        <v>120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3.2</v>
      </c>
    </row>
    <row r="29" spans="1:13" x14ac:dyDescent="0.25">
      <c r="A29" s="39" t="s">
        <v>121</v>
      </c>
      <c r="B29" s="39" t="s">
        <v>122</v>
      </c>
      <c r="C29" s="40" t="s">
        <v>75</v>
      </c>
      <c r="D29" s="40" t="s">
        <v>75</v>
      </c>
      <c r="E29" s="40" t="s">
        <v>75</v>
      </c>
      <c r="F29" s="40" t="s">
        <v>75</v>
      </c>
      <c r="G29" s="40" t="s">
        <v>75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</row>
    <row r="30" spans="1:13" x14ac:dyDescent="0.25">
      <c r="A30" s="39" t="s">
        <v>123</v>
      </c>
      <c r="B30" s="39" t="s">
        <v>124</v>
      </c>
      <c r="C30" s="40" t="s">
        <v>75</v>
      </c>
      <c r="D30" s="40" t="s">
        <v>75</v>
      </c>
      <c r="E30" s="40" t="s">
        <v>75</v>
      </c>
      <c r="F30" s="40" t="s">
        <v>75</v>
      </c>
      <c r="G30" s="40" t="s">
        <v>75</v>
      </c>
      <c r="H30" s="40" t="s">
        <v>75</v>
      </c>
      <c r="I30" s="40" t="s">
        <v>75</v>
      </c>
      <c r="J30" s="40" t="s">
        <v>75</v>
      </c>
      <c r="K30" s="40" t="s">
        <v>75</v>
      </c>
      <c r="L30" s="40">
        <v>167.2</v>
      </c>
      <c r="M30" s="40">
        <v>186</v>
      </c>
    </row>
    <row r="31" spans="1:13" x14ac:dyDescent="0.25">
      <c r="A31" s="39" t="s">
        <v>125</v>
      </c>
      <c r="B31" s="39" t="s">
        <v>126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102.2</v>
      </c>
      <c r="M31" s="40">
        <v>117.1</v>
      </c>
    </row>
    <row r="32" spans="1:13" x14ac:dyDescent="0.25">
      <c r="A32" s="37" t="s">
        <v>127</v>
      </c>
      <c r="B32" s="37" t="s">
        <v>128</v>
      </c>
      <c r="C32" s="41">
        <v>2417.3000000000002</v>
      </c>
      <c r="D32" s="41">
        <v>2403.8000000000002</v>
      </c>
      <c r="E32" s="41">
        <v>2864.9</v>
      </c>
      <c r="F32" s="41">
        <v>2880</v>
      </c>
      <c r="G32" s="41">
        <v>3079.5</v>
      </c>
      <c r="H32" s="41">
        <v>2998.1</v>
      </c>
      <c r="I32" s="41">
        <v>3115.2</v>
      </c>
      <c r="J32" s="41">
        <v>3214.1</v>
      </c>
      <c r="K32" s="41">
        <v>8768.7999999999993</v>
      </c>
      <c r="L32" s="41">
        <v>8732.9</v>
      </c>
      <c r="M32" s="41">
        <v>8735.5</v>
      </c>
    </row>
    <row r="33" spans="1:13" x14ac:dyDescent="0.25">
      <c r="A33" s="37" t="s">
        <v>68</v>
      </c>
      <c r="B33" s="37" t="s">
        <v>129</v>
      </c>
      <c r="C33" s="41">
        <v>3387.8</v>
      </c>
      <c r="D33" s="41">
        <v>3419.7</v>
      </c>
      <c r="E33" s="41">
        <v>4087.8</v>
      </c>
      <c r="F33" s="41">
        <v>4165.3999999999996</v>
      </c>
      <c r="G33" s="41">
        <v>4449.7</v>
      </c>
      <c r="H33" s="41">
        <v>4414.3</v>
      </c>
      <c r="I33" s="41">
        <v>4472.6000000000004</v>
      </c>
      <c r="J33" s="41">
        <v>4635.8999999999996</v>
      </c>
      <c r="K33" s="41">
        <v>10385.799999999999</v>
      </c>
      <c r="L33" s="41">
        <v>10256.4</v>
      </c>
      <c r="M33" s="41">
        <v>10362.1</v>
      </c>
    </row>
    <row r="34" spans="1:13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</row>
    <row r="35" spans="1:13" x14ac:dyDescent="0.25">
      <c r="A35" s="37" t="s">
        <v>130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</row>
    <row r="36" spans="1:13" x14ac:dyDescent="0.25">
      <c r="A36" s="39" t="s">
        <v>131</v>
      </c>
      <c r="B36" s="39" t="s">
        <v>132</v>
      </c>
      <c r="C36" s="40">
        <v>698.6</v>
      </c>
      <c r="D36" s="40">
        <v>731.6</v>
      </c>
      <c r="E36" s="40">
        <v>770.5</v>
      </c>
      <c r="F36" s="40">
        <v>793</v>
      </c>
      <c r="G36" s="40">
        <v>847.4</v>
      </c>
      <c r="H36" s="40">
        <v>849.8</v>
      </c>
      <c r="I36" s="40">
        <v>894.3</v>
      </c>
      <c r="J36" s="40">
        <v>1022.9</v>
      </c>
      <c r="K36" s="40">
        <v>1356.9</v>
      </c>
      <c r="L36" s="40">
        <v>1345.4</v>
      </c>
      <c r="M36" s="40">
        <v>1452.4</v>
      </c>
    </row>
    <row r="37" spans="1:13" x14ac:dyDescent="0.25">
      <c r="A37" s="39" t="s">
        <v>133</v>
      </c>
      <c r="B37" s="39" t="s">
        <v>134</v>
      </c>
      <c r="C37" s="40">
        <v>298.7</v>
      </c>
      <c r="D37" s="40">
        <v>302.7</v>
      </c>
      <c r="E37" s="40">
        <v>366.6</v>
      </c>
      <c r="F37" s="40">
        <v>375.8</v>
      </c>
      <c r="G37" s="40">
        <v>387.3</v>
      </c>
      <c r="H37" s="40">
        <v>372.1</v>
      </c>
      <c r="I37" s="40">
        <v>411.9</v>
      </c>
      <c r="J37" s="40">
        <v>450.8</v>
      </c>
      <c r="K37" s="40">
        <v>639.9</v>
      </c>
      <c r="L37" s="40">
        <v>710</v>
      </c>
      <c r="M37" s="40">
        <v>846.9</v>
      </c>
    </row>
    <row r="38" spans="1:13" x14ac:dyDescent="0.25">
      <c r="A38" s="39" t="s">
        <v>135</v>
      </c>
      <c r="B38" s="39" t="s">
        <v>136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</row>
    <row r="39" spans="1:13" x14ac:dyDescent="0.25">
      <c r="A39" s="39" t="s">
        <v>137</v>
      </c>
      <c r="B39" s="39" t="s">
        <v>138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</row>
    <row r="40" spans="1:13" x14ac:dyDescent="0.25">
      <c r="A40" s="39" t="s">
        <v>139</v>
      </c>
      <c r="B40" s="39" t="s">
        <v>140</v>
      </c>
      <c r="C40" s="40">
        <v>399.9</v>
      </c>
      <c r="D40" s="40">
        <v>428.9</v>
      </c>
      <c r="E40" s="40">
        <v>403.9</v>
      </c>
      <c r="F40" s="40">
        <v>417.2</v>
      </c>
      <c r="G40" s="40">
        <v>460.1</v>
      </c>
      <c r="H40" s="40">
        <v>477.7</v>
      </c>
      <c r="I40" s="40">
        <v>482.4</v>
      </c>
      <c r="J40" s="40">
        <v>572.1</v>
      </c>
      <c r="K40" s="40">
        <v>717</v>
      </c>
      <c r="L40" s="40">
        <v>635.4</v>
      </c>
      <c r="M40" s="40">
        <v>605.5</v>
      </c>
    </row>
    <row r="41" spans="1:13" x14ac:dyDescent="0.25">
      <c r="A41" s="39" t="s">
        <v>141</v>
      </c>
      <c r="B41" s="39" t="s">
        <v>142</v>
      </c>
      <c r="C41" s="40">
        <v>116.1</v>
      </c>
      <c r="D41" s="40">
        <v>100.4</v>
      </c>
      <c r="E41" s="40">
        <v>222.4</v>
      </c>
      <c r="F41" s="40">
        <v>392.6</v>
      </c>
      <c r="G41" s="40">
        <v>214.1</v>
      </c>
      <c r="H41" s="40">
        <v>270.8</v>
      </c>
      <c r="I41" s="40">
        <v>343</v>
      </c>
      <c r="J41" s="40">
        <v>393.2</v>
      </c>
      <c r="K41" s="40">
        <v>583.20000000000005</v>
      </c>
      <c r="L41" s="40">
        <v>643.5</v>
      </c>
      <c r="M41" s="40">
        <v>698.4</v>
      </c>
    </row>
    <row r="42" spans="1:13" x14ac:dyDescent="0.25">
      <c r="A42" s="39" t="s">
        <v>143</v>
      </c>
      <c r="B42" s="39" t="s">
        <v>144</v>
      </c>
      <c r="C42" s="40">
        <v>101.2</v>
      </c>
      <c r="D42" s="40">
        <v>0.2</v>
      </c>
      <c r="E42" s="40">
        <v>217</v>
      </c>
      <c r="F42" s="40">
        <v>140.30000000000001</v>
      </c>
      <c r="G42" s="40">
        <v>211.6</v>
      </c>
      <c r="H42" s="40">
        <v>269.60000000000002</v>
      </c>
      <c r="I42" s="40">
        <v>139.5</v>
      </c>
      <c r="J42" s="40">
        <v>390.3</v>
      </c>
      <c r="K42" s="40">
        <v>257.60000000000002</v>
      </c>
      <c r="L42" s="40">
        <v>560</v>
      </c>
      <c r="M42" s="40">
        <v>600.70000000000005</v>
      </c>
    </row>
    <row r="43" spans="1:13" x14ac:dyDescent="0.25">
      <c r="A43" s="39" t="s">
        <v>145</v>
      </c>
      <c r="B43" s="39" t="s">
        <v>146</v>
      </c>
      <c r="C43" s="40" t="s">
        <v>75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</row>
    <row r="44" spans="1:13" x14ac:dyDescent="0.25">
      <c r="A44" s="42" t="s">
        <v>147</v>
      </c>
      <c r="B44" s="42" t="s">
        <v>148</v>
      </c>
      <c r="C44" s="43" t="s">
        <v>75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A45" s="39" t="s">
        <v>149</v>
      </c>
      <c r="B45" s="39" t="s">
        <v>150</v>
      </c>
      <c r="C45" s="40">
        <v>14.9</v>
      </c>
      <c r="D45" s="40">
        <v>100.2</v>
      </c>
      <c r="E45" s="40">
        <v>5.4</v>
      </c>
      <c r="F45" s="40">
        <v>252.3</v>
      </c>
      <c r="G45" s="40">
        <v>2.5</v>
      </c>
      <c r="H45" s="40">
        <v>1.2</v>
      </c>
      <c r="I45" s="40">
        <v>203.5</v>
      </c>
      <c r="J45" s="40">
        <v>2.9</v>
      </c>
      <c r="K45" s="40">
        <v>325.60000000000002</v>
      </c>
      <c r="L45" s="40">
        <v>83.5</v>
      </c>
      <c r="M45" s="40">
        <v>97.7</v>
      </c>
    </row>
    <row r="46" spans="1:13" x14ac:dyDescent="0.25">
      <c r="A46" s="39" t="s">
        <v>151</v>
      </c>
      <c r="B46" s="39" t="s">
        <v>152</v>
      </c>
      <c r="C46" s="40">
        <v>3.5</v>
      </c>
      <c r="D46" s="40">
        <v>2.8</v>
      </c>
      <c r="E46" s="40">
        <v>0.4</v>
      </c>
      <c r="F46" s="40">
        <v>2</v>
      </c>
      <c r="G46" s="40">
        <v>1.6</v>
      </c>
      <c r="H46" s="40">
        <v>1.4</v>
      </c>
      <c r="I46" s="40">
        <v>1.3</v>
      </c>
      <c r="J46" s="40">
        <v>6.6</v>
      </c>
      <c r="K46" s="40">
        <v>7.2</v>
      </c>
      <c r="L46" s="40">
        <v>12.8</v>
      </c>
      <c r="M46" s="40">
        <v>3.6</v>
      </c>
    </row>
    <row r="47" spans="1:13" x14ac:dyDescent="0.25">
      <c r="A47" s="39" t="s">
        <v>153</v>
      </c>
      <c r="B47" s="39" t="s">
        <v>154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</row>
    <row r="48" spans="1:13" x14ac:dyDescent="0.25">
      <c r="A48" s="39" t="s">
        <v>155</v>
      </c>
      <c r="B48" s="39" t="s">
        <v>156</v>
      </c>
      <c r="C48" s="40">
        <v>3.5</v>
      </c>
      <c r="D48" s="40">
        <v>2.8</v>
      </c>
      <c r="E48" s="40">
        <v>0.4</v>
      </c>
      <c r="F48" s="40">
        <v>2</v>
      </c>
      <c r="G48" s="40">
        <v>1.6</v>
      </c>
      <c r="H48" s="40">
        <v>1.4</v>
      </c>
      <c r="I48" s="40">
        <v>1.3</v>
      </c>
      <c r="J48" s="40">
        <v>6.6</v>
      </c>
      <c r="K48" s="40">
        <v>7.2</v>
      </c>
      <c r="L48" s="40">
        <v>12.8</v>
      </c>
      <c r="M48" s="40">
        <v>3.6</v>
      </c>
    </row>
    <row r="49" spans="1:13" x14ac:dyDescent="0.25">
      <c r="A49" s="39" t="s">
        <v>157</v>
      </c>
      <c r="B49" s="39" t="s">
        <v>158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</row>
    <row r="50" spans="1:13" x14ac:dyDescent="0.25">
      <c r="A50" s="37" t="s">
        <v>159</v>
      </c>
      <c r="B50" s="37" t="s">
        <v>160</v>
      </c>
      <c r="C50" s="41">
        <v>818.2</v>
      </c>
      <c r="D50" s="41">
        <v>834.8</v>
      </c>
      <c r="E50" s="41">
        <v>993.3</v>
      </c>
      <c r="F50" s="41">
        <v>1187.5999999999999</v>
      </c>
      <c r="G50" s="41">
        <v>1063.0999999999999</v>
      </c>
      <c r="H50" s="41">
        <v>1122</v>
      </c>
      <c r="I50" s="41">
        <v>1238.5999999999999</v>
      </c>
      <c r="J50" s="41">
        <v>1422.7</v>
      </c>
      <c r="K50" s="41">
        <v>1947.3</v>
      </c>
      <c r="L50" s="41">
        <v>2001.7</v>
      </c>
      <c r="M50" s="41">
        <v>2154.4</v>
      </c>
    </row>
    <row r="51" spans="1:13" x14ac:dyDescent="0.25">
      <c r="A51" s="39" t="s">
        <v>161</v>
      </c>
      <c r="B51" s="39" t="s">
        <v>162</v>
      </c>
      <c r="C51" s="40">
        <v>875</v>
      </c>
      <c r="D51" s="40">
        <v>779.9</v>
      </c>
      <c r="E51" s="40">
        <v>1029.7</v>
      </c>
      <c r="F51" s="40">
        <v>779.2</v>
      </c>
      <c r="G51" s="40">
        <v>1019</v>
      </c>
      <c r="H51" s="40">
        <v>1014.1</v>
      </c>
      <c r="I51" s="40">
        <v>1051.4000000000001</v>
      </c>
      <c r="J51" s="40">
        <v>1054</v>
      </c>
      <c r="K51" s="40">
        <v>4443.8999999999996</v>
      </c>
      <c r="L51" s="40">
        <v>4052.9</v>
      </c>
      <c r="M51" s="40">
        <v>3625.8</v>
      </c>
    </row>
    <row r="52" spans="1:13" x14ac:dyDescent="0.25">
      <c r="A52" s="39" t="s">
        <v>163</v>
      </c>
      <c r="B52" s="39" t="s">
        <v>164</v>
      </c>
      <c r="C52" s="40">
        <v>875</v>
      </c>
      <c r="D52" s="40">
        <v>779.9</v>
      </c>
      <c r="E52" s="40">
        <v>1029.7</v>
      </c>
      <c r="F52" s="40">
        <v>779.2</v>
      </c>
      <c r="G52" s="40">
        <v>1019</v>
      </c>
      <c r="H52" s="40">
        <v>1014.1</v>
      </c>
      <c r="I52" s="40">
        <v>1051.4000000000001</v>
      </c>
      <c r="J52" s="40">
        <v>1054</v>
      </c>
      <c r="K52" s="40">
        <v>4443.8999999999996</v>
      </c>
      <c r="L52" s="40">
        <v>4052.9</v>
      </c>
      <c r="M52" s="40">
        <v>3625.8</v>
      </c>
    </row>
    <row r="53" spans="1:13" x14ac:dyDescent="0.25">
      <c r="A53" s="39" t="s">
        <v>165</v>
      </c>
      <c r="B53" s="39" t="s">
        <v>166</v>
      </c>
      <c r="C53" s="40" t="s">
        <v>75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</row>
    <row r="54" spans="1:13" x14ac:dyDescent="0.25">
      <c r="A54" s="42" t="s">
        <v>167</v>
      </c>
      <c r="B54" s="42" t="s">
        <v>168</v>
      </c>
      <c r="C54" s="43" t="s">
        <v>75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s="39" t="s">
        <v>169</v>
      </c>
      <c r="B55" s="39" t="s">
        <v>170</v>
      </c>
      <c r="C55" s="40">
        <v>351.1</v>
      </c>
      <c r="D55" s="40">
        <v>342.3</v>
      </c>
      <c r="E55" s="40">
        <v>446.3</v>
      </c>
      <c r="F55" s="40">
        <v>498.4</v>
      </c>
      <c r="G55" s="40">
        <v>419.9</v>
      </c>
      <c r="H55" s="40">
        <v>468.8</v>
      </c>
      <c r="I55" s="40">
        <v>495.7</v>
      </c>
      <c r="J55" s="40">
        <v>521.1</v>
      </c>
      <c r="K55" s="40">
        <v>1423.7</v>
      </c>
      <c r="L55" s="40">
        <v>1019.6</v>
      </c>
      <c r="M55" s="40">
        <v>1125.2</v>
      </c>
    </row>
    <row r="56" spans="1:13" x14ac:dyDescent="0.25">
      <c r="A56" s="39" t="s">
        <v>171</v>
      </c>
      <c r="B56" s="39" t="s">
        <v>172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</row>
    <row r="57" spans="1:13" x14ac:dyDescent="0.25">
      <c r="A57" s="39" t="s">
        <v>173</v>
      </c>
      <c r="B57" s="39" t="s">
        <v>174</v>
      </c>
      <c r="C57" s="40">
        <v>273.8</v>
      </c>
      <c r="D57" s="40">
        <v>259.89999999999998</v>
      </c>
      <c r="E57" s="40">
        <v>326.10000000000002</v>
      </c>
      <c r="F57" s="40">
        <v>381.4</v>
      </c>
      <c r="G57" s="40">
        <v>201.1</v>
      </c>
      <c r="H57" s="40">
        <v>285</v>
      </c>
      <c r="I57" s="40">
        <v>289.39999999999998</v>
      </c>
      <c r="J57" s="40">
        <v>330.9</v>
      </c>
      <c r="K57" s="40">
        <v>263.10000000000002</v>
      </c>
      <c r="L57" s="40">
        <v>181.6</v>
      </c>
      <c r="M57" s="40">
        <v>289.60000000000002</v>
      </c>
    </row>
    <row r="58" spans="1:13" x14ac:dyDescent="0.25">
      <c r="A58" s="39" t="s">
        <v>153</v>
      </c>
      <c r="B58" s="39" t="s">
        <v>175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</row>
    <row r="59" spans="1:13" x14ac:dyDescent="0.25">
      <c r="A59" s="39" t="s">
        <v>176</v>
      </c>
      <c r="B59" s="39" t="s">
        <v>177</v>
      </c>
      <c r="C59" s="40" t="s">
        <v>75</v>
      </c>
      <c r="D59" s="40" t="s">
        <v>75</v>
      </c>
      <c r="E59" s="40" t="s">
        <v>75</v>
      </c>
      <c r="F59" s="40" t="s">
        <v>75</v>
      </c>
      <c r="G59" s="40" t="s">
        <v>75</v>
      </c>
      <c r="H59" s="40" t="s">
        <v>75</v>
      </c>
      <c r="I59" s="40" t="s">
        <v>75</v>
      </c>
      <c r="J59" s="40">
        <v>79.900000000000006</v>
      </c>
      <c r="K59" s="40">
        <v>1094.5</v>
      </c>
      <c r="L59" s="40">
        <v>706.5</v>
      </c>
      <c r="M59" s="40">
        <v>697.6</v>
      </c>
    </row>
    <row r="60" spans="1:13" x14ac:dyDescent="0.25">
      <c r="A60" s="39" t="s">
        <v>155</v>
      </c>
      <c r="B60" s="39" t="s">
        <v>178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</row>
    <row r="61" spans="1:13" x14ac:dyDescent="0.25">
      <c r="A61" s="39" t="s">
        <v>179</v>
      </c>
      <c r="B61" s="39" t="s">
        <v>180</v>
      </c>
      <c r="C61" s="40">
        <v>77.3</v>
      </c>
      <c r="D61" s="40">
        <v>82.4</v>
      </c>
      <c r="E61" s="40">
        <v>120.2</v>
      </c>
      <c r="F61" s="40">
        <v>117</v>
      </c>
      <c r="G61" s="40">
        <v>218.8</v>
      </c>
      <c r="H61" s="40">
        <v>183.8</v>
      </c>
      <c r="I61" s="40">
        <v>206.3</v>
      </c>
      <c r="J61" s="40">
        <v>110.3</v>
      </c>
      <c r="K61" s="40">
        <v>66.099999999999994</v>
      </c>
      <c r="L61" s="40">
        <v>131.5</v>
      </c>
      <c r="M61" s="40">
        <v>138</v>
      </c>
    </row>
    <row r="62" spans="1:13" x14ac:dyDescent="0.25">
      <c r="A62" s="37" t="s">
        <v>181</v>
      </c>
      <c r="B62" s="37" t="s">
        <v>182</v>
      </c>
      <c r="C62" s="41">
        <v>1226.0999999999999</v>
      </c>
      <c r="D62" s="41">
        <v>1122.2</v>
      </c>
      <c r="E62" s="41">
        <v>1476</v>
      </c>
      <c r="F62" s="41">
        <v>1277.5999999999999</v>
      </c>
      <c r="G62" s="41">
        <v>1438.9</v>
      </c>
      <c r="H62" s="41">
        <v>1482.9</v>
      </c>
      <c r="I62" s="41">
        <v>1547.1</v>
      </c>
      <c r="J62" s="41">
        <v>1575.1</v>
      </c>
      <c r="K62" s="41">
        <v>5867.6</v>
      </c>
      <c r="L62" s="41">
        <v>5072.5</v>
      </c>
      <c r="M62" s="41">
        <v>4751</v>
      </c>
    </row>
    <row r="63" spans="1:13" x14ac:dyDescent="0.25">
      <c r="A63" s="37" t="s">
        <v>183</v>
      </c>
      <c r="B63" s="37" t="s">
        <v>184</v>
      </c>
      <c r="C63" s="41">
        <v>2044.3</v>
      </c>
      <c r="D63" s="41">
        <v>1957</v>
      </c>
      <c r="E63" s="41">
        <v>2469.3000000000002</v>
      </c>
      <c r="F63" s="41">
        <v>2465.1999999999998</v>
      </c>
      <c r="G63" s="41">
        <v>2502</v>
      </c>
      <c r="H63" s="41">
        <v>2604.9</v>
      </c>
      <c r="I63" s="41">
        <v>2785.7</v>
      </c>
      <c r="J63" s="41">
        <v>2997.8</v>
      </c>
      <c r="K63" s="41">
        <v>7814.9</v>
      </c>
      <c r="L63" s="41">
        <v>7074.2</v>
      </c>
      <c r="M63" s="41">
        <v>6905.4</v>
      </c>
    </row>
    <row r="64" spans="1:13" x14ac:dyDescent="0.25">
      <c r="A64" s="39" t="s">
        <v>185</v>
      </c>
      <c r="B64" s="39" t="s">
        <v>186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</row>
    <row r="65" spans="1:13" x14ac:dyDescent="0.25">
      <c r="A65" s="39" t="s">
        <v>187</v>
      </c>
      <c r="B65" s="39" t="s">
        <v>188</v>
      </c>
      <c r="C65" s="40">
        <v>634</v>
      </c>
      <c r="D65" s="40">
        <v>756.5</v>
      </c>
      <c r="E65" s="40">
        <v>821.9</v>
      </c>
      <c r="F65" s="40">
        <v>908.2</v>
      </c>
      <c r="G65" s="40">
        <v>962.4</v>
      </c>
      <c r="H65" s="40">
        <v>995.6</v>
      </c>
      <c r="I65" s="40">
        <v>1039.5999999999999</v>
      </c>
      <c r="J65" s="40">
        <v>1084.2</v>
      </c>
      <c r="K65" s="40">
        <v>1672.9</v>
      </c>
      <c r="L65" s="40">
        <v>1770.6</v>
      </c>
      <c r="M65" s="40">
        <v>1888.6</v>
      </c>
    </row>
    <row r="66" spans="1:13" x14ac:dyDescent="0.25">
      <c r="A66" s="39" t="s">
        <v>189</v>
      </c>
      <c r="B66" s="39" t="s">
        <v>190</v>
      </c>
      <c r="C66" s="40">
        <v>634</v>
      </c>
      <c r="D66" s="40">
        <v>756.5</v>
      </c>
      <c r="E66" s="40" t="s">
        <v>75</v>
      </c>
      <c r="F66" s="40">
        <v>908.2</v>
      </c>
      <c r="G66" s="40">
        <v>962.4</v>
      </c>
      <c r="H66" s="40">
        <v>995.6</v>
      </c>
      <c r="I66" s="40">
        <v>1039.5999999999999</v>
      </c>
      <c r="J66" s="40">
        <v>1084.2</v>
      </c>
      <c r="K66" s="40">
        <v>1672.9</v>
      </c>
      <c r="L66" s="40">
        <v>1770.6</v>
      </c>
      <c r="M66" s="40">
        <v>1888.6</v>
      </c>
    </row>
    <row r="67" spans="1:13" x14ac:dyDescent="0.25">
      <c r="A67" s="39" t="s">
        <v>191</v>
      </c>
      <c r="B67" s="39" t="s">
        <v>192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</row>
    <row r="68" spans="1:13" x14ac:dyDescent="0.25">
      <c r="A68" s="39" t="s">
        <v>193</v>
      </c>
      <c r="B68" s="39" t="s">
        <v>194</v>
      </c>
      <c r="C68" s="40">
        <v>591.5</v>
      </c>
      <c r="D68" s="40">
        <v>700.9</v>
      </c>
      <c r="E68" s="40">
        <v>838.8</v>
      </c>
      <c r="F68" s="40">
        <v>934.6</v>
      </c>
      <c r="G68" s="40">
        <v>970.4</v>
      </c>
      <c r="H68" s="40">
        <v>982.6</v>
      </c>
      <c r="I68" s="40">
        <v>1036.7</v>
      </c>
      <c r="J68" s="40">
        <v>1056.8</v>
      </c>
      <c r="K68" s="40">
        <v>1166.5</v>
      </c>
      <c r="L68" s="40">
        <v>1760.2</v>
      </c>
      <c r="M68" s="40">
        <v>2055.8000000000002</v>
      </c>
    </row>
    <row r="69" spans="1:13" x14ac:dyDescent="0.25">
      <c r="A69" s="39" t="s">
        <v>195</v>
      </c>
      <c r="B69" s="39" t="s">
        <v>196</v>
      </c>
      <c r="C69" s="40">
        <v>109.1</v>
      </c>
      <c r="D69" s="40">
        <v>-3.7</v>
      </c>
      <c r="E69" s="40">
        <v>-59</v>
      </c>
      <c r="F69" s="40">
        <v>-159.9</v>
      </c>
      <c r="G69" s="40">
        <v>-0.3</v>
      </c>
      <c r="H69" s="40">
        <v>-186</v>
      </c>
      <c r="I69" s="40">
        <v>-406.1</v>
      </c>
      <c r="J69" s="40">
        <v>-514.4</v>
      </c>
      <c r="K69" s="40">
        <v>-279.5</v>
      </c>
      <c r="L69" s="40">
        <v>-359.9</v>
      </c>
      <c r="M69" s="40">
        <v>-500.2</v>
      </c>
    </row>
    <row r="70" spans="1:13" x14ac:dyDescent="0.25">
      <c r="A70" s="37" t="s">
        <v>197</v>
      </c>
      <c r="B70" s="37" t="s">
        <v>198</v>
      </c>
      <c r="C70" s="41">
        <v>1334.6</v>
      </c>
      <c r="D70" s="41">
        <v>1453.7</v>
      </c>
      <c r="E70" s="41">
        <v>1601.7</v>
      </c>
      <c r="F70" s="41">
        <v>1682.9</v>
      </c>
      <c r="G70" s="41">
        <v>1932.5</v>
      </c>
      <c r="H70" s="41">
        <v>1792.2</v>
      </c>
      <c r="I70" s="41">
        <v>1670.2</v>
      </c>
      <c r="J70" s="41">
        <v>1626.6</v>
      </c>
      <c r="K70" s="41">
        <v>2559.9</v>
      </c>
      <c r="L70" s="41">
        <v>3170.9</v>
      </c>
      <c r="M70" s="41">
        <v>3444.2</v>
      </c>
    </row>
    <row r="71" spans="1:13" x14ac:dyDescent="0.25">
      <c r="A71" s="39" t="s">
        <v>199</v>
      </c>
      <c r="B71" s="39" t="s">
        <v>200</v>
      </c>
      <c r="C71" s="40">
        <v>8.9</v>
      </c>
      <c r="D71" s="40">
        <v>9</v>
      </c>
      <c r="E71" s="40">
        <v>16.8</v>
      </c>
      <c r="F71" s="40">
        <v>17.3</v>
      </c>
      <c r="G71" s="40">
        <v>15.2</v>
      </c>
      <c r="H71" s="40">
        <v>17.2</v>
      </c>
      <c r="I71" s="40">
        <v>16.7</v>
      </c>
      <c r="J71" s="40">
        <v>11.5</v>
      </c>
      <c r="K71" s="40">
        <v>11</v>
      </c>
      <c r="L71" s="40">
        <v>11.3</v>
      </c>
      <c r="M71" s="40">
        <v>12.5</v>
      </c>
    </row>
    <row r="72" spans="1:13" x14ac:dyDescent="0.25">
      <c r="A72" s="37" t="s">
        <v>201</v>
      </c>
      <c r="B72" s="37" t="s">
        <v>202</v>
      </c>
      <c r="C72" s="41">
        <v>1343.5</v>
      </c>
      <c r="D72" s="41">
        <v>1462.7</v>
      </c>
      <c r="E72" s="41">
        <v>1618.5</v>
      </c>
      <c r="F72" s="41">
        <v>1700.2</v>
      </c>
      <c r="G72" s="41">
        <v>1947.7</v>
      </c>
      <c r="H72" s="41">
        <v>1809.4</v>
      </c>
      <c r="I72" s="41">
        <v>1686.9</v>
      </c>
      <c r="J72" s="41">
        <v>1638.1</v>
      </c>
      <c r="K72" s="41">
        <v>2570.9</v>
      </c>
      <c r="L72" s="41">
        <v>3182.2</v>
      </c>
      <c r="M72" s="41">
        <v>3456.7</v>
      </c>
    </row>
    <row r="73" spans="1:13" x14ac:dyDescent="0.25">
      <c r="A73" s="37" t="s">
        <v>203</v>
      </c>
      <c r="B73" s="37" t="s">
        <v>204</v>
      </c>
      <c r="C73" s="41">
        <v>3387.8</v>
      </c>
      <c r="D73" s="41">
        <v>3419.7</v>
      </c>
      <c r="E73" s="41">
        <v>4087.8</v>
      </c>
      <c r="F73" s="41">
        <v>4165.3999999999996</v>
      </c>
      <c r="G73" s="41">
        <v>4449.7</v>
      </c>
      <c r="H73" s="41">
        <v>4414.3</v>
      </c>
      <c r="I73" s="41">
        <v>4472.6000000000004</v>
      </c>
      <c r="J73" s="41">
        <v>4635.8999999999996</v>
      </c>
      <c r="K73" s="41">
        <v>10385.799999999999</v>
      </c>
      <c r="L73" s="41">
        <v>10256.4</v>
      </c>
      <c r="M73" s="41">
        <v>10362.1</v>
      </c>
    </row>
    <row r="74" spans="1:13" x14ac:dyDescent="0.25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</row>
    <row r="75" spans="1:13" x14ac:dyDescent="0.25">
      <c r="A75" s="37" t="s">
        <v>205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</row>
    <row r="76" spans="1:13" x14ac:dyDescent="0.25">
      <c r="A76" s="39" t="s">
        <v>206</v>
      </c>
      <c r="B76" s="39" t="s">
        <v>207</v>
      </c>
      <c r="C76" s="44" t="s">
        <v>208</v>
      </c>
      <c r="D76" s="44" t="s">
        <v>208</v>
      </c>
      <c r="E76" s="44" t="s">
        <v>208</v>
      </c>
      <c r="F76" s="44" t="s">
        <v>208</v>
      </c>
      <c r="G76" s="44" t="s">
        <v>208</v>
      </c>
      <c r="H76" s="44" t="s">
        <v>208</v>
      </c>
      <c r="I76" s="44" t="s">
        <v>208</v>
      </c>
      <c r="J76" s="44" t="s">
        <v>208</v>
      </c>
      <c r="K76" s="44" t="s">
        <v>208</v>
      </c>
      <c r="L76" s="44" t="s">
        <v>208</v>
      </c>
      <c r="M76" s="44" t="s">
        <v>208</v>
      </c>
    </row>
    <row r="77" spans="1:13" x14ac:dyDescent="0.25">
      <c r="A77" s="39" t="s">
        <v>209</v>
      </c>
      <c r="B77" s="39" t="s">
        <v>210</v>
      </c>
      <c r="C77" s="40">
        <v>131.80000000000001</v>
      </c>
      <c r="D77" s="40">
        <v>133.1</v>
      </c>
      <c r="E77" s="40">
        <v>132.9</v>
      </c>
      <c r="F77" s="40">
        <v>132.5</v>
      </c>
      <c r="G77" s="40">
        <v>131.1</v>
      </c>
      <c r="H77" s="40">
        <v>128.4</v>
      </c>
      <c r="I77" s="40">
        <v>127.3</v>
      </c>
      <c r="J77" s="40">
        <v>123.9</v>
      </c>
      <c r="K77" s="40">
        <v>131</v>
      </c>
      <c r="L77" s="40">
        <v>132.1</v>
      </c>
      <c r="M77" s="40">
        <v>132.9</v>
      </c>
    </row>
    <row r="78" spans="1:13" x14ac:dyDescent="0.25">
      <c r="A78" s="39" t="s">
        <v>211</v>
      </c>
      <c r="B78" s="39" t="s">
        <v>212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</row>
    <row r="79" spans="1:13" x14ac:dyDescent="0.25">
      <c r="A79" s="39" t="s">
        <v>213</v>
      </c>
      <c r="B79" s="39" t="s">
        <v>214</v>
      </c>
      <c r="C79" s="40">
        <v>273.8</v>
      </c>
      <c r="D79" s="40">
        <v>259.89999999999998</v>
      </c>
      <c r="E79" s="40">
        <v>326.10000000000002</v>
      </c>
      <c r="F79" s="40">
        <v>381.4</v>
      </c>
      <c r="G79" s="40">
        <v>201.1</v>
      </c>
      <c r="H79" s="40">
        <v>285</v>
      </c>
      <c r="I79" s="40">
        <v>289.39999999999998</v>
      </c>
      <c r="J79" s="40">
        <v>330.9</v>
      </c>
      <c r="K79" s="40">
        <v>263.10000000000002</v>
      </c>
      <c r="L79" s="40">
        <v>181.6</v>
      </c>
      <c r="M79" s="40">
        <v>289.60000000000002</v>
      </c>
    </row>
    <row r="80" spans="1:13" x14ac:dyDescent="0.25">
      <c r="A80" s="39" t="s">
        <v>215</v>
      </c>
      <c r="B80" s="39" t="s">
        <v>216</v>
      </c>
      <c r="C80" s="40">
        <v>76.5</v>
      </c>
      <c r="D80" s="40">
        <v>81.400000000000006</v>
      </c>
      <c r="E80" s="40">
        <v>111.8</v>
      </c>
      <c r="F80" s="40">
        <v>85.1</v>
      </c>
      <c r="G80" s="40">
        <v>86.2</v>
      </c>
      <c r="H80" s="40">
        <v>92.3</v>
      </c>
      <c r="I80" s="40">
        <v>94.3</v>
      </c>
      <c r="J80" s="40">
        <v>108.7</v>
      </c>
      <c r="K80" s="40">
        <v>172</v>
      </c>
      <c r="L80" s="40">
        <v>153.80000000000001</v>
      </c>
      <c r="M80" s="40">
        <v>162.19999999999999</v>
      </c>
    </row>
    <row r="81" spans="1:13" x14ac:dyDescent="0.25">
      <c r="A81" s="39" t="s">
        <v>217</v>
      </c>
      <c r="B81" s="39" t="s">
        <v>218</v>
      </c>
      <c r="C81" s="40" t="s">
        <v>75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</row>
    <row r="82" spans="1:13" x14ac:dyDescent="0.25">
      <c r="A82" s="39" t="s">
        <v>219</v>
      </c>
      <c r="B82" s="39" t="s">
        <v>220</v>
      </c>
      <c r="C82" s="40">
        <v>1.2</v>
      </c>
      <c r="D82" s="40">
        <v>1</v>
      </c>
      <c r="E82" s="40">
        <v>1</v>
      </c>
      <c r="F82" s="40">
        <v>0.9</v>
      </c>
      <c r="G82" s="40">
        <v>0.9</v>
      </c>
      <c r="H82" s="40">
        <v>1.1000000000000001</v>
      </c>
      <c r="I82" s="40">
        <v>0.8</v>
      </c>
      <c r="J82" s="40">
        <v>0.7</v>
      </c>
      <c r="K82" s="40">
        <v>0.6</v>
      </c>
      <c r="L82" s="40">
        <v>0.4</v>
      </c>
      <c r="M82" s="40">
        <v>0.3</v>
      </c>
    </row>
    <row r="83" spans="1:13" x14ac:dyDescent="0.25">
      <c r="A83" s="39" t="s">
        <v>221</v>
      </c>
      <c r="B83" s="39" t="s">
        <v>222</v>
      </c>
      <c r="C83" s="40">
        <v>11.3</v>
      </c>
      <c r="D83" s="40">
        <v>7.4</v>
      </c>
      <c r="E83" s="40">
        <v>6.6</v>
      </c>
      <c r="F83" s="40">
        <v>5.0999999999999996</v>
      </c>
      <c r="G83" s="40">
        <v>4.5999999999999996</v>
      </c>
      <c r="H83" s="40">
        <v>4.8</v>
      </c>
      <c r="I83" s="40">
        <v>4.8</v>
      </c>
      <c r="J83" s="40">
        <v>4.9000000000000004</v>
      </c>
      <c r="K83" s="40">
        <v>4.8</v>
      </c>
      <c r="L83" s="40">
        <v>3.6</v>
      </c>
      <c r="M83" s="40">
        <v>2.6</v>
      </c>
    </row>
    <row r="84" spans="1:13" x14ac:dyDescent="0.25">
      <c r="A84" s="39" t="s">
        <v>223</v>
      </c>
      <c r="B84" s="39" t="s">
        <v>224</v>
      </c>
      <c r="C84" s="40">
        <v>951.6</v>
      </c>
      <c r="D84" s="40">
        <v>829.5</v>
      </c>
      <c r="E84" s="40">
        <v>1198.2</v>
      </c>
      <c r="F84" s="40">
        <v>1092.8</v>
      </c>
      <c r="G84" s="40">
        <v>1170.0999999999999</v>
      </c>
      <c r="H84" s="40">
        <v>1207.5999999999999</v>
      </c>
      <c r="I84" s="40">
        <v>1281.8</v>
      </c>
      <c r="J84" s="40">
        <v>1328.8</v>
      </c>
      <c r="K84" s="40">
        <v>4840.3</v>
      </c>
      <c r="L84" s="40">
        <v>4599.8</v>
      </c>
      <c r="M84" s="40">
        <v>4168.8</v>
      </c>
    </row>
    <row r="85" spans="1:13" x14ac:dyDescent="0.25">
      <c r="A85" s="39" t="s">
        <v>225</v>
      </c>
      <c r="B85" s="39" t="s">
        <v>226</v>
      </c>
      <c r="C85" s="45">
        <v>70.829899999999995</v>
      </c>
      <c r="D85" s="45">
        <v>56.7102</v>
      </c>
      <c r="E85" s="45">
        <v>74.031499999999994</v>
      </c>
      <c r="F85" s="45">
        <v>64.274799999999999</v>
      </c>
      <c r="G85" s="45">
        <v>60.076000000000001</v>
      </c>
      <c r="H85" s="45">
        <v>66.740399999999994</v>
      </c>
      <c r="I85" s="45">
        <v>75.985500000000002</v>
      </c>
      <c r="J85" s="45">
        <v>81.118399999999994</v>
      </c>
      <c r="K85" s="45">
        <v>188.27260000000001</v>
      </c>
      <c r="L85" s="45">
        <v>144.5478</v>
      </c>
      <c r="M85" s="45">
        <v>120.6006</v>
      </c>
    </row>
    <row r="86" spans="1:13" x14ac:dyDescent="0.25">
      <c r="A86" s="39" t="s">
        <v>227</v>
      </c>
      <c r="B86" s="39" t="s">
        <v>228</v>
      </c>
      <c r="C86" s="45">
        <v>-22.8872</v>
      </c>
      <c r="D86" s="45">
        <v>-11.086</v>
      </c>
      <c r="E86" s="45">
        <v>-21.652999999999999</v>
      </c>
      <c r="F86" s="45">
        <v>-15.648</v>
      </c>
      <c r="G86" s="45">
        <v>-8.6029999999999998</v>
      </c>
      <c r="H86" s="45">
        <v>-11.0448</v>
      </c>
      <c r="I86" s="45">
        <v>-19.699300000000001</v>
      </c>
      <c r="J86" s="45">
        <v>-23.3522</v>
      </c>
      <c r="K86" s="45">
        <v>-177.06219999999999</v>
      </c>
      <c r="L86" s="45">
        <v>-152.0095</v>
      </c>
      <c r="M86" s="45">
        <v>-135.82409999999999</v>
      </c>
    </row>
    <row r="87" spans="1:13" x14ac:dyDescent="0.25">
      <c r="A87" s="39" t="s">
        <v>229</v>
      </c>
      <c r="B87" s="39" t="s">
        <v>230</v>
      </c>
      <c r="C87" s="45">
        <v>1.1860999999999999</v>
      </c>
      <c r="D87" s="45">
        <v>1.2169000000000001</v>
      </c>
      <c r="E87" s="45">
        <v>1.2311000000000001</v>
      </c>
      <c r="F87" s="45">
        <v>1.0824</v>
      </c>
      <c r="G87" s="45">
        <v>1.2888999999999999</v>
      </c>
      <c r="H87" s="45">
        <v>1.2622</v>
      </c>
      <c r="I87" s="45">
        <v>1.0959000000000001</v>
      </c>
      <c r="J87" s="45">
        <v>0.99939999999999996</v>
      </c>
      <c r="K87" s="45">
        <v>0.83040000000000003</v>
      </c>
      <c r="L87" s="45">
        <v>0.73929999999999996</v>
      </c>
      <c r="M87" s="45">
        <v>0.71960000000000002</v>
      </c>
    </row>
    <row r="88" spans="1:13" x14ac:dyDescent="0.25">
      <c r="A88" s="39" t="s">
        <v>231</v>
      </c>
      <c r="B88" s="39" t="s">
        <v>232</v>
      </c>
      <c r="C88" s="45">
        <v>77.610399999999998</v>
      </c>
      <c r="D88" s="45">
        <v>73.462400000000002</v>
      </c>
      <c r="E88" s="45">
        <v>78.875799999999998</v>
      </c>
      <c r="F88" s="45">
        <v>77.872500000000002</v>
      </c>
      <c r="G88" s="45">
        <v>83.211799999999997</v>
      </c>
      <c r="H88" s="45">
        <v>89.1858</v>
      </c>
      <c r="I88" s="45">
        <v>85.923500000000004</v>
      </c>
      <c r="J88" s="45">
        <v>82.114699999999999</v>
      </c>
      <c r="K88" s="45">
        <v>69.087900000000005</v>
      </c>
      <c r="L88" s="45">
        <v>49.828499999999998</v>
      </c>
      <c r="M88" s="45">
        <v>37.000399999999999</v>
      </c>
    </row>
    <row r="89" spans="1:13" x14ac:dyDescent="0.25">
      <c r="A89" s="39" t="s">
        <v>233</v>
      </c>
      <c r="B89" s="39" t="s">
        <v>234</v>
      </c>
      <c r="C89" s="45">
        <v>7500</v>
      </c>
      <c r="D89" s="45" t="s">
        <v>75</v>
      </c>
      <c r="E89" s="45" t="s">
        <v>75</v>
      </c>
      <c r="F89" s="45" t="s">
        <v>75</v>
      </c>
      <c r="G89" s="45" t="s">
        <v>75</v>
      </c>
      <c r="H89" s="45">
        <v>10000</v>
      </c>
      <c r="I89" s="45">
        <v>10000</v>
      </c>
      <c r="J89" s="45">
        <v>10500</v>
      </c>
      <c r="K89" s="45">
        <v>11700</v>
      </c>
      <c r="L89" s="45">
        <v>11600</v>
      </c>
      <c r="M89" s="45">
        <v>12400</v>
      </c>
    </row>
    <row r="90" spans="1:13" x14ac:dyDescent="0.25">
      <c r="A90" s="46" t="s">
        <v>235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35" t="s">
        <v>56</v>
      </c>
      <c r="B1" s="35"/>
      <c r="C1" s="36" t="s">
        <v>60</v>
      </c>
      <c r="D1" s="36" t="s">
        <v>61</v>
      </c>
      <c r="E1" s="36" t="s">
        <v>62</v>
      </c>
      <c r="F1" s="36" t="s">
        <v>63</v>
      </c>
      <c r="G1" s="36" t="s">
        <v>64</v>
      </c>
      <c r="H1" s="36" t="s">
        <v>65</v>
      </c>
      <c r="I1" s="36" t="s">
        <v>66</v>
      </c>
      <c r="J1" s="36" t="s">
        <v>67</v>
      </c>
      <c r="K1" s="36" t="s">
        <v>237</v>
      </c>
      <c r="L1" s="36" t="s">
        <v>238</v>
      </c>
    </row>
    <row r="2" spans="1:12" x14ac:dyDescent="0.25">
      <c r="A2" s="37" t="s">
        <v>239</v>
      </c>
      <c r="B2" s="37" t="s">
        <v>240</v>
      </c>
      <c r="C2" s="41">
        <v>4014.2</v>
      </c>
      <c r="D2" s="41">
        <v>4123.3999999999996</v>
      </c>
      <c r="E2" s="41">
        <v>4243.2</v>
      </c>
      <c r="F2" s="41">
        <v>4296.3</v>
      </c>
      <c r="G2" s="41">
        <v>4411.5</v>
      </c>
      <c r="H2" s="41">
        <v>4834.1000000000004</v>
      </c>
      <c r="I2" s="41">
        <v>5302.8</v>
      </c>
      <c r="J2" s="41">
        <v>5347.4</v>
      </c>
      <c r="K2" s="41">
        <v>5462.5</v>
      </c>
      <c r="L2" s="41">
        <v>5643.9</v>
      </c>
    </row>
    <row r="3" spans="1:12" x14ac:dyDescent="0.25">
      <c r="A3" s="39" t="s">
        <v>241</v>
      </c>
      <c r="B3" s="39" t="s">
        <v>242</v>
      </c>
      <c r="C3" s="40">
        <v>4014.2</v>
      </c>
      <c r="D3" s="40">
        <v>4123.3999999999996</v>
      </c>
      <c r="E3" s="40">
        <v>4243.2</v>
      </c>
      <c r="F3" s="40">
        <v>4296.3</v>
      </c>
      <c r="G3" s="40">
        <v>4411.5</v>
      </c>
      <c r="H3" s="40">
        <v>4834.1000000000004</v>
      </c>
      <c r="I3" s="40">
        <v>5302.8</v>
      </c>
      <c r="J3" s="40">
        <v>5347.4</v>
      </c>
      <c r="K3" s="40"/>
      <c r="L3" s="40"/>
    </row>
    <row r="4" spans="1:12" x14ac:dyDescent="0.25">
      <c r="A4" s="39" t="s">
        <v>243</v>
      </c>
      <c r="B4" s="39" t="s">
        <v>244</v>
      </c>
      <c r="C4" s="40">
        <v>2396.4</v>
      </c>
      <c r="D4" s="40">
        <v>2457.6</v>
      </c>
      <c r="E4" s="40">
        <v>2513</v>
      </c>
      <c r="F4" s="40">
        <v>2555</v>
      </c>
      <c r="G4" s="40">
        <v>2579.8000000000002</v>
      </c>
      <c r="H4" s="40">
        <v>2823.9</v>
      </c>
      <c r="I4" s="40">
        <v>3209.5</v>
      </c>
      <c r="J4" s="40">
        <v>3202.1</v>
      </c>
      <c r="K4" s="40"/>
      <c r="L4" s="40"/>
    </row>
    <row r="5" spans="1:12" x14ac:dyDescent="0.25">
      <c r="A5" s="39" t="s">
        <v>245</v>
      </c>
      <c r="B5" s="39" t="s">
        <v>246</v>
      </c>
      <c r="C5" s="40">
        <v>2396.4</v>
      </c>
      <c r="D5" s="40">
        <v>2457.6</v>
      </c>
      <c r="E5" s="40">
        <v>2513</v>
      </c>
      <c r="F5" s="40">
        <v>2555</v>
      </c>
      <c r="G5" s="40">
        <v>2579.8000000000002</v>
      </c>
      <c r="H5" s="40">
        <v>2823.9</v>
      </c>
      <c r="I5" s="40">
        <v>3209.5</v>
      </c>
      <c r="J5" s="40">
        <v>3202.1</v>
      </c>
      <c r="K5" s="40"/>
      <c r="L5" s="40"/>
    </row>
    <row r="6" spans="1:12" x14ac:dyDescent="0.25">
      <c r="A6" s="37" t="s">
        <v>247</v>
      </c>
      <c r="B6" s="37" t="s">
        <v>248</v>
      </c>
      <c r="C6" s="41">
        <v>1617.8</v>
      </c>
      <c r="D6" s="41">
        <v>1665.8</v>
      </c>
      <c r="E6" s="41">
        <v>1730.2</v>
      </c>
      <c r="F6" s="41">
        <v>1741.3</v>
      </c>
      <c r="G6" s="41">
        <v>1831.7</v>
      </c>
      <c r="H6" s="41">
        <v>2010.2</v>
      </c>
      <c r="I6" s="41">
        <v>2093.3000000000002</v>
      </c>
      <c r="J6" s="41">
        <v>2145.3000000000002</v>
      </c>
      <c r="K6" s="41">
        <v>2212.3671250000002</v>
      </c>
      <c r="L6" s="41">
        <v>2318.909193</v>
      </c>
    </row>
    <row r="7" spans="1:12" x14ac:dyDescent="0.25">
      <c r="A7" s="39" t="s">
        <v>249</v>
      </c>
      <c r="B7" s="39" t="s">
        <v>250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/>
      <c r="L7" s="40"/>
    </row>
    <row r="8" spans="1:12" x14ac:dyDescent="0.25">
      <c r="A8" s="39" t="s">
        <v>251</v>
      </c>
      <c r="B8" s="39" t="s">
        <v>252</v>
      </c>
      <c r="C8" s="40">
        <v>1037.8</v>
      </c>
      <c r="D8" s="40">
        <v>1061</v>
      </c>
      <c r="E8" s="40">
        <v>1122</v>
      </c>
      <c r="F8" s="40">
        <v>1123.8</v>
      </c>
      <c r="G8" s="40">
        <v>1165.8</v>
      </c>
      <c r="H8" s="40">
        <v>1208.5</v>
      </c>
      <c r="I8" s="40">
        <v>1168.8</v>
      </c>
      <c r="J8" s="40">
        <v>1168.4000000000001</v>
      </c>
      <c r="K8" s="40"/>
      <c r="L8" s="40"/>
    </row>
    <row r="9" spans="1:12" x14ac:dyDescent="0.25">
      <c r="A9" s="39" t="s">
        <v>253</v>
      </c>
      <c r="B9" s="39" t="s">
        <v>254</v>
      </c>
      <c r="C9" s="40">
        <v>980</v>
      </c>
      <c r="D9" s="40">
        <v>1009.4</v>
      </c>
      <c r="E9" s="40">
        <v>1060</v>
      </c>
      <c r="F9" s="40">
        <v>1063</v>
      </c>
      <c r="G9" s="40">
        <v>1114</v>
      </c>
      <c r="H9" s="40">
        <v>1178.7</v>
      </c>
      <c r="I9" s="40">
        <v>1094</v>
      </c>
      <c r="J9" s="40">
        <v>1099.5</v>
      </c>
      <c r="K9" s="40"/>
      <c r="L9" s="40"/>
    </row>
    <row r="10" spans="1:12" x14ac:dyDescent="0.25">
      <c r="A10" s="39" t="s">
        <v>255</v>
      </c>
      <c r="B10" s="39" t="s">
        <v>256</v>
      </c>
      <c r="C10" s="40">
        <v>57.8</v>
      </c>
      <c r="D10" s="40">
        <v>61.3</v>
      </c>
      <c r="E10" s="40">
        <v>62</v>
      </c>
      <c r="F10" s="40">
        <v>60.8</v>
      </c>
      <c r="G10" s="40">
        <v>61</v>
      </c>
      <c r="H10" s="40">
        <v>66.099999999999994</v>
      </c>
      <c r="I10" s="40">
        <v>69.400000000000006</v>
      </c>
      <c r="J10" s="40">
        <v>67.3</v>
      </c>
      <c r="K10" s="40"/>
      <c r="L10" s="40"/>
    </row>
    <row r="11" spans="1:12" x14ac:dyDescent="0.25">
      <c r="A11" s="39" t="s">
        <v>257</v>
      </c>
      <c r="B11" s="39" t="s">
        <v>258</v>
      </c>
      <c r="C11" s="40">
        <v>0</v>
      </c>
      <c r="D11" s="40">
        <v>-9.6999999999999993</v>
      </c>
      <c r="E11" s="40">
        <v>0</v>
      </c>
      <c r="F11" s="40">
        <v>0</v>
      </c>
      <c r="G11" s="40">
        <v>-9.1999999999999993</v>
      </c>
      <c r="H11" s="40">
        <v>-36.299999999999997</v>
      </c>
      <c r="I11" s="40">
        <v>5.4</v>
      </c>
      <c r="J11" s="40">
        <v>1.6</v>
      </c>
      <c r="K11" s="40"/>
      <c r="L11" s="40"/>
    </row>
    <row r="12" spans="1:12" x14ac:dyDescent="0.25">
      <c r="A12" s="37" t="s">
        <v>259</v>
      </c>
      <c r="B12" s="37" t="s">
        <v>260</v>
      </c>
      <c r="C12" s="41">
        <v>580</v>
      </c>
      <c r="D12" s="41">
        <v>604.79999999999995</v>
      </c>
      <c r="E12" s="41">
        <v>608.20000000000005</v>
      </c>
      <c r="F12" s="41">
        <v>617.5</v>
      </c>
      <c r="G12" s="41">
        <v>665.9</v>
      </c>
      <c r="H12" s="41">
        <v>801.7</v>
      </c>
      <c r="I12" s="41">
        <v>924.5</v>
      </c>
      <c r="J12" s="41">
        <v>976.9</v>
      </c>
      <c r="K12" s="41">
        <v>970.77800000000002</v>
      </c>
      <c r="L12" s="41">
        <v>1041.1110000000001</v>
      </c>
    </row>
    <row r="13" spans="1:12" x14ac:dyDescent="0.25">
      <c r="A13" s="39" t="s">
        <v>261</v>
      </c>
      <c r="B13" s="39" t="s">
        <v>262</v>
      </c>
      <c r="C13" s="40">
        <v>52.2</v>
      </c>
      <c r="D13" s="40">
        <v>51.1</v>
      </c>
      <c r="E13" s="40">
        <v>48.6</v>
      </c>
      <c r="F13" s="40">
        <v>52.2</v>
      </c>
      <c r="G13" s="40">
        <v>51.8</v>
      </c>
      <c r="H13" s="40">
        <v>107.6</v>
      </c>
      <c r="I13" s="40">
        <v>149.80000000000001</v>
      </c>
      <c r="J13" s="40">
        <v>138.5</v>
      </c>
      <c r="K13" s="40"/>
      <c r="L13" s="40"/>
    </row>
    <row r="14" spans="1:12" x14ac:dyDescent="0.25">
      <c r="A14" s="39" t="s">
        <v>263</v>
      </c>
      <c r="B14" s="39" t="s">
        <v>264</v>
      </c>
      <c r="C14" s="40">
        <v>54.6</v>
      </c>
      <c r="D14" s="40">
        <v>53.3</v>
      </c>
      <c r="E14" s="40">
        <v>49.7</v>
      </c>
      <c r="F14" s="40">
        <v>53.3</v>
      </c>
      <c r="G14" s="40">
        <v>56</v>
      </c>
      <c r="H14" s="40">
        <v>95.7</v>
      </c>
      <c r="I14" s="40">
        <v>174.6</v>
      </c>
      <c r="J14" s="40">
        <v>165.2</v>
      </c>
      <c r="K14" s="40"/>
      <c r="L14" s="40"/>
    </row>
    <row r="15" spans="1:12" x14ac:dyDescent="0.25">
      <c r="A15" s="42" t="s">
        <v>265</v>
      </c>
      <c r="B15" s="42" t="s">
        <v>266</v>
      </c>
      <c r="C15" s="43">
        <v>54.6</v>
      </c>
      <c r="D15" s="43">
        <v>53.3</v>
      </c>
      <c r="E15" s="43">
        <v>49.7</v>
      </c>
      <c r="F15" s="43">
        <v>53.3</v>
      </c>
      <c r="G15" s="43">
        <v>56</v>
      </c>
      <c r="H15" s="43">
        <v>95.7</v>
      </c>
      <c r="I15" s="43">
        <v>174.6</v>
      </c>
      <c r="J15" s="43">
        <v>165.2</v>
      </c>
      <c r="K15" s="43"/>
      <c r="L15" s="43"/>
    </row>
    <row r="16" spans="1:12" x14ac:dyDescent="0.25">
      <c r="A16" s="42" t="s">
        <v>267</v>
      </c>
      <c r="B16" s="42" t="s">
        <v>268</v>
      </c>
      <c r="C16" s="43">
        <v>0</v>
      </c>
      <c r="D16" s="43">
        <v>0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/>
      <c r="L16" s="43"/>
    </row>
    <row r="17" spans="1:12" x14ac:dyDescent="0.25">
      <c r="A17" s="39" t="s">
        <v>269</v>
      </c>
      <c r="B17" s="39" t="s">
        <v>270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/>
      <c r="L17" s="40"/>
    </row>
    <row r="18" spans="1:12" x14ac:dyDescent="0.25">
      <c r="A18" s="39" t="s">
        <v>271</v>
      </c>
      <c r="B18" s="39" t="s">
        <v>272</v>
      </c>
      <c r="C18" s="40">
        <v>-2.4</v>
      </c>
      <c r="D18" s="40">
        <v>-2.2000000000000002</v>
      </c>
      <c r="E18" s="40">
        <v>-1.1000000000000001</v>
      </c>
      <c r="F18" s="40">
        <v>-1.1000000000000001</v>
      </c>
      <c r="G18" s="40">
        <v>-4.2</v>
      </c>
      <c r="H18" s="40">
        <v>11.9</v>
      </c>
      <c r="I18" s="40">
        <v>-24.8</v>
      </c>
      <c r="J18" s="40">
        <v>-26.7</v>
      </c>
      <c r="K18" s="40"/>
      <c r="L18" s="40"/>
    </row>
    <row r="19" spans="1:12" x14ac:dyDescent="0.25">
      <c r="A19" s="37" t="s">
        <v>273</v>
      </c>
      <c r="B19" s="37" t="s">
        <v>274</v>
      </c>
      <c r="C19" s="41">
        <v>527.79999999999995</v>
      </c>
      <c r="D19" s="41">
        <v>553.70000000000005</v>
      </c>
      <c r="E19" s="41">
        <v>559.6</v>
      </c>
      <c r="F19" s="41">
        <v>565.29999999999995</v>
      </c>
      <c r="G19" s="41">
        <v>614.1</v>
      </c>
      <c r="H19" s="41">
        <v>694.1</v>
      </c>
      <c r="I19" s="41">
        <v>774.7</v>
      </c>
      <c r="J19" s="41">
        <v>838.4</v>
      </c>
      <c r="K19" s="41">
        <v>845.77800000000002</v>
      </c>
      <c r="L19" s="41">
        <v>922</v>
      </c>
    </row>
    <row r="20" spans="1:12" x14ac:dyDescent="0.25">
      <c r="A20" s="39" t="s">
        <v>275</v>
      </c>
      <c r="B20" s="39" t="s">
        <v>276</v>
      </c>
      <c r="C20" s="40">
        <v>1.7</v>
      </c>
      <c r="D20" s="40">
        <v>54.3</v>
      </c>
      <c r="E20" s="40">
        <v>5.2</v>
      </c>
      <c r="F20" s="40">
        <v>69.099999999999994</v>
      </c>
      <c r="G20" s="40">
        <v>24.9</v>
      </c>
      <c r="H20" s="40">
        <v>99.3</v>
      </c>
      <c r="I20" s="40">
        <v>33.4</v>
      </c>
      <c r="J20" s="40">
        <v>19.2</v>
      </c>
      <c r="K20" s="40"/>
      <c r="L20" s="40"/>
    </row>
    <row r="21" spans="1:12" x14ac:dyDescent="0.25">
      <c r="A21" s="39" t="s">
        <v>277</v>
      </c>
      <c r="B21" s="39" t="s">
        <v>278</v>
      </c>
      <c r="C21" s="40">
        <v>1.7</v>
      </c>
      <c r="D21" s="40">
        <v>4.3</v>
      </c>
      <c r="E21" s="40" t="s">
        <v>75</v>
      </c>
      <c r="F21" s="40">
        <v>3.6</v>
      </c>
      <c r="G21" s="40">
        <v>5.5</v>
      </c>
      <c r="H21" s="40">
        <v>77.099999999999994</v>
      </c>
      <c r="I21" s="40">
        <v>22.5</v>
      </c>
      <c r="J21" s="40" t="s">
        <v>75</v>
      </c>
      <c r="K21" s="40"/>
      <c r="L21" s="40"/>
    </row>
    <row r="22" spans="1:12" x14ac:dyDescent="0.25">
      <c r="A22" s="39" t="s">
        <v>279</v>
      </c>
      <c r="B22" s="39" t="s">
        <v>280</v>
      </c>
      <c r="C22" s="40" t="s">
        <v>75</v>
      </c>
      <c r="D22" s="40" t="s">
        <v>75</v>
      </c>
      <c r="E22" s="40" t="s">
        <v>75</v>
      </c>
      <c r="F22" s="40" t="s">
        <v>75</v>
      </c>
      <c r="G22" s="40" t="s">
        <v>75</v>
      </c>
      <c r="H22" s="40" t="s">
        <v>75</v>
      </c>
      <c r="I22" s="40">
        <v>-5.4</v>
      </c>
      <c r="J22" s="40">
        <v>-1.6</v>
      </c>
      <c r="K22" s="40"/>
      <c r="L22" s="40"/>
    </row>
    <row r="23" spans="1:12" x14ac:dyDescent="0.25">
      <c r="A23" s="39" t="s">
        <v>281</v>
      </c>
      <c r="B23" s="39" t="s">
        <v>282</v>
      </c>
      <c r="C23" s="40" t="s">
        <v>75</v>
      </c>
      <c r="D23" s="40" t="s">
        <v>75</v>
      </c>
      <c r="E23" s="40" t="s">
        <v>75</v>
      </c>
      <c r="F23" s="40">
        <v>10.7</v>
      </c>
      <c r="G23" s="40" t="s">
        <v>75</v>
      </c>
      <c r="H23" s="40" t="s">
        <v>75</v>
      </c>
      <c r="I23" s="40">
        <v>3</v>
      </c>
      <c r="J23" s="40" t="s">
        <v>75</v>
      </c>
      <c r="K23" s="40"/>
      <c r="L23" s="40"/>
    </row>
    <row r="24" spans="1:12" x14ac:dyDescent="0.25">
      <c r="A24" s="39" t="s">
        <v>283</v>
      </c>
      <c r="B24" s="39" t="s">
        <v>284</v>
      </c>
      <c r="C24" s="40" t="s">
        <v>75</v>
      </c>
      <c r="D24" s="40" t="s">
        <v>75</v>
      </c>
      <c r="E24" s="40" t="s">
        <v>75</v>
      </c>
      <c r="F24" s="40" t="s">
        <v>75</v>
      </c>
      <c r="G24" s="40">
        <v>2.6</v>
      </c>
      <c r="H24" s="40" t="s">
        <v>75</v>
      </c>
      <c r="I24" s="40" t="s">
        <v>75</v>
      </c>
      <c r="J24" s="40" t="s">
        <v>75</v>
      </c>
      <c r="K24" s="40"/>
      <c r="L24" s="40"/>
    </row>
    <row r="25" spans="1:12" x14ac:dyDescent="0.25">
      <c r="A25" s="39" t="s">
        <v>285</v>
      </c>
      <c r="B25" s="39" t="s">
        <v>286</v>
      </c>
      <c r="C25" s="40" t="s">
        <v>75</v>
      </c>
      <c r="D25" s="40">
        <v>6.4</v>
      </c>
      <c r="E25" s="40" t="s">
        <v>75</v>
      </c>
      <c r="F25" s="40" t="s">
        <v>75</v>
      </c>
      <c r="G25" s="40" t="s">
        <v>75</v>
      </c>
      <c r="H25" s="40" t="s">
        <v>75</v>
      </c>
      <c r="I25" s="40" t="s">
        <v>75</v>
      </c>
      <c r="J25" s="40" t="s">
        <v>75</v>
      </c>
      <c r="K25" s="40"/>
      <c r="L25" s="40"/>
    </row>
    <row r="26" spans="1:12" x14ac:dyDescent="0.25">
      <c r="A26" s="39" t="s">
        <v>287</v>
      </c>
      <c r="B26" s="39" t="s">
        <v>288</v>
      </c>
      <c r="C26" s="40" t="s">
        <v>75</v>
      </c>
      <c r="D26" s="40">
        <v>25</v>
      </c>
      <c r="E26" s="40">
        <v>5.2</v>
      </c>
      <c r="F26" s="40">
        <v>50.8</v>
      </c>
      <c r="G26" s="40">
        <v>16.8</v>
      </c>
      <c r="H26" s="40">
        <v>22.2</v>
      </c>
      <c r="I26" s="40">
        <v>2</v>
      </c>
      <c r="J26" s="40">
        <v>6.2</v>
      </c>
      <c r="K26" s="40"/>
      <c r="L26" s="40"/>
    </row>
    <row r="27" spans="1:12" x14ac:dyDescent="0.25">
      <c r="A27" s="39" t="s">
        <v>289</v>
      </c>
      <c r="B27" s="39" t="s">
        <v>290</v>
      </c>
      <c r="C27" s="40" t="s">
        <v>75</v>
      </c>
      <c r="D27" s="40">
        <v>18.600000000000001</v>
      </c>
      <c r="E27" s="40" t="s">
        <v>75</v>
      </c>
      <c r="F27" s="40">
        <v>4</v>
      </c>
      <c r="G27" s="40" t="s">
        <v>75</v>
      </c>
      <c r="H27" s="40" t="s">
        <v>75</v>
      </c>
      <c r="I27" s="40">
        <v>11.3</v>
      </c>
      <c r="J27" s="40">
        <v>14.6</v>
      </c>
      <c r="K27" s="40"/>
      <c r="L27" s="40"/>
    </row>
    <row r="28" spans="1:12" x14ac:dyDescent="0.25">
      <c r="A28" s="37" t="s">
        <v>291</v>
      </c>
      <c r="B28" s="37" t="s">
        <v>274</v>
      </c>
      <c r="C28" s="41">
        <v>526.1</v>
      </c>
      <c r="D28" s="41">
        <v>499.4</v>
      </c>
      <c r="E28" s="41">
        <v>554.4</v>
      </c>
      <c r="F28" s="41">
        <v>496.2</v>
      </c>
      <c r="G28" s="41">
        <v>589.20000000000005</v>
      </c>
      <c r="H28" s="41">
        <v>594.79999999999995</v>
      </c>
      <c r="I28" s="41">
        <v>741.3</v>
      </c>
      <c r="J28" s="41">
        <v>819.2</v>
      </c>
      <c r="K28" s="41">
        <v>845.77800000000002</v>
      </c>
      <c r="L28" s="41">
        <v>922</v>
      </c>
    </row>
    <row r="29" spans="1:12" x14ac:dyDescent="0.25">
      <c r="A29" s="39" t="s">
        <v>292</v>
      </c>
      <c r="B29" s="39" t="s">
        <v>293</v>
      </c>
      <c r="C29" s="40">
        <v>139.80000000000001</v>
      </c>
      <c r="D29" s="40">
        <v>133.6</v>
      </c>
      <c r="E29" s="40">
        <v>145.9</v>
      </c>
      <c r="F29" s="40">
        <v>131.30000000000001</v>
      </c>
      <c r="G29" s="40">
        <v>153</v>
      </c>
      <c r="H29" s="40">
        <v>151.30000000000001</v>
      </c>
      <c r="I29" s="40">
        <v>-157.30000000000001</v>
      </c>
      <c r="J29" s="40">
        <v>157.4</v>
      </c>
      <c r="K29" s="40"/>
      <c r="L29" s="40"/>
    </row>
    <row r="30" spans="1:12" x14ac:dyDescent="0.25">
      <c r="A30" s="39" t="s">
        <v>294</v>
      </c>
      <c r="B30" s="39" t="s">
        <v>295</v>
      </c>
      <c r="C30" s="40">
        <v>115.5</v>
      </c>
      <c r="D30" s="40">
        <v>148.9</v>
      </c>
      <c r="E30" s="40">
        <v>139.80000000000001</v>
      </c>
      <c r="F30" s="40">
        <v>130.30000000000001</v>
      </c>
      <c r="G30" s="40">
        <v>193</v>
      </c>
      <c r="H30" s="40">
        <v>127.2</v>
      </c>
      <c r="I30" s="40">
        <v>182.6</v>
      </c>
      <c r="J30" s="40">
        <v>136.5</v>
      </c>
      <c r="K30" s="40"/>
      <c r="L30" s="40"/>
    </row>
    <row r="31" spans="1:12" x14ac:dyDescent="0.25">
      <c r="A31" s="39" t="s">
        <v>296</v>
      </c>
      <c r="B31" s="39" t="s">
        <v>297</v>
      </c>
      <c r="C31" s="40">
        <v>24.3</v>
      </c>
      <c r="D31" s="40">
        <v>-15.3</v>
      </c>
      <c r="E31" s="40">
        <v>6.1</v>
      </c>
      <c r="F31" s="40">
        <v>1</v>
      </c>
      <c r="G31" s="40">
        <v>-40</v>
      </c>
      <c r="H31" s="40">
        <v>24.1</v>
      </c>
      <c r="I31" s="40">
        <v>-339.9</v>
      </c>
      <c r="J31" s="40">
        <v>20.9</v>
      </c>
      <c r="K31" s="40"/>
      <c r="L31" s="40"/>
    </row>
    <row r="32" spans="1:12" x14ac:dyDescent="0.25">
      <c r="A32" s="39" t="s">
        <v>298</v>
      </c>
      <c r="B32" s="39" t="s">
        <v>299</v>
      </c>
      <c r="C32" s="40">
        <v>0</v>
      </c>
      <c r="D32" s="40" t="s">
        <v>75</v>
      </c>
      <c r="E32" s="40" t="s">
        <v>75</v>
      </c>
      <c r="F32" s="40" t="s">
        <v>75</v>
      </c>
      <c r="G32" s="40" t="s">
        <v>75</v>
      </c>
      <c r="H32" s="40" t="s">
        <v>75</v>
      </c>
      <c r="I32" s="40" t="s">
        <v>75</v>
      </c>
      <c r="J32" s="40" t="s">
        <v>75</v>
      </c>
      <c r="K32" s="40"/>
      <c r="L32" s="40"/>
    </row>
    <row r="33" spans="1:12" x14ac:dyDescent="0.25">
      <c r="A33" s="39" t="s">
        <v>300</v>
      </c>
      <c r="B33" s="39" t="s">
        <v>301</v>
      </c>
      <c r="C33" s="40">
        <v>-21.5</v>
      </c>
      <c r="D33" s="40">
        <v>-23.2</v>
      </c>
      <c r="E33" s="40">
        <v>-29.4</v>
      </c>
      <c r="F33" s="40">
        <v>-36.700000000000003</v>
      </c>
      <c r="G33" s="40">
        <v>-36.1</v>
      </c>
      <c r="H33" s="40">
        <v>-33.9</v>
      </c>
      <c r="I33" s="40">
        <v>-34.799999999999997</v>
      </c>
      <c r="J33" s="40">
        <v>-40.9</v>
      </c>
      <c r="K33" s="40"/>
      <c r="L33" s="40"/>
    </row>
    <row r="34" spans="1:12" x14ac:dyDescent="0.25">
      <c r="A34" s="37" t="s">
        <v>302</v>
      </c>
      <c r="B34" s="37" t="s">
        <v>303</v>
      </c>
      <c r="C34" s="41">
        <v>407.8</v>
      </c>
      <c r="D34" s="41">
        <v>389</v>
      </c>
      <c r="E34" s="41">
        <v>437.9</v>
      </c>
      <c r="F34" s="41">
        <v>401.6</v>
      </c>
      <c r="G34" s="41">
        <v>472.3</v>
      </c>
      <c r="H34" s="41">
        <v>477.4</v>
      </c>
      <c r="I34" s="41">
        <v>933.4</v>
      </c>
      <c r="J34" s="41">
        <v>702.7</v>
      </c>
      <c r="K34" s="41">
        <v>681.57100000000003</v>
      </c>
      <c r="L34" s="41">
        <v>737.42899999999997</v>
      </c>
    </row>
    <row r="35" spans="1:12" x14ac:dyDescent="0.25">
      <c r="A35" s="39" t="s">
        <v>304</v>
      </c>
      <c r="B35" s="39" t="s">
        <v>305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/>
      <c r="L35" s="40"/>
    </row>
    <row r="36" spans="1:12" x14ac:dyDescent="0.25">
      <c r="A36" s="39" t="s">
        <v>306</v>
      </c>
      <c r="B36" s="39" t="s">
        <v>307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/>
      <c r="L36" s="40"/>
    </row>
    <row r="37" spans="1:12" x14ac:dyDescent="0.25">
      <c r="A37" s="39" t="s">
        <v>308</v>
      </c>
      <c r="B37" s="39" t="s">
        <v>309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/>
      <c r="L37" s="40"/>
    </row>
    <row r="38" spans="1:12" x14ac:dyDescent="0.25">
      <c r="A38" s="37" t="s">
        <v>310</v>
      </c>
      <c r="B38" s="37" t="s">
        <v>311</v>
      </c>
      <c r="C38" s="41">
        <v>407.8</v>
      </c>
      <c r="D38" s="41">
        <v>389</v>
      </c>
      <c r="E38" s="41">
        <v>437.9</v>
      </c>
      <c r="F38" s="41">
        <v>401.6</v>
      </c>
      <c r="G38" s="41">
        <v>472.3</v>
      </c>
      <c r="H38" s="41">
        <v>477.4</v>
      </c>
      <c r="I38" s="41">
        <v>933.4</v>
      </c>
      <c r="J38" s="41">
        <v>702.7</v>
      </c>
      <c r="K38" s="41"/>
      <c r="L38" s="41"/>
    </row>
    <row r="39" spans="1:12" x14ac:dyDescent="0.25">
      <c r="A39" s="39" t="s">
        <v>312</v>
      </c>
      <c r="B39" s="39" t="s">
        <v>313</v>
      </c>
      <c r="C39" s="40" t="s">
        <v>75</v>
      </c>
      <c r="D39" s="40" t="s">
        <v>75</v>
      </c>
      <c r="E39" s="40" t="s">
        <v>75</v>
      </c>
      <c r="F39" s="40" t="s">
        <v>75</v>
      </c>
      <c r="G39" s="40" t="s">
        <v>75</v>
      </c>
      <c r="H39" s="40" t="s">
        <v>75</v>
      </c>
      <c r="I39" s="40" t="s">
        <v>75</v>
      </c>
      <c r="J39" s="40" t="s">
        <v>75</v>
      </c>
      <c r="K39" s="40"/>
      <c r="L39" s="40"/>
    </row>
    <row r="40" spans="1:12" x14ac:dyDescent="0.25">
      <c r="A40" s="37" t="s">
        <v>314</v>
      </c>
      <c r="B40" s="37" t="s">
        <v>315</v>
      </c>
      <c r="C40" s="41">
        <v>407.8</v>
      </c>
      <c r="D40" s="41">
        <v>389</v>
      </c>
      <c r="E40" s="41">
        <v>437.9</v>
      </c>
      <c r="F40" s="41">
        <v>401.6</v>
      </c>
      <c r="G40" s="41">
        <v>472.3</v>
      </c>
      <c r="H40" s="41">
        <v>477.4</v>
      </c>
      <c r="I40" s="41">
        <v>933.4</v>
      </c>
      <c r="J40" s="41">
        <v>702.7</v>
      </c>
      <c r="K40" s="41">
        <v>681.57100000000003</v>
      </c>
      <c r="L40" s="41">
        <v>737.42899999999997</v>
      </c>
    </row>
    <row r="41" spans="1:12" x14ac:dyDescent="0.25">
      <c r="A41" s="39" t="s">
        <v>316</v>
      </c>
      <c r="B41" s="39" t="s">
        <v>317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/>
      <c r="L41" s="40"/>
    </row>
    <row r="42" spans="1:12" x14ac:dyDescent="0.25">
      <c r="A42" s="39" t="s">
        <v>318</v>
      </c>
      <c r="B42" s="39" t="s">
        <v>319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/>
      <c r="L42" s="40"/>
    </row>
    <row r="43" spans="1:12" x14ac:dyDescent="0.25">
      <c r="A43" s="37" t="s">
        <v>320</v>
      </c>
      <c r="B43" s="37" t="s">
        <v>321</v>
      </c>
      <c r="C43" s="41">
        <v>407.8</v>
      </c>
      <c r="D43" s="41">
        <v>389</v>
      </c>
      <c r="E43" s="41">
        <v>437.9</v>
      </c>
      <c r="F43" s="41">
        <v>401.6</v>
      </c>
      <c r="G43" s="41">
        <v>472.3</v>
      </c>
      <c r="H43" s="41">
        <v>477.4</v>
      </c>
      <c r="I43" s="41">
        <v>933.4</v>
      </c>
      <c r="J43" s="41">
        <v>702.7</v>
      </c>
      <c r="K43" s="41">
        <v>681.57100000000003</v>
      </c>
      <c r="L43" s="41">
        <v>737.42899999999997</v>
      </c>
    </row>
    <row r="44" spans="1:12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</row>
    <row r="45" spans="1:12" x14ac:dyDescent="0.25">
      <c r="A45" s="37" t="s">
        <v>322</v>
      </c>
      <c r="B45" s="37" t="s">
        <v>321</v>
      </c>
      <c r="C45" s="41">
        <v>408.90499999999997</v>
      </c>
      <c r="D45" s="41">
        <v>424.29500000000002</v>
      </c>
      <c r="E45" s="41">
        <v>441.6</v>
      </c>
      <c r="F45" s="41">
        <v>448.69499999999999</v>
      </c>
      <c r="G45" s="41">
        <v>492.27499999999998</v>
      </c>
      <c r="H45" s="41">
        <v>546.70000000000005</v>
      </c>
      <c r="I45" s="41">
        <v>657.98019999999997</v>
      </c>
      <c r="J45" s="41">
        <v>716.03599999999994</v>
      </c>
      <c r="K45" s="41">
        <v>701.1</v>
      </c>
      <c r="L45" s="41">
        <v>756.3</v>
      </c>
    </row>
    <row r="46" spans="1:12" x14ac:dyDescent="0.25">
      <c r="A46" s="39" t="s">
        <v>323</v>
      </c>
      <c r="B46" s="39" t="s">
        <v>324</v>
      </c>
      <c r="C46" s="40">
        <v>1.105</v>
      </c>
      <c r="D46" s="40">
        <v>35.295000000000002</v>
      </c>
      <c r="E46" s="40">
        <v>3.7</v>
      </c>
      <c r="F46" s="40">
        <v>47.094999999999999</v>
      </c>
      <c r="G46" s="40">
        <v>19.975000000000001</v>
      </c>
      <c r="H46" s="40">
        <v>69.3</v>
      </c>
      <c r="I46" s="40">
        <v>-275.41980000000001</v>
      </c>
      <c r="J46" s="40">
        <v>13.336</v>
      </c>
      <c r="K46" s="40"/>
      <c r="L46" s="40"/>
    </row>
    <row r="47" spans="1:12" x14ac:dyDescent="0.25">
      <c r="A47" s="39" t="s">
        <v>325</v>
      </c>
      <c r="B47" s="39" t="s">
        <v>305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/>
      <c r="L47" s="40"/>
    </row>
    <row r="48" spans="1:12" x14ac:dyDescent="0.2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</row>
    <row r="49" spans="1:12" x14ac:dyDescent="0.25">
      <c r="A49" s="39" t="s">
        <v>326</v>
      </c>
      <c r="B49" s="39" t="s">
        <v>327</v>
      </c>
      <c r="C49" s="40">
        <v>132.69999999999999</v>
      </c>
      <c r="D49" s="40">
        <v>132.1</v>
      </c>
      <c r="E49" s="40">
        <v>129.9</v>
      </c>
      <c r="F49" s="40">
        <v>128</v>
      </c>
      <c r="G49" s="40">
        <v>126.6</v>
      </c>
      <c r="H49" s="40">
        <v>126.8</v>
      </c>
      <c r="I49" s="40">
        <v>131.5</v>
      </c>
      <c r="J49" s="40">
        <v>132.6</v>
      </c>
      <c r="K49" s="40"/>
      <c r="L49" s="40"/>
    </row>
    <row r="50" spans="1:12" x14ac:dyDescent="0.25">
      <c r="A50" s="37" t="s">
        <v>328</v>
      </c>
      <c r="B50" s="37" t="s">
        <v>329</v>
      </c>
      <c r="C50" s="47">
        <v>3.07</v>
      </c>
      <c r="D50" s="47">
        <v>2.94</v>
      </c>
      <c r="E50" s="47">
        <v>3.37</v>
      </c>
      <c r="F50" s="47">
        <v>3.14</v>
      </c>
      <c r="G50" s="47">
        <v>3.73</v>
      </c>
      <c r="H50" s="47">
        <v>3.77</v>
      </c>
      <c r="I50" s="47">
        <v>7.1</v>
      </c>
      <c r="J50" s="47">
        <v>5.3</v>
      </c>
      <c r="K50" s="47">
        <v>5.1639999999999997</v>
      </c>
      <c r="L50" s="47">
        <v>5.6070000000000002</v>
      </c>
    </row>
    <row r="51" spans="1:12" x14ac:dyDescent="0.25">
      <c r="A51" s="37" t="s">
        <v>330</v>
      </c>
      <c r="B51" s="37" t="s">
        <v>331</v>
      </c>
      <c r="C51" s="47">
        <v>3.07</v>
      </c>
      <c r="D51" s="47">
        <v>2.94</v>
      </c>
      <c r="E51" s="47">
        <v>3.37</v>
      </c>
      <c r="F51" s="47">
        <v>3.14</v>
      </c>
      <c r="G51" s="47">
        <v>3.73</v>
      </c>
      <c r="H51" s="47">
        <v>3.77</v>
      </c>
      <c r="I51" s="47">
        <v>7.1</v>
      </c>
      <c r="J51" s="47">
        <v>5.3</v>
      </c>
      <c r="K51" s="47">
        <v>5.1639999999999997</v>
      </c>
      <c r="L51" s="47">
        <v>5.6070000000000002</v>
      </c>
    </row>
    <row r="52" spans="1:12" x14ac:dyDescent="0.25">
      <c r="A52" s="37" t="s">
        <v>332</v>
      </c>
      <c r="B52" s="37" t="s">
        <v>333</v>
      </c>
      <c r="C52" s="47">
        <v>3.0813999999999999</v>
      </c>
      <c r="D52" s="47">
        <v>3.2119</v>
      </c>
      <c r="E52" s="47">
        <v>3.3995000000000002</v>
      </c>
      <c r="F52" s="47">
        <v>3.5053999999999998</v>
      </c>
      <c r="G52" s="47">
        <v>3.8883999999999999</v>
      </c>
      <c r="H52" s="47">
        <v>4.3114999999999997</v>
      </c>
      <c r="I52" s="47">
        <v>5.0037000000000003</v>
      </c>
      <c r="J52" s="47">
        <v>5.4</v>
      </c>
      <c r="K52" s="47">
        <v>5.2190000000000003</v>
      </c>
      <c r="L52" s="47">
        <v>5.6340000000000003</v>
      </c>
    </row>
    <row r="53" spans="1:12" x14ac:dyDescent="0.25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</row>
    <row r="54" spans="1:12" x14ac:dyDescent="0.25">
      <c r="A54" s="39" t="s">
        <v>334</v>
      </c>
      <c r="B54" s="39" t="s">
        <v>335</v>
      </c>
      <c r="C54" s="40">
        <v>134.30000000000001</v>
      </c>
      <c r="D54" s="40">
        <v>133.6</v>
      </c>
      <c r="E54" s="40">
        <v>131</v>
      </c>
      <c r="F54" s="40">
        <v>129.19999999999999</v>
      </c>
      <c r="G54" s="40">
        <v>128</v>
      </c>
      <c r="H54" s="40">
        <v>128.4</v>
      </c>
      <c r="I54" s="40">
        <v>133.19999999999999</v>
      </c>
      <c r="J54" s="40">
        <v>134.1</v>
      </c>
      <c r="K54" s="40"/>
      <c r="L54" s="40"/>
    </row>
    <row r="55" spans="1:12" x14ac:dyDescent="0.25">
      <c r="A55" s="37" t="s">
        <v>336</v>
      </c>
      <c r="B55" s="37" t="s">
        <v>337</v>
      </c>
      <c r="C55" s="47">
        <v>3.04</v>
      </c>
      <c r="D55" s="47">
        <v>2.91</v>
      </c>
      <c r="E55" s="47">
        <v>3.34</v>
      </c>
      <c r="F55" s="47">
        <v>3.11</v>
      </c>
      <c r="G55" s="47">
        <v>3.69</v>
      </c>
      <c r="H55" s="47">
        <v>3.7199999999999998</v>
      </c>
      <c r="I55" s="47">
        <v>7</v>
      </c>
      <c r="J55" s="47">
        <v>5.24</v>
      </c>
      <c r="K55" s="47">
        <v>5.1639999999999997</v>
      </c>
      <c r="L55" s="47">
        <v>5.6070000000000002</v>
      </c>
    </row>
    <row r="56" spans="1:12" x14ac:dyDescent="0.25">
      <c r="A56" s="37" t="s">
        <v>338</v>
      </c>
      <c r="B56" s="37" t="s">
        <v>339</v>
      </c>
      <c r="C56" s="47">
        <v>3.04</v>
      </c>
      <c r="D56" s="47">
        <v>2.91</v>
      </c>
      <c r="E56" s="47">
        <v>3.34</v>
      </c>
      <c r="F56" s="47">
        <v>3.11</v>
      </c>
      <c r="G56" s="47">
        <v>3.69</v>
      </c>
      <c r="H56" s="47">
        <v>3.7199999999999998</v>
      </c>
      <c r="I56" s="47">
        <v>7</v>
      </c>
      <c r="J56" s="47">
        <v>5.24</v>
      </c>
      <c r="K56" s="47">
        <v>5.1639999999999997</v>
      </c>
      <c r="L56" s="47">
        <v>5.6070000000000002</v>
      </c>
    </row>
    <row r="57" spans="1:12" x14ac:dyDescent="0.25">
      <c r="A57" s="37" t="s">
        <v>340</v>
      </c>
      <c r="B57" s="37" t="s">
        <v>341</v>
      </c>
      <c r="C57" s="47">
        <v>3.0482</v>
      </c>
      <c r="D57" s="47">
        <v>3.1741999999999999</v>
      </c>
      <c r="E57" s="47">
        <v>3.3681999999999999</v>
      </c>
      <c r="F57" s="47">
        <v>3.4744999999999999</v>
      </c>
      <c r="G57" s="47">
        <v>3.8460999999999999</v>
      </c>
      <c r="H57" s="47">
        <v>4.2596999999999996</v>
      </c>
      <c r="I57" s="47">
        <v>4.9322999999999997</v>
      </c>
      <c r="J57" s="47">
        <v>5.3394000000000004</v>
      </c>
      <c r="K57" s="47">
        <v>5.2190000000000003</v>
      </c>
      <c r="L57" s="47">
        <v>5.6340000000000003</v>
      </c>
    </row>
    <row r="58" spans="1:12" x14ac:dyDescent="0.25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</row>
    <row r="59" spans="1:12" x14ac:dyDescent="0.25">
      <c r="A59" s="37" t="s">
        <v>205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</row>
    <row r="60" spans="1:12" x14ac:dyDescent="0.25">
      <c r="A60" s="39" t="s">
        <v>206</v>
      </c>
      <c r="B60" s="39" t="s">
        <v>207</v>
      </c>
      <c r="C60" s="44" t="s">
        <v>208</v>
      </c>
      <c r="D60" s="44" t="s">
        <v>208</v>
      </c>
      <c r="E60" s="44" t="s">
        <v>208</v>
      </c>
      <c r="F60" s="44" t="s">
        <v>208</v>
      </c>
      <c r="G60" s="44" t="s">
        <v>208</v>
      </c>
      <c r="H60" s="44" t="s">
        <v>208</v>
      </c>
      <c r="I60" s="44" t="s">
        <v>208</v>
      </c>
      <c r="J60" s="44" t="s">
        <v>208</v>
      </c>
      <c r="K60" s="44"/>
      <c r="L60" s="44"/>
    </row>
    <row r="61" spans="1:12" x14ac:dyDescent="0.25">
      <c r="A61" s="39" t="s">
        <v>342</v>
      </c>
      <c r="B61" s="39" t="s">
        <v>342</v>
      </c>
      <c r="C61" s="40">
        <v>682.8</v>
      </c>
      <c r="D61" s="40">
        <v>710.8</v>
      </c>
      <c r="E61" s="40">
        <v>710.9</v>
      </c>
      <c r="F61" s="40">
        <v>723.4</v>
      </c>
      <c r="G61" s="40">
        <v>774.6</v>
      </c>
      <c r="H61" s="40">
        <v>926.9</v>
      </c>
      <c r="I61" s="40">
        <v>1075.2</v>
      </c>
      <c r="J61" s="40">
        <v>1135.7</v>
      </c>
      <c r="K61" s="40">
        <v>1147.0999999999999</v>
      </c>
      <c r="L61" s="40">
        <v>1223.8</v>
      </c>
    </row>
    <row r="62" spans="1:12" x14ac:dyDescent="0.25">
      <c r="A62" s="39" t="s">
        <v>343</v>
      </c>
      <c r="B62" s="39" t="s">
        <v>344</v>
      </c>
      <c r="C62" s="45">
        <v>17.009599999999999</v>
      </c>
      <c r="D62" s="45">
        <v>17.238199999999999</v>
      </c>
      <c r="E62" s="45">
        <v>16.753900000000002</v>
      </c>
      <c r="F62" s="45">
        <v>16.837700000000002</v>
      </c>
      <c r="G62" s="45">
        <v>17.558700000000002</v>
      </c>
      <c r="H62" s="45">
        <v>19.174199999999999</v>
      </c>
      <c r="I62" s="45">
        <v>20.2761</v>
      </c>
      <c r="J62" s="45">
        <v>21.238399999999999</v>
      </c>
      <c r="K62" s="45">
        <v>20.999542334096098</v>
      </c>
      <c r="L62" s="45">
        <v>21.683587590141599</v>
      </c>
    </row>
    <row r="63" spans="1:12" x14ac:dyDescent="0.25">
      <c r="A63" s="39" t="s">
        <v>345</v>
      </c>
      <c r="B63" s="39" t="s">
        <v>345</v>
      </c>
      <c r="C63" s="40">
        <v>619.20000000000005</v>
      </c>
      <c r="D63" s="40">
        <v>643.29999999999995</v>
      </c>
      <c r="E63" s="40">
        <v>643.20000000000005</v>
      </c>
      <c r="F63" s="40">
        <v>651.9</v>
      </c>
      <c r="G63" s="40">
        <v>703.4</v>
      </c>
      <c r="H63" s="40">
        <v>841.7</v>
      </c>
      <c r="I63" s="40">
        <v>970.4</v>
      </c>
      <c r="J63" s="40">
        <v>1022.1</v>
      </c>
      <c r="K63" s="40"/>
      <c r="L63" s="40"/>
    </row>
    <row r="64" spans="1:12" x14ac:dyDescent="0.25">
      <c r="A64" s="39" t="s">
        <v>346</v>
      </c>
      <c r="B64" s="39" t="s">
        <v>346</v>
      </c>
      <c r="C64" s="40">
        <v>580</v>
      </c>
      <c r="D64" s="40">
        <v>604.79999999999995</v>
      </c>
      <c r="E64" s="40">
        <v>608.20000000000005</v>
      </c>
      <c r="F64" s="40">
        <v>617.5</v>
      </c>
      <c r="G64" s="40">
        <v>665.9</v>
      </c>
      <c r="H64" s="40">
        <v>801.7</v>
      </c>
      <c r="I64" s="40">
        <v>924.5</v>
      </c>
      <c r="J64" s="40">
        <v>976.9</v>
      </c>
      <c r="K64" s="40">
        <v>970.77800000000002</v>
      </c>
      <c r="L64" s="40">
        <v>1041.1110000000001</v>
      </c>
    </row>
    <row r="65" spans="1:12" x14ac:dyDescent="0.25">
      <c r="A65" s="39" t="s">
        <v>347</v>
      </c>
      <c r="B65" s="39" t="s">
        <v>348</v>
      </c>
      <c r="C65" s="45">
        <v>40.301900000000003</v>
      </c>
      <c r="D65" s="45">
        <v>40.398699999999998</v>
      </c>
      <c r="E65" s="45">
        <v>40.775799999999997</v>
      </c>
      <c r="F65" s="45">
        <v>40.530200000000001</v>
      </c>
      <c r="G65" s="45">
        <v>41.521000000000001</v>
      </c>
      <c r="H65" s="45">
        <v>41.5837</v>
      </c>
      <c r="I65" s="45">
        <v>39.4754</v>
      </c>
      <c r="J65" s="45">
        <v>40.118600000000001</v>
      </c>
      <c r="K65" s="45">
        <v>40.500999999999998</v>
      </c>
      <c r="L65" s="45">
        <v>41.087000000000003</v>
      </c>
    </row>
    <row r="66" spans="1:12" x14ac:dyDescent="0.25">
      <c r="A66" s="39" t="s">
        <v>349</v>
      </c>
      <c r="B66" s="39" t="s">
        <v>350</v>
      </c>
      <c r="C66" s="45">
        <v>14.448700000000001</v>
      </c>
      <c r="D66" s="45">
        <v>14.6675</v>
      </c>
      <c r="E66" s="45">
        <v>14.333500000000001</v>
      </c>
      <c r="F66" s="45">
        <v>14.3728</v>
      </c>
      <c r="G66" s="45">
        <v>15.0946</v>
      </c>
      <c r="H66" s="45">
        <v>16.584299999999999</v>
      </c>
      <c r="I66" s="45">
        <v>17.434200000000001</v>
      </c>
      <c r="J66" s="45">
        <v>18.268699999999999</v>
      </c>
      <c r="K66" s="45">
        <v>17.771679633867301</v>
      </c>
      <c r="L66" s="45">
        <v>18.446659225004002</v>
      </c>
    </row>
    <row r="67" spans="1:12" x14ac:dyDescent="0.25">
      <c r="A67" s="39" t="s">
        <v>351</v>
      </c>
      <c r="B67" s="39" t="s">
        <v>352</v>
      </c>
      <c r="C67" s="45">
        <v>10.186500000000001</v>
      </c>
      <c r="D67" s="45">
        <v>10.289899999999999</v>
      </c>
      <c r="E67" s="45">
        <v>10.4072</v>
      </c>
      <c r="F67" s="45">
        <v>10.4438</v>
      </c>
      <c r="G67" s="45">
        <v>11.158899999999999</v>
      </c>
      <c r="H67" s="45">
        <v>11.309200000000001</v>
      </c>
      <c r="I67" s="45">
        <v>12.408200000000001</v>
      </c>
      <c r="J67" s="45">
        <v>13.3904</v>
      </c>
      <c r="K67" s="45">
        <v>12.834782608695701</v>
      </c>
      <c r="L67" s="45">
        <v>13.400308297453901</v>
      </c>
    </row>
    <row r="68" spans="1:12" x14ac:dyDescent="0.25">
      <c r="A68" s="39" t="s">
        <v>353</v>
      </c>
      <c r="B68" s="39" t="s">
        <v>354</v>
      </c>
      <c r="C68" s="45" t="s">
        <v>75</v>
      </c>
      <c r="D68" s="45" t="s">
        <v>75</v>
      </c>
      <c r="E68" s="45">
        <v>424320</v>
      </c>
      <c r="F68" s="45">
        <v>429630</v>
      </c>
      <c r="G68" s="45">
        <v>420142.85710000002</v>
      </c>
      <c r="H68" s="45">
        <v>413170.94020000001</v>
      </c>
      <c r="I68" s="45">
        <v>457137.93099999998</v>
      </c>
      <c r="J68" s="45">
        <v>431241.93550000002</v>
      </c>
      <c r="K68" s="45"/>
      <c r="L68" s="45"/>
    </row>
    <row r="69" spans="1:12" x14ac:dyDescent="0.25">
      <c r="A69" s="39" t="s">
        <v>355</v>
      </c>
      <c r="B69" s="39" t="s">
        <v>356</v>
      </c>
      <c r="C69" s="45">
        <v>1.24</v>
      </c>
      <c r="D69" s="45">
        <v>1.3599999999999999</v>
      </c>
      <c r="E69" s="45">
        <v>1.48</v>
      </c>
      <c r="F69" s="45">
        <v>1.6</v>
      </c>
      <c r="G69" s="45">
        <v>1.72</v>
      </c>
      <c r="H69" s="45">
        <v>1.88</v>
      </c>
      <c r="I69" s="45">
        <v>2.08</v>
      </c>
      <c r="J69" s="45">
        <v>2.2800000000000002</v>
      </c>
      <c r="K69" s="45">
        <v>2.4510000000000001</v>
      </c>
      <c r="L69" s="45">
        <v>2.649</v>
      </c>
    </row>
    <row r="70" spans="1:12" x14ac:dyDescent="0.25">
      <c r="A70" s="39" t="s">
        <v>357</v>
      </c>
      <c r="B70" s="39" t="s">
        <v>358</v>
      </c>
      <c r="C70" s="40">
        <v>164.7</v>
      </c>
      <c r="D70" s="40">
        <v>179.9</v>
      </c>
      <c r="E70" s="40">
        <v>192.4</v>
      </c>
      <c r="F70" s="40">
        <v>204.9</v>
      </c>
      <c r="G70" s="40">
        <v>217.8</v>
      </c>
      <c r="H70" s="40">
        <v>237.6</v>
      </c>
      <c r="I70" s="40">
        <v>273.39999999999998</v>
      </c>
      <c r="J70" s="40">
        <v>302.2</v>
      </c>
      <c r="K70" s="40"/>
      <c r="L70" s="40"/>
    </row>
    <row r="71" spans="1:12" x14ac:dyDescent="0.25">
      <c r="A71" s="39" t="s">
        <v>359</v>
      </c>
      <c r="B71" s="39" t="s">
        <v>360</v>
      </c>
      <c r="C71" s="40" t="s">
        <v>75</v>
      </c>
      <c r="D71" s="40" t="s">
        <v>75</v>
      </c>
      <c r="E71" s="40" t="s">
        <v>75</v>
      </c>
      <c r="F71" s="40" t="s">
        <v>75</v>
      </c>
      <c r="G71" s="40" t="s">
        <v>75</v>
      </c>
      <c r="H71" s="40" t="s">
        <v>75</v>
      </c>
      <c r="I71" s="40" t="s">
        <v>75</v>
      </c>
      <c r="J71" s="40" t="s">
        <v>75</v>
      </c>
      <c r="K71" s="40"/>
      <c r="L71" s="40"/>
    </row>
    <row r="72" spans="1:12" x14ac:dyDescent="0.25">
      <c r="A72" s="39" t="s">
        <v>361</v>
      </c>
      <c r="B72" s="39" t="s">
        <v>362</v>
      </c>
      <c r="C72" s="40" t="s">
        <v>75</v>
      </c>
      <c r="D72" s="40" t="s">
        <v>75</v>
      </c>
      <c r="E72" s="40" t="s">
        <v>75</v>
      </c>
      <c r="F72" s="40" t="s">
        <v>75</v>
      </c>
      <c r="G72" s="40" t="s">
        <v>75</v>
      </c>
      <c r="H72" s="40" t="s">
        <v>75</v>
      </c>
      <c r="I72" s="40" t="s">
        <v>75</v>
      </c>
      <c r="J72" s="40" t="s">
        <v>75</v>
      </c>
      <c r="K72" s="40"/>
      <c r="L72" s="40"/>
    </row>
    <row r="73" spans="1:12" x14ac:dyDescent="0.25">
      <c r="A73" s="39" t="s">
        <v>363</v>
      </c>
      <c r="B73" s="39" t="s">
        <v>364</v>
      </c>
      <c r="C73" s="40">
        <v>63.6</v>
      </c>
      <c r="D73" s="40">
        <v>67.5</v>
      </c>
      <c r="E73" s="40">
        <v>67.7</v>
      </c>
      <c r="F73" s="40">
        <v>71.5</v>
      </c>
      <c r="G73" s="40">
        <v>71.2</v>
      </c>
      <c r="H73" s="40">
        <v>85.2</v>
      </c>
      <c r="I73" s="40">
        <v>104.8</v>
      </c>
      <c r="J73" s="40">
        <v>113.6</v>
      </c>
      <c r="K73" s="40"/>
      <c r="L73" s="40"/>
    </row>
    <row r="74" spans="1:12" x14ac:dyDescent="0.25">
      <c r="A74" s="39" t="s">
        <v>365</v>
      </c>
      <c r="B74" s="39" t="s">
        <v>366</v>
      </c>
      <c r="C74" s="40">
        <v>32.700000000000003</v>
      </c>
      <c r="D74" s="40">
        <v>37.6</v>
      </c>
      <c r="E74" s="40">
        <v>40.299999999999997</v>
      </c>
      <c r="F74" s="40">
        <v>39</v>
      </c>
      <c r="G74" s="40">
        <v>41.6</v>
      </c>
      <c r="H74" s="40">
        <v>46.5</v>
      </c>
      <c r="I74" s="40">
        <v>58.5</v>
      </c>
      <c r="J74" s="40">
        <v>48.1</v>
      </c>
      <c r="K74" s="40"/>
      <c r="L74" s="40"/>
    </row>
    <row r="75" spans="1:12" x14ac:dyDescent="0.25">
      <c r="A75" s="46" t="s">
        <v>235</v>
      </c>
      <c r="B75" s="46"/>
      <c r="C75" s="46" t="s">
        <v>236</v>
      </c>
      <c r="D75" s="46"/>
      <c r="E75" s="46"/>
      <c r="F75" s="46"/>
      <c r="G75" s="46"/>
      <c r="H75" s="46"/>
      <c r="I75" s="46"/>
      <c r="J75" s="46"/>
      <c r="K75" s="46"/>
      <c r="L75" s="4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D127-E2F5-44DB-AA2F-DBECA1F9C988}">
  <sheetPr codeName="Sheet2"/>
  <dimension ref="B1:Q31"/>
  <sheetViews>
    <sheetView showGridLines="0" zoomScaleNormal="100" workbookViewId="0"/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10" width="10.5703125" customWidth="1"/>
  </cols>
  <sheetData>
    <row r="1" spans="2:17" ht="9" customHeight="1" x14ac:dyDescent="0.25"/>
    <row r="2" spans="2:17" ht="20.100000000000001" customHeight="1" x14ac:dyDescent="0.25">
      <c r="B2" s="55" t="s">
        <v>12</v>
      </c>
      <c r="C2" s="13"/>
      <c r="D2" s="13"/>
      <c r="E2" s="4">
        <v>1999</v>
      </c>
      <c r="F2" s="4">
        <v>2000</v>
      </c>
      <c r="G2" s="4">
        <v>2001</v>
      </c>
      <c r="H2" s="4">
        <v>2002</v>
      </c>
      <c r="I2" s="4">
        <v>2003</v>
      </c>
      <c r="J2" s="4">
        <v>2004</v>
      </c>
    </row>
    <row r="3" spans="2:17" x14ac:dyDescent="0.25">
      <c r="B3" s="8" t="s">
        <v>3</v>
      </c>
      <c r="F3" s="1">
        <v>1.29</v>
      </c>
      <c r="G3" s="1">
        <v>1.38</v>
      </c>
      <c r="H3" s="1">
        <v>1.42</v>
      </c>
      <c r="I3" s="1">
        <v>1.5</v>
      </c>
      <c r="J3" s="1">
        <v>1.6</v>
      </c>
      <c r="K3" s="1"/>
      <c r="L3" s="1"/>
      <c r="Q3" s="2"/>
    </row>
    <row r="4" spans="2:17" x14ac:dyDescent="0.25">
      <c r="B4" s="57" t="s">
        <v>4</v>
      </c>
      <c r="C4" s="6"/>
      <c r="D4" s="6"/>
      <c r="E4" s="6"/>
      <c r="F4" s="7">
        <v>0.56999999999999995</v>
      </c>
      <c r="G4" s="7">
        <v>0.66</v>
      </c>
      <c r="H4" s="7">
        <v>0.73</v>
      </c>
      <c r="I4" s="7">
        <v>0.77</v>
      </c>
      <c r="J4" s="7">
        <v>0.82</v>
      </c>
      <c r="L4" s="1"/>
    </row>
    <row r="5" spans="2:17" x14ac:dyDescent="0.25">
      <c r="B5" s="8" t="s">
        <v>403</v>
      </c>
      <c r="E5" s="1">
        <v>4.32</v>
      </c>
      <c r="F5" s="60">
        <f>E5+F3-F4</f>
        <v>5.04</v>
      </c>
      <c r="G5" s="60">
        <f>F5+G3-G4</f>
        <v>5.76</v>
      </c>
      <c r="H5" s="60">
        <f>G5+H3-H4</f>
        <v>6.4499999999999993</v>
      </c>
      <c r="I5" s="60">
        <f>H5+I3-I4</f>
        <v>7.18</v>
      </c>
      <c r="J5" s="60">
        <f>I5+J3-J4</f>
        <v>7.9599999999999991</v>
      </c>
      <c r="L5" s="1"/>
      <c r="M5" s="1"/>
    </row>
    <row r="6" spans="2:17" x14ac:dyDescent="0.25">
      <c r="E6" s="1"/>
      <c r="F6" s="1"/>
      <c r="G6" s="1"/>
      <c r="H6" s="1"/>
      <c r="I6" s="1"/>
      <c r="J6" s="1"/>
      <c r="L6" s="1"/>
    </row>
    <row r="7" spans="2:17" x14ac:dyDescent="0.25">
      <c r="B7" s="8" t="s">
        <v>7</v>
      </c>
      <c r="E7">
        <v>0</v>
      </c>
      <c r="F7">
        <v>1</v>
      </c>
      <c r="G7">
        <v>2</v>
      </c>
      <c r="H7">
        <v>3</v>
      </c>
      <c r="I7">
        <v>4</v>
      </c>
      <c r="J7">
        <v>5</v>
      </c>
    </row>
    <row r="8" spans="2:17" x14ac:dyDescent="0.25">
      <c r="B8" s="8" t="s">
        <v>424</v>
      </c>
      <c r="E8" s="1"/>
      <c r="F8" s="10">
        <f>F3/E5</f>
        <v>0.2986111111111111</v>
      </c>
      <c r="G8" s="10">
        <f>G3/F5</f>
        <v>0.27380952380952378</v>
      </c>
      <c r="H8" s="10">
        <f>H3/G5</f>
        <v>0.24652777777777776</v>
      </c>
      <c r="I8" s="10">
        <f>I3/H5</f>
        <v>0.23255813953488375</v>
      </c>
      <c r="J8" s="10">
        <f>J3/I5</f>
        <v>0.22284122562674097</v>
      </c>
      <c r="L8" s="1"/>
    </row>
    <row r="9" spans="2:17" ht="15" customHeight="1" x14ac:dyDescent="0.25">
      <c r="B9" s="58" t="s">
        <v>400</v>
      </c>
      <c r="C9" s="9"/>
      <c r="D9" s="9"/>
      <c r="E9" s="1"/>
      <c r="F9" s="12">
        <v>0.1</v>
      </c>
      <c r="G9" s="12">
        <v>0.1</v>
      </c>
      <c r="H9" s="12">
        <v>0.1</v>
      </c>
      <c r="I9" s="12">
        <v>0.1</v>
      </c>
      <c r="J9" s="12">
        <v>0.1</v>
      </c>
    </row>
    <row r="10" spans="2:17" x14ac:dyDescent="0.25">
      <c r="B10" s="8" t="s">
        <v>8</v>
      </c>
      <c r="E10" s="10">
        <f t="shared" ref="E10:J10" si="0">1/(1+$F$9)^E7</f>
        <v>1</v>
      </c>
      <c r="F10" s="10">
        <f t="shared" si="0"/>
        <v>0.90909090909090906</v>
      </c>
      <c r="G10" s="10">
        <f t="shared" si="0"/>
        <v>0.82644628099173545</v>
      </c>
      <c r="H10" s="10">
        <f t="shared" si="0"/>
        <v>0.75131480090157754</v>
      </c>
      <c r="I10" s="10">
        <f t="shared" si="0"/>
        <v>0.68301345536507052</v>
      </c>
      <c r="J10" s="10">
        <f t="shared" si="0"/>
        <v>0.62092132305915493</v>
      </c>
    </row>
    <row r="11" spans="2:17" x14ac:dyDescent="0.25">
      <c r="B11" s="8" t="s">
        <v>398</v>
      </c>
      <c r="E11" s="10"/>
      <c r="F11" s="10">
        <f>E10</f>
        <v>1</v>
      </c>
      <c r="G11" s="10">
        <f>F10</f>
        <v>0.90909090909090906</v>
      </c>
      <c r="H11" s="10">
        <f>G10</f>
        <v>0.82644628099173545</v>
      </c>
      <c r="I11" s="10">
        <f>H10</f>
        <v>0.75131480090157754</v>
      </c>
      <c r="J11" s="10">
        <f>I10</f>
        <v>0.68301345536507052</v>
      </c>
    </row>
    <row r="12" spans="2:17" ht="15" customHeight="1" x14ac:dyDescent="0.25">
      <c r="B12" s="58" t="s">
        <v>402</v>
      </c>
      <c r="C12" s="9"/>
      <c r="D12" s="9"/>
      <c r="E12" s="1"/>
      <c r="F12" s="1">
        <f>E$5</f>
        <v>4.32</v>
      </c>
      <c r="G12" s="1">
        <f>F$5</f>
        <v>5.04</v>
      </c>
      <c r="H12" s="1">
        <f>G$5</f>
        <v>5.76</v>
      </c>
      <c r="I12" s="1">
        <f>H$5</f>
        <v>6.4499999999999993</v>
      </c>
      <c r="J12" s="1">
        <f>I$5</f>
        <v>7.18</v>
      </c>
    </row>
    <row r="13" spans="2:17" ht="15" customHeight="1" x14ac:dyDescent="0.25">
      <c r="B13" s="58" t="s">
        <v>413</v>
      </c>
      <c r="C13" s="9"/>
      <c r="D13" s="9"/>
      <c r="E13" s="1"/>
      <c r="F13" s="1">
        <f>F9*F12</f>
        <v>0.43200000000000005</v>
      </c>
      <c r="G13" s="1">
        <f>G9*G12</f>
        <v>0.504</v>
      </c>
      <c r="H13" s="1">
        <f>H9*H12</f>
        <v>0.57599999999999996</v>
      </c>
      <c r="I13" s="1">
        <f>I9*I12</f>
        <v>0.64500000000000002</v>
      </c>
      <c r="J13" s="1">
        <f>J9*J12</f>
        <v>0.71799999999999997</v>
      </c>
    </row>
    <row r="14" spans="2:17" ht="15" customHeight="1" x14ac:dyDescent="0.25">
      <c r="B14" s="58" t="s">
        <v>414</v>
      </c>
      <c r="C14" s="9"/>
      <c r="D14" s="9"/>
      <c r="E14" s="1"/>
      <c r="F14" s="1">
        <f>F3-F13</f>
        <v>0.85799999999999998</v>
      </c>
      <c r="G14" s="1">
        <f>G3-G13</f>
        <v>0.87599999999999989</v>
      </c>
      <c r="H14" s="1">
        <f>H3-H13</f>
        <v>0.84399999999999997</v>
      </c>
      <c r="I14" s="1">
        <f>I3-I13</f>
        <v>0.85499999999999998</v>
      </c>
      <c r="J14" s="1">
        <f>J3-J13</f>
        <v>0.88200000000000012</v>
      </c>
      <c r="L14" s="76"/>
    </row>
    <row r="15" spans="2:17" x14ac:dyDescent="0.25">
      <c r="B15" s="8" t="s">
        <v>421</v>
      </c>
      <c r="F15" s="1">
        <f>F14*F10</f>
        <v>0.77999999999999992</v>
      </c>
      <c r="G15" s="1">
        <f>G14*G10</f>
        <v>0.72396694214876012</v>
      </c>
      <c r="H15" s="1">
        <f>H14*H10</f>
        <v>0.63410969196093148</v>
      </c>
      <c r="I15" s="1">
        <f>I14*I10</f>
        <v>0.58397650433713533</v>
      </c>
      <c r="J15" s="1">
        <f>J14*J10</f>
        <v>0.54765260693817475</v>
      </c>
    </row>
    <row r="16" spans="2:17" x14ac:dyDescent="0.25">
      <c r="B16" s="8" t="s">
        <v>422</v>
      </c>
      <c r="F16" s="1">
        <f>SUM($E15:E15)</f>
        <v>0</v>
      </c>
      <c r="G16" s="1">
        <f>SUM($E15:F15)</f>
        <v>0.77999999999999992</v>
      </c>
      <c r="H16" s="1">
        <f>SUM($E15:G15)</f>
        <v>1.50396694214876</v>
      </c>
      <c r="I16" s="1">
        <f>SUM($E15:H15)</f>
        <v>2.1380766341096917</v>
      </c>
      <c r="J16" s="1">
        <f>SUM($E15:I15)</f>
        <v>2.7220531384468272</v>
      </c>
    </row>
    <row r="17" spans="2:12" x14ac:dyDescent="0.25">
      <c r="B17" s="8" t="s">
        <v>408</v>
      </c>
      <c r="F17" s="64">
        <f>1/(F9-0)</f>
        <v>10</v>
      </c>
      <c r="G17" s="64">
        <f>1/(G9-0)</f>
        <v>10</v>
      </c>
      <c r="H17" s="64">
        <f>1/(H9-0)</f>
        <v>10</v>
      </c>
      <c r="I17" s="64">
        <f>1/(I9-0)</f>
        <v>10</v>
      </c>
      <c r="J17" s="64">
        <f>1/(J9-0)</f>
        <v>10</v>
      </c>
    </row>
    <row r="18" spans="2:12" x14ac:dyDescent="0.25">
      <c r="B18" s="8" t="s">
        <v>423</v>
      </c>
      <c r="F18" s="1">
        <f>F14*F17*F11</f>
        <v>8.58</v>
      </c>
      <c r="G18" s="1">
        <f>G14*G17*G11</f>
        <v>7.9636363636363612</v>
      </c>
      <c r="H18" s="1">
        <f>H14*H17*H11</f>
        <v>6.9752066115702469</v>
      </c>
      <c r="I18" s="1">
        <f>I14*I17*I11</f>
        <v>6.4237415477084889</v>
      </c>
      <c r="J18" s="1">
        <f>J14*J17*J11</f>
        <v>6.0241786763199219</v>
      </c>
    </row>
    <row r="19" spans="2:12" x14ac:dyDescent="0.25">
      <c r="B19" s="61" t="s">
        <v>410</v>
      </c>
      <c r="C19" s="62"/>
      <c r="D19" s="62"/>
      <c r="E19" s="62"/>
      <c r="F19" s="63">
        <f>$E$5+F16+F18</f>
        <v>12.9</v>
      </c>
      <c r="G19" s="63">
        <f>$E$5+G16+G18</f>
        <v>13.063636363636363</v>
      </c>
      <c r="H19" s="63">
        <f>$E$5+H16+H18</f>
        <v>12.799173553719008</v>
      </c>
      <c r="I19" s="63">
        <f>$E$5+I16+I18</f>
        <v>12.881818181818181</v>
      </c>
      <c r="J19" s="63">
        <f>$E$5+J16+J18</f>
        <v>13.066231814766748</v>
      </c>
    </row>
    <row r="20" spans="2:12" ht="7.5" customHeight="1" x14ac:dyDescent="0.25"/>
    <row r="21" spans="2:12" x14ac:dyDescent="0.25">
      <c r="B21" s="8" t="s">
        <v>10</v>
      </c>
      <c r="F21" s="1">
        <f>$E$5</f>
        <v>4.32</v>
      </c>
      <c r="G21" s="1">
        <f>$E$5</f>
        <v>4.32</v>
      </c>
      <c r="H21" s="1">
        <f>$E$5</f>
        <v>4.32</v>
      </c>
      <c r="I21" s="1">
        <f>$E$5</f>
        <v>4.32</v>
      </c>
      <c r="J21" s="1">
        <f>$E$5</f>
        <v>4.32</v>
      </c>
    </row>
    <row r="22" spans="2:12" x14ac:dyDescent="0.25">
      <c r="B22" s="65" t="s">
        <v>425</v>
      </c>
      <c r="F22" s="66">
        <f>F21/F$31</f>
        <v>8.3076923076923076E-2</v>
      </c>
      <c r="G22" s="66">
        <f>G21/G$31</f>
        <v>8.3076923076923076E-2</v>
      </c>
      <c r="H22" s="66">
        <f>H21/H$31</f>
        <v>8.3076923076923076E-2</v>
      </c>
      <c r="I22" s="66">
        <f>I21/I$31</f>
        <v>8.3076923076923076E-2</v>
      </c>
      <c r="J22" s="66">
        <f>J21/J$31</f>
        <v>8.3076923076923076E-2</v>
      </c>
    </row>
    <row r="23" spans="2:12" x14ac:dyDescent="0.25">
      <c r="B23" s="8" t="s">
        <v>427</v>
      </c>
      <c r="F23" s="1">
        <f>F16</f>
        <v>0</v>
      </c>
      <c r="G23" s="1">
        <f>G16</f>
        <v>0.77999999999999992</v>
      </c>
      <c r="H23" s="1">
        <f>H16</f>
        <v>1.50396694214876</v>
      </c>
      <c r="I23" s="1">
        <f>I16</f>
        <v>2.1380766341096917</v>
      </c>
      <c r="J23" s="1">
        <f>J16</f>
        <v>2.7220531384468272</v>
      </c>
      <c r="L23" s="1"/>
    </row>
    <row r="24" spans="2:12" x14ac:dyDescent="0.25">
      <c r="B24" s="65" t="s">
        <v>428</v>
      </c>
      <c r="F24" s="66">
        <f>F23/F$31</f>
        <v>0</v>
      </c>
      <c r="G24" s="66">
        <f>G23/G$31</f>
        <v>1.4999999999999998E-2</v>
      </c>
      <c r="H24" s="66">
        <f>H23/H$31</f>
        <v>2.8922441195168461E-2</v>
      </c>
      <c r="I24" s="66">
        <f>I23/I$31</f>
        <v>4.1116858348263299E-2</v>
      </c>
      <c r="J24" s="66">
        <f>J23/J$31</f>
        <v>5.234717573936206E-2</v>
      </c>
    </row>
    <row r="25" spans="2:12" x14ac:dyDescent="0.25">
      <c r="B25" s="8" t="s">
        <v>429</v>
      </c>
      <c r="F25" s="1">
        <f>F18</f>
        <v>8.58</v>
      </c>
      <c r="G25" s="1">
        <f>G18</f>
        <v>7.9636363636363612</v>
      </c>
      <c r="H25" s="1">
        <f>H18</f>
        <v>6.9752066115702469</v>
      </c>
      <c r="I25" s="1">
        <f>I18</f>
        <v>6.4237415477084889</v>
      </c>
      <c r="J25" s="1">
        <f>J18</f>
        <v>6.0241786763199219</v>
      </c>
    </row>
    <row r="26" spans="2:12" x14ac:dyDescent="0.25">
      <c r="B26" s="65" t="s">
        <v>430</v>
      </c>
      <c r="F26" s="66">
        <f>F25/F$31</f>
        <v>0.16500000000000001</v>
      </c>
      <c r="G26" s="66">
        <f>G25/G$31</f>
        <v>0.15314685314685311</v>
      </c>
      <c r="H26" s="66">
        <f>H25/H$31</f>
        <v>0.13413858868404321</v>
      </c>
      <c r="I26" s="66">
        <f>I25/I$31</f>
        <v>0.12353349130208632</v>
      </c>
      <c r="J26" s="66">
        <f>J25/J$31</f>
        <v>0.11584958992922927</v>
      </c>
    </row>
    <row r="27" spans="2:12" x14ac:dyDescent="0.25">
      <c r="B27" s="67" t="s">
        <v>431</v>
      </c>
      <c r="C27" s="68"/>
      <c r="D27" s="68"/>
      <c r="E27" s="68"/>
      <c r="F27" s="69">
        <f>F21+F23+F25</f>
        <v>12.9</v>
      </c>
      <c r="G27" s="69">
        <f>G21+G23+G25</f>
        <v>13.063636363636363</v>
      </c>
      <c r="H27" s="69">
        <f>H21+H23+H25</f>
        <v>12.799173553719008</v>
      </c>
      <c r="I27" s="69">
        <f>I21+I23+I25</f>
        <v>12.881818181818181</v>
      </c>
      <c r="J27" s="69">
        <f>J21+J23+J25</f>
        <v>13.066231814766748</v>
      </c>
    </row>
    <row r="28" spans="2:12" x14ac:dyDescent="0.25">
      <c r="B28" s="65" t="s">
        <v>432</v>
      </c>
      <c r="F28" s="66">
        <f>F27/F$31</f>
        <v>0.24807692307692308</v>
      </c>
      <c r="G28" s="66">
        <f>G27/G$31</f>
        <v>0.25122377622377623</v>
      </c>
      <c r="H28" s="66">
        <f>H27/H$31</f>
        <v>0.24613795295613478</v>
      </c>
      <c r="I28" s="66">
        <f>I27/I$31</f>
        <v>0.24772727272727271</v>
      </c>
      <c r="J28" s="66">
        <f>J27/J$31</f>
        <v>0.25127368874551437</v>
      </c>
    </row>
    <row r="29" spans="2:12" x14ac:dyDescent="0.25">
      <c r="B29" s="70" t="s">
        <v>433</v>
      </c>
      <c r="C29" s="71"/>
      <c r="D29" s="71"/>
      <c r="E29" s="71"/>
      <c r="F29" s="72">
        <f>F31-F27</f>
        <v>39.1</v>
      </c>
      <c r="G29" s="72">
        <f>G31-G27</f>
        <v>38.936363636363637</v>
      </c>
      <c r="H29" s="72">
        <f>H31-H27</f>
        <v>39.200826446280992</v>
      </c>
      <c r="I29" s="72">
        <f>I31-I27</f>
        <v>39.118181818181817</v>
      </c>
      <c r="J29" s="72">
        <f>J31-J27</f>
        <v>38.933768185233248</v>
      </c>
    </row>
    <row r="30" spans="2:12" x14ac:dyDescent="0.25">
      <c r="B30" s="65" t="s">
        <v>434</v>
      </c>
      <c r="F30" s="66">
        <f>F29/F$31</f>
        <v>0.75192307692307692</v>
      </c>
      <c r="G30" s="66">
        <f>G29/G$31</f>
        <v>0.74877622377622377</v>
      </c>
      <c r="H30" s="66">
        <f>H29/H$31</f>
        <v>0.75386204704386528</v>
      </c>
      <c r="I30" s="66">
        <f>I29/I$31</f>
        <v>0.7522727272727272</v>
      </c>
      <c r="J30" s="66">
        <f>J29/J$31</f>
        <v>0.74872631125448552</v>
      </c>
    </row>
    <row r="31" spans="2:12" x14ac:dyDescent="0.25">
      <c r="B31" s="73" t="s">
        <v>426</v>
      </c>
      <c r="C31" s="74"/>
      <c r="D31" s="74"/>
      <c r="E31" s="74"/>
      <c r="F31" s="75">
        <v>52</v>
      </c>
      <c r="G31" s="75">
        <v>52</v>
      </c>
      <c r="H31" s="75">
        <v>52</v>
      </c>
      <c r="I31" s="75">
        <v>52</v>
      </c>
      <c r="J31" s="75">
        <v>52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28" customFormat="1" ht="19.5" customHeight="1" x14ac:dyDescent="0.25">
      <c r="B2" s="26" t="s">
        <v>38</v>
      </c>
      <c r="C2" s="27" t="s">
        <v>19</v>
      </c>
      <c r="D2" s="27" t="s">
        <v>20</v>
      </c>
      <c r="E2" s="27" t="s">
        <v>21</v>
      </c>
      <c r="F2" s="27" t="s">
        <v>47</v>
      </c>
      <c r="G2" s="27" t="s">
        <v>48</v>
      </c>
      <c r="H2" s="27" t="s">
        <v>50</v>
      </c>
      <c r="I2" s="27" t="s">
        <v>51</v>
      </c>
      <c r="J2" s="27" t="s">
        <v>52</v>
      </c>
    </row>
    <row r="3" spans="2:10" x14ac:dyDescent="0.25">
      <c r="B3" t="s">
        <v>46</v>
      </c>
      <c r="C3" s="34">
        <v>0</v>
      </c>
      <c r="D3" s="34">
        <f t="shared" ref="D3:J3" si="0">C3+1</f>
        <v>1</v>
      </c>
      <c r="E3" s="34">
        <f t="shared" si="0"/>
        <v>2</v>
      </c>
      <c r="F3" s="34">
        <f t="shared" si="0"/>
        <v>3</v>
      </c>
      <c r="G3" s="34">
        <f t="shared" si="0"/>
        <v>4</v>
      </c>
      <c r="H3" s="34">
        <f t="shared" si="0"/>
        <v>5</v>
      </c>
      <c r="I3" s="34">
        <f t="shared" si="0"/>
        <v>6</v>
      </c>
      <c r="J3" s="34">
        <f t="shared" si="0"/>
        <v>7</v>
      </c>
    </row>
    <row r="4" spans="2:10" x14ac:dyDescent="0.25">
      <c r="B4" t="s">
        <v>368</v>
      </c>
      <c r="C4" s="20"/>
      <c r="D4" s="21">
        <v>1.42</v>
      </c>
      <c r="E4" s="21">
        <v>1.61</v>
      </c>
      <c r="F4" s="21">
        <f>E4*(1+E42)</f>
        <v>1.8160273224043715</v>
      </c>
      <c r="G4" s="21">
        <f>F4*(1+F42)</f>
        <v>2.0451917017528141</v>
      </c>
      <c r="H4" s="21">
        <f>G4*(1+G42)</f>
        <v>2.2999494860591199</v>
      </c>
      <c r="I4" s="21">
        <f>H4*(1+H42)</f>
        <v>2.58301068664059</v>
      </c>
      <c r="J4" s="21">
        <f>I4*(1+I42)</f>
        <v>2.8973647963258253</v>
      </c>
    </row>
    <row r="5" spans="2:10" x14ac:dyDescent="0.25">
      <c r="B5" t="s">
        <v>369</v>
      </c>
      <c r="C5" s="20"/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</row>
    <row r="6" spans="2:10" x14ac:dyDescent="0.25">
      <c r="B6" t="s">
        <v>370</v>
      </c>
      <c r="C6" s="21">
        <v>6.68</v>
      </c>
      <c r="D6" s="20">
        <f t="shared" ref="D6:J6" si="1">C6+D$4-D$5</f>
        <v>8.1</v>
      </c>
      <c r="E6" s="20">
        <f t="shared" si="1"/>
        <v>9.7099999999999991</v>
      </c>
      <c r="F6" s="20">
        <f t="shared" si="1"/>
        <v>11.526027322404371</v>
      </c>
      <c r="G6" s="20">
        <f t="shared" si="1"/>
        <v>13.571219024157184</v>
      </c>
      <c r="H6" s="20">
        <f t="shared" si="1"/>
        <v>15.871168510216304</v>
      </c>
      <c r="I6" s="20">
        <f t="shared" si="1"/>
        <v>18.454179196856895</v>
      </c>
      <c r="J6" s="20">
        <f t="shared" si="1"/>
        <v>21.35154399318272</v>
      </c>
    </row>
    <row r="7" spans="2:10" x14ac:dyDescent="0.25">
      <c r="B7" t="s">
        <v>29</v>
      </c>
      <c r="D7" s="10">
        <f t="shared" ref="D7:J7" si="2">D4/C6</f>
        <v>0.21257485029940121</v>
      </c>
      <c r="E7" s="10">
        <f t="shared" si="2"/>
        <v>0.19876543209876546</v>
      </c>
      <c r="F7" s="10">
        <f t="shared" si="2"/>
        <v>0.18702650076255115</v>
      </c>
      <c r="G7" s="10">
        <f t="shared" si="2"/>
        <v>0.17744116377178426</v>
      </c>
      <c r="H7" s="10">
        <f t="shared" si="2"/>
        <v>0.16947257884241199</v>
      </c>
      <c r="I7" s="10">
        <f t="shared" si="2"/>
        <v>0.16274861456974013</v>
      </c>
      <c r="J7" s="10">
        <f t="shared" si="2"/>
        <v>0.15700317881487261</v>
      </c>
    </row>
    <row r="8" spans="2:10" x14ac:dyDescent="0.25">
      <c r="B8" t="s">
        <v>16</v>
      </c>
      <c r="C8" s="18">
        <v>0.1</v>
      </c>
      <c r="D8" s="3">
        <f t="shared" ref="D8:J8" si="3">C8</f>
        <v>0.1</v>
      </c>
      <c r="E8" s="3">
        <f t="shared" si="3"/>
        <v>0.1</v>
      </c>
      <c r="F8" s="3">
        <f t="shared" si="3"/>
        <v>0.1</v>
      </c>
      <c r="G8" s="3">
        <f t="shared" si="3"/>
        <v>0.1</v>
      </c>
      <c r="H8" s="3">
        <f t="shared" si="3"/>
        <v>0.1</v>
      </c>
      <c r="I8" s="3">
        <f t="shared" si="3"/>
        <v>0.1</v>
      </c>
      <c r="J8" s="3">
        <f t="shared" si="3"/>
        <v>0.1</v>
      </c>
    </row>
    <row r="9" spans="2:10" x14ac:dyDescent="0.25">
      <c r="B9" t="s">
        <v>13</v>
      </c>
      <c r="D9" s="22">
        <f t="shared" ref="D9:J9" si="4">C6*D8</f>
        <v>0.66800000000000004</v>
      </c>
      <c r="E9" s="22">
        <f t="shared" si="4"/>
        <v>0.81</v>
      </c>
      <c r="F9" s="22">
        <f t="shared" si="4"/>
        <v>0.97099999999999997</v>
      </c>
      <c r="G9" s="22">
        <f t="shared" si="4"/>
        <v>1.1526027322404371</v>
      </c>
      <c r="H9" s="22">
        <f t="shared" si="4"/>
        <v>1.3571219024157184</v>
      </c>
      <c r="I9" s="22">
        <f t="shared" si="4"/>
        <v>1.5871168510216305</v>
      </c>
      <c r="J9" s="22">
        <f t="shared" si="4"/>
        <v>1.8454179196856897</v>
      </c>
    </row>
    <row r="10" spans="2:10" x14ac:dyDescent="0.25">
      <c r="B10" t="s">
        <v>371</v>
      </c>
      <c r="D10" s="22">
        <f t="shared" ref="D10:J10" si="5">D4-D9</f>
        <v>0.75199999999999989</v>
      </c>
      <c r="E10" s="22">
        <f t="shared" si="5"/>
        <v>0.8</v>
      </c>
      <c r="F10" s="22">
        <f t="shared" si="5"/>
        <v>0.84502732240437151</v>
      </c>
      <c r="G10" s="22">
        <f t="shared" si="5"/>
        <v>0.89258896951237698</v>
      </c>
      <c r="H10" s="22">
        <f t="shared" si="5"/>
        <v>0.94282758364340147</v>
      </c>
      <c r="I10" s="22">
        <f t="shared" si="5"/>
        <v>0.9958938356189595</v>
      </c>
      <c r="J10" s="22">
        <f t="shared" si="5"/>
        <v>1.0519468766401356</v>
      </c>
    </row>
    <row r="11" spans="2:10" x14ac:dyDescent="0.25">
      <c r="B11" t="s">
        <v>372</v>
      </c>
      <c r="E11" s="22">
        <f t="shared" ref="E11:J11" si="6">E10-D10</f>
        <v>4.8000000000000154E-2</v>
      </c>
      <c r="F11" s="22">
        <f t="shared" si="6"/>
        <v>4.5027322404371461E-2</v>
      </c>
      <c r="G11" s="22">
        <f t="shared" si="6"/>
        <v>4.7561647108005478E-2</v>
      </c>
      <c r="H11" s="22">
        <f t="shared" si="6"/>
        <v>5.0238614131024484E-2</v>
      </c>
      <c r="I11" s="22">
        <f t="shared" si="6"/>
        <v>5.3066251975558032E-2</v>
      </c>
      <c r="J11" s="22">
        <f t="shared" si="6"/>
        <v>5.6053041021176142E-2</v>
      </c>
    </row>
    <row r="12" spans="2:10" x14ac:dyDescent="0.25">
      <c r="B12" t="s">
        <v>373</v>
      </c>
      <c r="E12" s="10">
        <f t="shared" ref="E12:J12" si="7">E11/D10</f>
        <v>6.382978723404277E-2</v>
      </c>
      <c r="F12" s="10">
        <f t="shared" si="7"/>
        <v>5.6284153005464327E-2</v>
      </c>
      <c r="G12" s="10">
        <f t="shared" si="7"/>
        <v>5.6284153005464327E-2</v>
      </c>
      <c r="H12" s="10">
        <f t="shared" si="7"/>
        <v>5.6284153005464466E-2</v>
      </c>
      <c r="I12" s="10">
        <f t="shared" si="7"/>
        <v>5.6284153005464972E-2</v>
      </c>
      <c r="J12" s="10">
        <f t="shared" si="7"/>
        <v>5.6284153005464216E-2</v>
      </c>
    </row>
    <row r="13" spans="2:10" x14ac:dyDescent="0.25">
      <c r="B13" t="s">
        <v>374</v>
      </c>
      <c r="E13" s="10">
        <f t="shared" ref="E13:J13" si="8">E4/D4-1</f>
        <v>0.13380281690140849</v>
      </c>
      <c r="F13" s="10">
        <f t="shared" si="8"/>
        <v>0.12796728099650401</v>
      </c>
      <c r="G13" s="10">
        <f t="shared" si="8"/>
        <v>0.12618994027305441</v>
      </c>
      <c r="H13" s="10">
        <f t="shared" si="8"/>
        <v>0.12456425678236793</v>
      </c>
      <c r="I13" s="10">
        <f t="shared" si="8"/>
        <v>0.12307279020570361</v>
      </c>
      <c r="J13" s="10">
        <f t="shared" si="8"/>
        <v>0.12170066167789573</v>
      </c>
    </row>
    <row r="14" spans="2:10" x14ac:dyDescent="0.25">
      <c r="B14" t="s">
        <v>23</v>
      </c>
      <c r="C14" s="21">
        <v>24</v>
      </c>
    </row>
    <row r="15" spans="2:10" x14ac:dyDescent="0.25">
      <c r="B15" t="s">
        <v>375</v>
      </c>
      <c r="C15" s="19">
        <f>$C$14/C6</f>
        <v>3.5928143712574854</v>
      </c>
    </row>
    <row r="16" spans="2:10" x14ac:dyDescent="0.25">
      <c r="B16" t="s">
        <v>376</v>
      </c>
      <c r="C16" s="19">
        <f>$C$14/D4</f>
        <v>16.901408450704228</v>
      </c>
    </row>
    <row r="18" spans="2:10" s="28" customFormat="1" ht="19.5" customHeight="1" x14ac:dyDescent="0.25">
      <c r="B18" s="26" t="s">
        <v>37</v>
      </c>
      <c r="C18" s="27" t="str">
        <f t="shared" ref="C18:J18" si="9">C$2</f>
        <v>2009A</v>
      </c>
      <c r="D18" s="27" t="str">
        <f t="shared" si="9"/>
        <v>2010E</v>
      </c>
      <c r="E18" s="27" t="str">
        <f t="shared" si="9"/>
        <v>2011E</v>
      </c>
      <c r="F18" s="27" t="str">
        <f t="shared" si="9"/>
        <v>2012PE</v>
      </c>
      <c r="G18" s="27" t="str">
        <f t="shared" si="9"/>
        <v>2013PE</v>
      </c>
      <c r="H18" s="27" t="str">
        <f t="shared" si="9"/>
        <v>2014PE</v>
      </c>
      <c r="I18" s="27" t="str">
        <f t="shared" si="9"/>
        <v>2015PE</v>
      </c>
      <c r="J18" s="27" t="str">
        <f t="shared" si="9"/>
        <v>2016PE</v>
      </c>
    </row>
    <row r="19" spans="2:10" x14ac:dyDescent="0.25">
      <c r="B19" t="s">
        <v>8</v>
      </c>
      <c r="C19" s="12">
        <f t="shared" ref="C19:J19" si="10">1/(1+C8)^C3</f>
        <v>1</v>
      </c>
      <c r="D19" s="12">
        <f t="shared" si="10"/>
        <v>0.90909090909090906</v>
      </c>
      <c r="E19" s="12">
        <f t="shared" si="10"/>
        <v>0.82644628099173545</v>
      </c>
      <c r="F19" s="12">
        <f t="shared" si="10"/>
        <v>0.75131480090157754</v>
      </c>
      <c r="G19" s="12">
        <f t="shared" si="10"/>
        <v>0.68301345536507052</v>
      </c>
      <c r="H19" s="12">
        <f t="shared" si="10"/>
        <v>0.62092132305915493</v>
      </c>
      <c r="I19" s="12">
        <f t="shared" si="10"/>
        <v>0.56447393005377722</v>
      </c>
      <c r="J19" s="12">
        <f t="shared" si="10"/>
        <v>0.51315811823070645</v>
      </c>
    </row>
    <row r="20" spans="2:10" x14ac:dyDescent="0.25">
      <c r="B20" t="s">
        <v>367</v>
      </c>
      <c r="C20" s="12"/>
      <c r="D20" s="12">
        <f t="shared" ref="D20:J20" si="11">C19</f>
        <v>1</v>
      </c>
      <c r="E20" s="12">
        <f t="shared" si="11"/>
        <v>0.90909090909090906</v>
      </c>
      <c r="F20" s="12">
        <f t="shared" si="11"/>
        <v>0.82644628099173545</v>
      </c>
      <c r="G20" s="12">
        <f t="shared" si="11"/>
        <v>0.75131480090157754</v>
      </c>
      <c r="H20" s="12">
        <f t="shared" si="11"/>
        <v>0.68301345536507052</v>
      </c>
      <c r="I20" s="12">
        <f t="shared" si="11"/>
        <v>0.62092132305915493</v>
      </c>
      <c r="J20" s="12">
        <f t="shared" si="11"/>
        <v>0.56447393005377722</v>
      </c>
    </row>
    <row r="21" spans="2:10" x14ac:dyDescent="0.25">
      <c r="B21" t="s">
        <v>371</v>
      </c>
      <c r="D21" s="22">
        <f t="shared" ref="D21:J21" si="12">D10</f>
        <v>0.75199999999999989</v>
      </c>
      <c r="E21" s="22">
        <f t="shared" si="12"/>
        <v>0.8</v>
      </c>
      <c r="F21" s="22">
        <f t="shared" si="12"/>
        <v>0.84502732240437151</v>
      </c>
      <c r="G21" s="22">
        <f t="shared" si="12"/>
        <v>0.89258896951237698</v>
      </c>
      <c r="H21" s="22">
        <f t="shared" si="12"/>
        <v>0.94282758364340147</v>
      </c>
      <c r="I21" s="22">
        <f t="shared" si="12"/>
        <v>0.9958938356189595</v>
      </c>
      <c r="J21" s="22">
        <f t="shared" si="12"/>
        <v>1.0519468766401356</v>
      </c>
    </row>
    <row r="22" spans="2:10" x14ac:dyDescent="0.25">
      <c r="B22" t="s">
        <v>377</v>
      </c>
      <c r="D22" s="22">
        <f t="shared" ref="D22:J22" si="13">D21*D19</f>
        <v>0.68363636363636349</v>
      </c>
      <c r="E22" s="22">
        <f t="shared" si="13"/>
        <v>0.66115702479338845</v>
      </c>
      <c r="F22" s="22">
        <f t="shared" si="13"/>
        <v>0.6348815344886336</v>
      </c>
      <c r="G22" s="22">
        <f t="shared" si="13"/>
        <v>0.60965027628739621</v>
      </c>
      <c r="H22" s="22">
        <f t="shared" si="13"/>
        <v>0.58542175065252688</v>
      </c>
      <c r="I22" s="22">
        <f t="shared" si="13"/>
        <v>0.56215610730816445</v>
      </c>
      <c r="J22" s="22">
        <f t="shared" si="13"/>
        <v>0.53981507969532105</v>
      </c>
    </row>
    <row r="23" spans="2:10" x14ac:dyDescent="0.25">
      <c r="B23" t="s">
        <v>378</v>
      </c>
      <c r="D23" s="20">
        <f t="shared" ref="D23:J23" si="14">D21*D20</f>
        <v>0.75199999999999989</v>
      </c>
      <c r="E23" s="20">
        <f t="shared" si="14"/>
        <v>0.72727272727272729</v>
      </c>
      <c r="F23" s="20">
        <f t="shared" si="14"/>
        <v>0.69836968793749699</v>
      </c>
      <c r="G23" s="20">
        <f t="shared" si="14"/>
        <v>0.67061530391613577</v>
      </c>
      <c r="H23" s="20">
        <f t="shared" si="14"/>
        <v>0.64396392571777972</v>
      </c>
      <c r="I23" s="20">
        <f t="shared" si="14"/>
        <v>0.61837171803898083</v>
      </c>
      <c r="J23" s="20">
        <f t="shared" si="14"/>
        <v>0.59379658766485333</v>
      </c>
    </row>
    <row r="24" spans="2:10" x14ac:dyDescent="0.25">
      <c r="B24" t="s">
        <v>24</v>
      </c>
      <c r="C24" s="19">
        <f t="shared" ref="C24:J24" si="15">1/C8</f>
        <v>10</v>
      </c>
      <c r="D24" s="19">
        <f t="shared" si="15"/>
        <v>10</v>
      </c>
      <c r="E24" s="19">
        <f t="shared" si="15"/>
        <v>10</v>
      </c>
      <c r="F24" s="19">
        <f t="shared" si="15"/>
        <v>10</v>
      </c>
      <c r="G24" s="19">
        <f t="shared" si="15"/>
        <v>10</v>
      </c>
      <c r="H24" s="19">
        <f t="shared" si="15"/>
        <v>10</v>
      </c>
      <c r="I24" s="19">
        <f t="shared" si="15"/>
        <v>10</v>
      </c>
      <c r="J24" s="19">
        <f t="shared" si="15"/>
        <v>10</v>
      </c>
    </row>
    <row r="25" spans="2:10" x14ac:dyDescent="0.25">
      <c r="B25" t="s">
        <v>379</v>
      </c>
      <c r="D25" s="20">
        <f t="shared" ref="D25:J25" si="16">D21*D24</f>
        <v>7.5199999999999987</v>
      </c>
      <c r="E25" s="20">
        <f t="shared" si="16"/>
        <v>8</v>
      </c>
      <c r="F25" s="20">
        <f t="shared" si="16"/>
        <v>8.4502732240437144</v>
      </c>
      <c r="G25" s="20">
        <f t="shared" si="16"/>
        <v>8.9258896951237698</v>
      </c>
      <c r="H25" s="20">
        <f t="shared" si="16"/>
        <v>9.4282758364340147</v>
      </c>
      <c r="I25" s="20">
        <f t="shared" si="16"/>
        <v>9.958938356189595</v>
      </c>
      <c r="J25" s="20">
        <f t="shared" si="16"/>
        <v>10.519468766401356</v>
      </c>
    </row>
    <row r="26" spans="2:10" x14ac:dyDescent="0.25">
      <c r="B26" t="s">
        <v>10</v>
      </c>
      <c r="C26" s="20"/>
      <c r="D26" s="20">
        <f>C6</f>
        <v>6.68</v>
      </c>
      <c r="E26" s="20">
        <f t="shared" ref="E26:J26" si="17">D26</f>
        <v>6.68</v>
      </c>
      <c r="F26" s="20">
        <f t="shared" si="17"/>
        <v>6.68</v>
      </c>
      <c r="G26" s="20">
        <f t="shared" si="17"/>
        <v>6.68</v>
      </c>
      <c r="H26" s="20">
        <f t="shared" si="17"/>
        <v>6.68</v>
      </c>
      <c r="I26" s="20">
        <f t="shared" si="17"/>
        <v>6.68</v>
      </c>
      <c r="J26" s="20">
        <f t="shared" si="17"/>
        <v>6.68</v>
      </c>
    </row>
    <row r="27" spans="2:10" x14ac:dyDescent="0.25">
      <c r="B27" t="s">
        <v>380</v>
      </c>
      <c r="D27" s="20">
        <f>SUM($C22:C22)</f>
        <v>0</v>
      </c>
      <c r="E27" s="20">
        <f>SUM($C22:D22)</f>
        <v>0.68363636363636349</v>
      </c>
      <c r="F27" s="20">
        <f>SUM($C22:E22)</f>
        <v>1.344793388429752</v>
      </c>
      <c r="G27" s="20">
        <f>SUM($C22:F22)</f>
        <v>1.9796749229183856</v>
      </c>
      <c r="H27" s="20">
        <f>SUM($C22:G22)</f>
        <v>2.5893251992057817</v>
      </c>
      <c r="I27" s="20">
        <f>SUM($C22:H22)</f>
        <v>3.1747469498583087</v>
      </c>
      <c r="J27" s="20">
        <f>SUM($C22:I22)</f>
        <v>3.7369030571664732</v>
      </c>
    </row>
    <row r="28" spans="2:10" x14ac:dyDescent="0.25">
      <c r="B28" t="s">
        <v>381</v>
      </c>
      <c r="D28" s="20">
        <f t="shared" ref="D28:J28" si="18">D25*D20</f>
        <v>7.5199999999999987</v>
      </c>
      <c r="E28" s="20">
        <f t="shared" si="18"/>
        <v>7.2727272727272725</v>
      </c>
      <c r="F28" s="20">
        <f t="shared" si="18"/>
        <v>6.9836968793749694</v>
      </c>
      <c r="G28" s="20">
        <f t="shared" si="18"/>
        <v>6.7061530391613582</v>
      </c>
      <c r="H28" s="20">
        <f t="shared" si="18"/>
        <v>6.4396392571777969</v>
      </c>
      <c r="I28" s="20">
        <f t="shared" si="18"/>
        <v>6.1837171803898086</v>
      </c>
      <c r="J28" s="20">
        <f t="shared" si="18"/>
        <v>5.9379658766485335</v>
      </c>
    </row>
    <row r="29" spans="2:10" x14ac:dyDescent="0.25">
      <c r="B29" s="23" t="s">
        <v>36</v>
      </c>
      <c r="C29" s="24"/>
      <c r="D29" s="25">
        <f t="shared" ref="D29:J29" si="19">SUM(D26:D28)</f>
        <v>14.2</v>
      </c>
      <c r="E29" s="25">
        <f t="shared" si="19"/>
        <v>14.636363636363637</v>
      </c>
      <c r="F29" s="25">
        <f t="shared" si="19"/>
        <v>15.008490267804721</v>
      </c>
      <c r="G29" s="25">
        <f t="shared" si="19"/>
        <v>15.365827962079745</v>
      </c>
      <c r="H29" s="25">
        <f t="shared" si="19"/>
        <v>15.708964456383578</v>
      </c>
      <c r="I29" s="25">
        <f t="shared" si="19"/>
        <v>16.038464130248116</v>
      </c>
      <c r="J29" s="25">
        <f t="shared" si="19"/>
        <v>16.354868933815006</v>
      </c>
    </row>
    <row r="31" spans="2:10" s="28" customFormat="1" ht="19.5" customHeight="1" x14ac:dyDescent="0.25">
      <c r="B31" s="26" t="s">
        <v>40</v>
      </c>
      <c r="C31" s="27" t="str">
        <f t="shared" ref="C31:J31" si="20">C$2</f>
        <v>2009A</v>
      </c>
      <c r="D31" s="27" t="str">
        <f t="shared" si="20"/>
        <v>2010E</v>
      </c>
      <c r="E31" s="27" t="str">
        <f t="shared" si="20"/>
        <v>2011E</v>
      </c>
      <c r="F31" s="27" t="str">
        <f t="shared" si="20"/>
        <v>2012PE</v>
      </c>
      <c r="G31" s="27" t="str">
        <f t="shared" si="20"/>
        <v>2013PE</v>
      </c>
      <c r="H31" s="27" t="str">
        <f t="shared" si="20"/>
        <v>2014PE</v>
      </c>
      <c r="I31" s="27" t="str">
        <f t="shared" si="20"/>
        <v>2015PE</v>
      </c>
      <c r="J31" s="27" t="str">
        <f t="shared" si="20"/>
        <v>2016PE</v>
      </c>
    </row>
    <row r="32" spans="2:10" x14ac:dyDescent="0.25">
      <c r="B32" t="s">
        <v>10</v>
      </c>
      <c r="D32" s="20">
        <f t="shared" ref="D32:J32" si="21">D26</f>
        <v>6.68</v>
      </c>
      <c r="E32" s="20">
        <f t="shared" si="21"/>
        <v>6.68</v>
      </c>
      <c r="F32" s="20">
        <f t="shared" si="21"/>
        <v>6.68</v>
      </c>
      <c r="G32" s="20">
        <f t="shared" si="21"/>
        <v>6.68</v>
      </c>
      <c r="H32" s="20">
        <f t="shared" si="21"/>
        <v>6.68</v>
      </c>
      <c r="I32" s="20">
        <f t="shared" si="21"/>
        <v>6.68</v>
      </c>
      <c r="J32" s="20">
        <f t="shared" si="21"/>
        <v>6.68</v>
      </c>
    </row>
    <row r="33" spans="2:10" x14ac:dyDescent="0.25">
      <c r="B33" s="8" t="s">
        <v>39</v>
      </c>
      <c r="D33" s="17">
        <f t="shared" ref="D33:J33" si="22">D32/D$40</f>
        <v>0.27833333333333332</v>
      </c>
      <c r="E33" s="17">
        <f t="shared" si="22"/>
        <v>0.27833333333333332</v>
      </c>
      <c r="F33" s="17">
        <f t="shared" si="22"/>
        <v>0.27833333333333332</v>
      </c>
      <c r="G33" s="17">
        <f t="shared" si="22"/>
        <v>0.27833333333333332</v>
      </c>
      <c r="H33" s="17">
        <f t="shared" si="22"/>
        <v>0.27833333333333332</v>
      </c>
      <c r="I33" s="17">
        <f t="shared" si="22"/>
        <v>0.27833333333333332</v>
      </c>
      <c r="J33" s="17">
        <f t="shared" si="22"/>
        <v>0.27833333333333332</v>
      </c>
    </row>
    <row r="34" spans="2:10" x14ac:dyDescent="0.25">
      <c r="B34" t="s">
        <v>382</v>
      </c>
      <c r="D34" s="20">
        <f t="shared" ref="D34:J34" si="23">D27</f>
        <v>0</v>
      </c>
      <c r="E34" s="20">
        <f t="shared" si="23"/>
        <v>0.68363636363636349</v>
      </c>
      <c r="F34" s="20">
        <f t="shared" si="23"/>
        <v>1.344793388429752</v>
      </c>
      <c r="G34" s="20">
        <f t="shared" si="23"/>
        <v>1.9796749229183856</v>
      </c>
      <c r="H34" s="20">
        <f t="shared" si="23"/>
        <v>2.5893251992057817</v>
      </c>
      <c r="I34" s="20">
        <f t="shared" si="23"/>
        <v>3.1747469498583087</v>
      </c>
      <c r="J34" s="20">
        <f t="shared" si="23"/>
        <v>3.7369030571664732</v>
      </c>
    </row>
    <row r="35" spans="2:10" x14ac:dyDescent="0.25">
      <c r="B35" s="8" t="s">
        <v>39</v>
      </c>
      <c r="D35" s="17">
        <f t="shared" ref="D35:J35" si="24">D34/D$40</f>
        <v>0</v>
      </c>
      <c r="E35" s="17">
        <f t="shared" si="24"/>
        <v>2.8484848484848477E-2</v>
      </c>
      <c r="F35" s="17">
        <f t="shared" si="24"/>
        <v>5.6033057851239666E-2</v>
      </c>
      <c r="G35" s="17">
        <f t="shared" si="24"/>
        <v>8.2486455121599397E-2</v>
      </c>
      <c r="H35" s="17">
        <f t="shared" si="24"/>
        <v>0.10788854996690757</v>
      </c>
      <c r="I35" s="17">
        <f t="shared" si="24"/>
        <v>0.13228112291076286</v>
      </c>
      <c r="J35" s="17">
        <f t="shared" si="24"/>
        <v>0.15570429404860306</v>
      </c>
    </row>
    <row r="36" spans="2:10" x14ac:dyDescent="0.25">
      <c r="B36" t="s">
        <v>379</v>
      </c>
      <c r="D36" s="20">
        <f t="shared" ref="D36:J36" si="25">D28</f>
        <v>7.5199999999999987</v>
      </c>
      <c r="E36" s="20">
        <f t="shared" si="25"/>
        <v>7.2727272727272725</v>
      </c>
      <c r="F36" s="20">
        <f t="shared" si="25"/>
        <v>6.9836968793749694</v>
      </c>
      <c r="G36" s="20">
        <f t="shared" si="25"/>
        <v>6.7061530391613582</v>
      </c>
      <c r="H36" s="20">
        <f t="shared" si="25"/>
        <v>6.4396392571777969</v>
      </c>
      <c r="I36" s="20">
        <f t="shared" si="25"/>
        <v>6.1837171803898086</v>
      </c>
      <c r="J36" s="20">
        <f t="shared" si="25"/>
        <v>5.9379658766485335</v>
      </c>
    </row>
    <row r="37" spans="2:10" x14ac:dyDescent="0.25">
      <c r="B37" s="8" t="s">
        <v>39</v>
      </c>
      <c r="D37" s="17">
        <f t="shared" ref="D37:J37" si="26">D36/D$40</f>
        <v>0.3133333333333333</v>
      </c>
      <c r="E37" s="17">
        <f t="shared" si="26"/>
        <v>0.30303030303030304</v>
      </c>
      <c r="F37" s="17">
        <f t="shared" si="26"/>
        <v>0.29098736997395708</v>
      </c>
      <c r="G37" s="17">
        <f t="shared" si="26"/>
        <v>0.27942304329838991</v>
      </c>
      <c r="H37" s="17">
        <f t="shared" si="26"/>
        <v>0.26831830238240822</v>
      </c>
      <c r="I37" s="17">
        <f t="shared" si="26"/>
        <v>0.25765488251624202</v>
      </c>
      <c r="J37" s="17">
        <f t="shared" si="26"/>
        <v>0.24741524486035557</v>
      </c>
    </row>
    <row r="38" spans="2:10" x14ac:dyDescent="0.25">
      <c r="B38" s="48" t="s">
        <v>384</v>
      </c>
      <c r="C38" s="48"/>
      <c r="D38" s="49">
        <f t="shared" ref="D38:J38" si="27">D40-D36-D34-D32</f>
        <v>9.8000000000000007</v>
      </c>
      <c r="E38" s="49">
        <f t="shared" si="27"/>
        <v>9.3636363636363633</v>
      </c>
      <c r="F38" s="49">
        <f t="shared" si="27"/>
        <v>8.991509732195281</v>
      </c>
      <c r="G38" s="49">
        <f t="shared" si="27"/>
        <v>8.6341720379202567</v>
      </c>
      <c r="H38" s="49">
        <f t="shared" si="27"/>
        <v>8.2910355436164238</v>
      </c>
      <c r="I38" s="49">
        <f t="shared" si="27"/>
        <v>7.9615358697518825</v>
      </c>
      <c r="J38" s="49">
        <f t="shared" si="27"/>
        <v>7.6451310661849945</v>
      </c>
    </row>
    <row r="39" spans="2:10" x14ac:dyDescent="0.25">
      <c r="B39" s="50" t="s">
        <v>39</v>
      </c>
      <c r="C39" s="51"/>
      <c r="D39" s="52">
        <f t="shared" ref="D39:J39" si="28">D38/D$40</f>
        <v>0.40833333333333338</v>
      </c>
      <c r="E39" s="52">
        <f t="shared" si="28"/>
        <v>0.39015151515151514</v>
      </c>
      <c r="F39" s="52">
        <f t="shared" si="28"/>
        <v>0.37464623884147003</v>
      </c>
      <c r="G39" s="52">
        <f t="shared" si="28"/>
        <v>0.35975716824667736</v>
      </c>
      <c r="H39" s="52">
        <f t="shared" si="28"/>
        <v>0.34545981431735101</v>
      </c>
      <c r="I39" s="52">
        <f t="shared" si="28"/>
        <v>0.33173066123966177</v>
      </c>
      <c r="J39" s="52">
        <f t="shared" si="28"/>
        <v>0.3185471277577081</v>
      </c>
    </row>
    <row r="40" spans="2:10" x14ac:dyDescent="0.25">
      <c r="B40" t="s">
        <v>23</v>
      </c>
      <c r="D40" s="20">
        <f t="shared" ref="D40:J40" si="29">$C$14</f>
        <v>24</v>
      </c>
      <c r="E40" s="20">
        <f t="shared" si="29"/>
        <v>24</v>
      </c>
      <c r="F40" s="20">
        <f t="shared" si="29"/>
        <v>24</v>
      </c>
      <c r="G40" s="20">
        <f t="shared" si="29"/>
        <v>24</v>
      </c>
      <c r="H40" s="20">
        <f t="shared" si="29"/>
        <v>24</v>
      </c>
      <c r="I40" s="20">
        <f t="shared" si="29"/>
        <v>24</v>
      </c>
      <c r="J40" s="20">
        <f t="shared" si="29"/>
        <v>24</v>
      </c>
    </row>
    <row r="41" spans="2:10" x14ac:dyDescent="0.25">
      <c r="B41" t="s">
        <v>383</v>
      </c>
      <c r="D41" s="10">
        <f t="shared" ref="D41:J41" si="30">D8-D23/(D40-D32-D34)</f>
        <v>5.6581986143187081E-2</v>
      </c>
      <c r="E41" s="10">
        <f t="shared" si="30"/>
        <v>5.6284153005464486E-2</v>
      </c>
      <c r="F41" s="10">
        <f t="shared" si="30"/>
        <v>5.62841530054645E-2</v>
      </c>
      <c r="G41" s="10">
        <f t="shared" si="30"/>
        <v>5.6284153005464507E-2</v>
      </c>
      <c r="H41" s="10">
        <f t="shared" si="30"/>
        <v>5.6284153005464507E-2</v>
      </c>
      <c r="I41" s="10">
        <f t="shared" si="30"/>
        <v>5.62841530054645E-2</v>
      </c>
      <c r="J41" s="10">
        <f t="shared" si="30"/>
        <v>5.6284153005464514E-2</v>
      </c>
    </row>
    <row r="42" spans="2:10" x14ac:dyDescent="0.25">
      <c r="B42" t="s">
        <v>49</v>
      </c>
      <c r="D42" s="10">
        <f>E13</f>
        <v>0.13380281690140849</v>
      </c>
      <c r="E42" s="10">
        <f t="shared" ref="E42:J42" si="31">(E21*(1+E41)+E8*E6)/E4-1</f>
        <v>0.12796728099650401</v>
      </c>
      <c r="F42" s="10">
        <f t="shared" si="31"/>
        <v>0.12618994027305441</v>
      </c>
      <c r="G42" s="10">
        <f t="shared" si="31"/>
        <v>0.12456425678236793</v>
      </c>
      <c r="H42" s="10">
        <f t="shared" si="31"/>
        <v>0.12307279020570361</v>
      </c>
      <c r="I42" s="10">
        <f t="shared" si="31"/>
        <v>0.12170066167789573</v>
      </c>
      <c r="J42" s="10">
        <f t="shared" si="31"/>
        <v>0.12043509986506229</v>
      </c>
    </row>
    <row r="44" spans="2:10" s="28" customFormat="1" ht="19.5" customHeight="1" x14ac:dyDescent="0.25">
      <c r="B44" s="26" t="s">
        <v>385</v>
      </c>
      <c r="C44" s="27" t="str">
        <f t="shared" ref="C44:J44" si="32">C$2</f>
        <v>2009A</v>
      </c>
      <c r="D44" s="27" t="str">
        <f t="shared" si="32"/>
        <v>2010E</v>
      </c>
      <c r="E44" s="27" t="str">
        <f t="shared" si="32"/>
        <v>2011E</v>
      </c>
      <c r="F44" s="27" t="str">
        <f t="shared" si="32"/>
        <v>2012PE</v>
      </c>
      <c r="G44" s="27" t="str">
        <f t="shared" si="32"/>
        <v>2013PE</v>
      </c>
      <c r="H44" s="27" t="str">
        <f t="shared" si="32"/>
        <v>2014PE</v>
      </c>
      <c r="I44" s="27" t="str">
        <f t="shared" si="32"/>
        <v>2015PE</v>
      </c>
      <c r="J44" s="27" t="str">
        <f t="shared" si="32"/>
        <v>2016PE</v>
      </c>
    </row>
    <row r="45" spans="2:10" x14ac:dyDescent="0.25">
      <c r="B45" t="s">
        <v>386</v>
      </c>
      <c r="D45" s="20"/>
      <c r="E45" s="10">
        <f t="shared" ref="E45:J45" si="33">D42</f>
        <v>0.13380281690140849</v>
      </c>
      <c r="F45" s="10">
        <f t="shared" si="33"/>
        <v>0.12796728099650401</v>
      </c>
      <c r="G45" s="10">
        <f t="shared" si="33"/>
        <v>0.12618994027305441</v>
      </c>
      <c r="H45" s="10">
        <f t="shared" si="33"/>
        <v>0.12456425678236793</v>
      </c>
      <c r="I45" s="10">
        <f t="shared" si="33"/>
        <v>0.12307279020570361</v>
      </c>
      <c r="J45" s="10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88"/>
  <sheetViews>
    <sheetView showGridLines="0" topLeftCell="A28" zoomScaleNormal="100" workbookViewId="0">
      <selection activeCell="E74" sqref="E74"/>
    </sheetView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  <col min="12" max="12" width="12" bestFit="1" customWidth="1"/>
    <col min="15" max="15" width="11.28515625" bestFit="1" customWidth="1"/>
  </cols>
  <sheetData>
    <row r="1" spans="1:9" ht="25.5" customHeight="1" x14ac:dyDescent="0.25">
      <c r="A1" s="53" t="s">
        <v>1</v>
      </c>
      <c r="B1" s="16"/>
    </row>
    <row r="2" spans="1:9" x14ac:dyDescent="0.25">
      <c r="A2" s="54" t="s">
        <v>0</v>
      </c>
      <c r="B2" s="15">
        <v>100</v>
      </c>
    </row>
    <row r="3" spans="1:9" x14ac:dyDescent="0.25">
      <c r="A3" s="54" t="s">
        <v>401</v>
      </c>
      <c r="B3" s="5">
        <v>0.5</v>
      </c>
    </row>
    <row r="4" spans="1:9" x14ac:dyDescent="0.25">
      <c r="A4" s="54" t="s">
        <v>2</v>
      </c>
      <c r="B4" s="11">
        <v>0.06</v>
      </c>
    </row>
    <row r="5" spans="1:9" x14ac:dyDescent="0.25">
      <c r="A5" s="54" t="s">
        <v>9</v>
      </c>
      <c r="B5" s="11">
        <v>0</v>
      </c>
    </row>
    <row r="6" spans="1:9" x14ac:dyDescent="0.25">
      <c r="A6" s="54" t="s">
        <v>5</v>
      </c>
      <c r="B6" s="11">
        <v>0.05</v>
      </c>
    </row>
    <row r="7" spans="1:9" x14ac:dyDescent="0.25">
      <c r="A7" s="54" t="s">
        <v>6</v>
      </c>
      <c r="B7" s="11">
        <v>0</v>
      </c>
    </row>
    <row r="8" spans="1:9" x14ac:dyDescent="0.25">
      <c r="A8" s="54" t="s">
        <v>400</v>
      </c>
      <c r="B8" s="59">
        <f>B6+B7</f>
        <v>0.05</v>
      </c>
    </row>
    <row r="9" spans="1:9" x14ac:dyDescent="0.25">
      <c r="A9" s="54"/>
      <c r="B9" s="3"/>
    </row>
    <row r="10" spans="1:9" ht="20.100000000000001" customHeight="1" x14ac:dyDescent="0.25">
      <c r="A10" s="55" t="s">
        <v>11</v>
      </c>
      <c r="B10" s="13"/>
      <c r="C10" s="13"/>
      <c r="D10" s="4">
        <v>2010</v>
      </c>
      <c r="E10" s="4">
        <v>2011</v>
      </c>
      <c r="F10" s="4">
        <v>2012</v>
      </c>
      <c r="G10" s="4">
        <v>2013</v>
      </c>
      <c r="H10" s="4">
        <v>2014</v>
      </c>
      <c r="I10" s="4">
        <v>2015</v>
      </c>
    </row>
    <row r="11" spans="1:9" x14ac:dyDescent="0.25">
      <c r="A11" s="8" t="s">
        <v>7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s="8" t="s">
        <v>400</v>
      </c>
      <c r="D12" s="14">
        <v>0.05</v>
      </c>
      <c r="E12" s="14">
        <v>0.05</v>
      </c>
      <c r="F12" s="14">
        <v>0.05</v>
      </c>
      <c r="G12" s="14">
        <v>0.05</v>
      </c>
      <c r="H12" s="14">
        <v>0.05</v>
      </c>
      <c r="I12" s="14">
        <v>0.05</v>
      </c>
    </row>
    <row r="13" spans="1:9" x14ac:dyDescent="0.25">
      <c r="A13" s="8" t="s">
        <v>8</v>
      </c>
      <c r="D13" s="10">
        <f t="shared" ref="D13:I13" si="0">1/(1+D12)^D11</f>
        <v>1</v>
      </c>
      <c r="E13" s="10">
        <f t="shared" si="0"/>
        <v>0.95238095238095233</v>
      </c>
      <c r="F13" s="10">
        <f t="shared" si="0"/>
        <v>0.90702947845804982</v>
      </c>
      <c r="G13" s="10">
        <f t="shared" si="0"/>
        <v>0.86383759853147601</v>
      </c>
      <c r="H13" s="10">
        <f t="shared" si="0"/>
        <v>0.82270247479188197</v>
      </c>
      <c r="I13" s="10">
        <f t="shared" si="0"/>
        <v>0.78352616646845896</v>
      </c>
    </row>
    <row r="14" spans="1:9" x14ac:dyDescent="0.25">
      <c r="A14" s="8" t="s">
        <v>398</v>
      </c>
      <c r="D14" s="10"/>
      <c r="E14" s="10">
        <f>D13</f>
        <v>1</v>
      </c>
      <c r="F14" s="10">
        <f>E13</f>
        <v>0.95238095238095233</v>
      </c>
      <c r="G14" s="10">
        <f>F13</f>
        <v>0.90702947845804982</v>
      </c>
      <c r="H14" s="10">
        <f>G13</f>
        <v>0.86383759853147601</v>
      </c>
      <c r="I14" s="10">
        <f>H13</f>
        <v>0.82270247479188197</v>
      </c>
    </row>
    <row r="15" spans="1:9" x14ac:dyDescent="0.25">
      <c r="A15" s="56" t="s">
        <v>2</v>
      </c>
      <c r="D15" s="14">
        <v>0.06</v>
      </c>
      <c r="E15" s="14">
        <v>0.06</v>
      </c>
      <c r="F15" s="14">
        <v>0.06</v>
      </c>
      <c r="G15" s="14">
        <v>0.06</v>
      </c>
      <c r="H15" s="14">
        <v>0.06</v>
      </c>
      <c r="I15" s="14">
        <v>0.06</v>
      </c>
    </row>
    <row r="16" spans="1:9" x14ac:dyDescent="0.25">
      <c r="A16" s="54"/>
      <c r="B16" s="3"/>
    </row>
    <row r="17" spans="1:16" ht="20.100000000000001" customHeight="1" x14ac:dyDescent="0.25">
      <c r="A17" s="55" t="s">
        <v>12</v>
      </c>
      <c r="B17" s="13"/>
      <c r="C17" s="13"/>
      <c r="D17" s="4">
        <v>2010</v>
      </c>
      <c r="E17" s="4">
        <v>2011</v>
      </c>
      <c r="F17" s="4">
        <v>2012</v>
      </c>
      <c r="G17" s="4">
        <v>2013</v>
      </c>
      <c r="H17" s="4">
        <v>2014</v>
      </c>
      <c r="I17" s="4">
        <v>2015</v>
      </c>
    </row>
    <row r="18" spans="1:16" x14ac:dyDescent="0.25">
      <c r="A18" s="8" t="s">
        <v>402</v>
      </c>
      <c r="E18" s="1">
        <f>D21</f>
        <v>100</v>
      </c>
      <c r="F18" s="1">
        <f>E21</f>
        <v>103</v>
      </c>
      <c r="G18" s="1">
        <f>F21</f>
        <v>106.09</v>
      </c>
      <c r="H18" s="1">
        <f>G21</f>
        <v>109.2727</v>
      </c>
      <c r="I18" s="1">
        <f>H21</f>
        <v>112.55088099999999</v>
      </c>
    </row>
    <row r="19" spans="1:16" x14ac:dyDescent="0.25">
      <c r="A19" s="8" t="s">
        <v>3</v>
      </c>
      <c r="E19" s="1">
        <f>E15*E18</f>
        <v>6</v>
      </c>
      <c r="F19" s="1">
        <f>F15*F18</f>
        <v>6.18</v>
      </c>
      <c r="G19" s="1">
        <f>G15*G18</f>
        <v>6.3654000000000002</v>
      </c>
      <c r="H19" s="1">
        <f>H15*H18</f>
        <v>6.556362</v>
      </c>
      <c r="I19" s="1">
        <f>I15*I18</f>
        <v>6.7530528599999995</v>
      </c>
      <c r="J19" s="1"/>
      <c r="K19" s="1"/>
      <c r="L19" s="78"/>
      <c r="P19" s="2"/>
    </row>
    <row r="20" spans="1:16" x14ac:dyDescent="0.25">
      <c r="A20" s="57" t="s">
        <v>4</v>
      </c>
      <c r="B20" s="6"/>
      <c r="C20" s="6"/>
      <c r="D20" s="6"/>
      <c r="E20" s="7">
        <f>E19*$B$3</f>
        <v>3</v>
      </c>
      <c r="F20" s="7">
        <f>F19*$B$3</f>
        <v>3.09</v>
      </c>
      <c r="G20" s="7">
        <f>G19*$B$3</f>
        <v>3.1827000000000001</v>
      </c>
      <c r="H20" s="7">
        <f>H19*$B$3</f>
        <v>3.278181</v>
      </c>
      <c r="I20" s="7">
        <f>I19*$B$3</f>
        <v>3.3765264299999997</v>
      </c>
      <c r="K20" s="1"/>
    </row>
    <row r="21" spans="1:16" x14ac:dyDescent="0.25">
      <c r="A21" s="8" t="s">
        <v>403</v>
      </c>
      <c r="D21" s="1">
        <v>100</v>
      </c>
      <c r="E21" s="60">
        <f>E18+E19-E20</f>
        <v>103</v>
      </c>
      <c r="F21" s="60">
        <f>F18+F19-F20</f>
        <v>106.09</v>
      </c>
      <c r="G21" s="60">
        <f>G18+G19-G20</f>
        <v>109.2727</v>
      </c>
      <c r="H21" s="60">
        <f>H18+H19-H20</f>
        <v>112.55088099999999</v>
      </c>
      <c r="I21" s="60">
        <f>I18+I19-I20</f>
        <v>115.92740742999999</v>
      </c>
      <c r="K21" s="1"/>
      <c r="L21" s="1"/>
    </row>
    <row r="22" spans="1:16" x14ac:dyDescent="0.25">
      <c r="D22" s="1"/>
      <c r="E22" s="1"/>
      <c r="F22" s="1"/>
      <c r="G22" s="1"/>
      <c r="H22" s="1"/>
      <c r="I22" s="1"/>
      <c r="K22" s="1"/>
    </row>
    <row r="23" spans="1:16" x14ac:dyDescent="0.25">
      <c r="A23" s="8" t="s">
        <v>389</v>
      </c>
      <c r="D23" s="1"/>
      <c r="E23" s="1">
        <f>E$20</f>
        <v>3</v>
      </c>
      <c r="F23" s="1">
        <f>E23*(1+F$12)</f>
        <v>3.1500000000000004</v>
      </c>
      <c r="G23" s="1">
        <f>F23*(1+G$12)</f>
        <v>3.3075000000000006</v>
      </c>
      <c r="H23" s="1">
        <f>G23*(1+H$12)</f>
        <v>3.4728750000000006</v>
      </c>
      <c r="I23" s="1">
        <f>H23*(1+I$12)</f>
        <v>3.6465187500000007</v>
      </c>
      <c r="K23" s="1"/>
    </row>
    <row r="24" spans="1:16" x14ac:dyDescent="0.25">
      <c r="A24" s="8" t="s">
        <v>390</v>
      </c>
      <c r="D24" s="1"/>
      <c r="E24" s="1"/>
      <c r="F24" s="1">
        <f>F$20</f>
        <v>3.09</v>
      </c>
      <c r="G24" s="1">
        <f>F24*(1+G$12)</f>
        <v>3.2444999999999999</v>
      </c>
      <c r="H24" s="1">
        <f>G24*(1+H$12)</f>
        <v>3.4067250000000002</v>
      </c>
      <c r="I24" s="1">
        <f>H24*(1+I$12)</f>
        <v>3.5770612500000003</v>
      </c>
    </row>
    <row r="25" spans="1:16" x14ac:dyDescent="0.25">
      <c r="A25" s="8" t="s">
        <v>391</v>
      </c>
      <c r="D25" s="1"/>
      <c r="E25" s="1"/>
      <c r="F25" s="1"/>
      <c r="G25" s="1">
        <f>G$20</f>
        <v>3.1827000000000001</v>
      </c>
      <c r="H25" s="1">
        <f>G25*(1+H$12)</f>
        <v>3.3418350000000001</v>
      </c>
      <c r="I25" s="1">
        <f>H25*(1+I$12)</f>
        <v>3.5089267500000001</v>
      </c>
      <c r="K25" s="1"/>
    </row>
    <row r="26" spans="1:16" x14ac:dyDescent="0.25">
      <c r="A26" s="8" t="s">
        <v>392</v>
      </c>
      <c r="D26" s="1"/>
      <c r="E26" s="1"/>
      <c r="F26" s="1"/>
      <c r="G26" s="1"/>
      <c r="H26" s="1">
        <f>H$20</f>
        <v>3.278181</v>
      </c>
      <c r="I26" s="1">
        <f>H26*(1+I$12)</f>
        <v>3.44209005</v>
      </c>
      <c r="J26" s="1"/>
      <c r="K26" s="1"/>
    </row>
    <row r="27" spans="1:16" x14ac:dyDescent="0.25">
      <c r="A27" s="57" t="s">
        <v>393</v>
      </c>
      <c r="B27" s="6"/>
      <c r="C27" s="6"/>
      <c r="D27" s="7"/>
      <c r="E27" s="7"/>
      <c r="F27" s="7"/>
      <c r="G27" s="7"/>
      <c r="H27" s="7"/>
      <c r="I27" s="7">
        <f>I$20</f>
        <v>3.3765264299999997</v>
      </c>
      <c r="K27" s="1"/>
    </row>
    <row r="28" spans="1:16" x14ac:dyDescent="0.25">
      <c r="A28" s="8" t="s">
        <v>394</v>
      </c>
      <c r="D28" s="1"/>
      <c r="E28" s="1">
        <f>SUM(E23:E27)</f>
        <v>3</v>
      </c>
      <c r="F28" s="1">
        <f>SUM(F23:F27)</f>
        <v>6.24</v>
      </c>
      <c r="G28" s="1">
        <f>SUM(G23:G27)</f>
        <v>9.7347000000000001</v>
      </c>
      <c r="H28" s="1">
        <f>SUM(H23:H27)</f>
        <v>13.499616000000001</v>
      </c>
      <c r="I28" s="1">
        <f>SUM(I23:I27)</f>
        <v>17.551123229999998</v>
      </c>
      <c r="J28" s="1"/>
      <c r="K28" s="1"/>
    </row>
    <row r="29" spans="1:16" x14ac:dyDescent="0.25">
      <c r="D29" s="1"/>
      <c r="E29" s="1"/>
      <c r="F29" s="1"/>
      <c r="G29" s="1"/>
      <c r="H29" s="1"/>
      <c r="I29" s="1"/>
      <c r="J29" s="1"/>
    </row>
    <row r="30" spans="1:16" x14ac:dyDescent="0.25">
      <c r="A30" s="8" t="s">
        <v>396</v>
      </c>
      <c r="D30" s="1"/>
      <c r="E30" s="1">
        <f>E21*E13</f>
        <v>98.095238095238088</v>
      </c>
      <c r="F30" s="1">
        <f>F21*F13</f>
        <v>96.226757369614504</v>
      </c>
      <c r="G30" s="1">
        <f>G21*G13</f>
        <v>94.393866753050418</v>
      </c>
      <c r="H30" s="1">
        <f>H21*H13</f>
        <v>92.595888338706601</v>
      </c>
      <c r="I30" s="1">
        <f>I21*I13</f>
        <v>90.832157132255034</v>
      </c>
      <c r="J30" s="1"/>
      <c r="K30" s="1"/>
    </row>
    <row r="31" spans="1:16" x14ac:dyDescent="0.25">
      <c r="A31" s="8" t="s">
        <v>395</v>
      </c>
      <c r="D31" s="1"/>
      <c r="E31" s="1">
        <f>E28*E13</f>
        <v>2.8571428571428568</v>
      </c>
      <c r="F31" s="1">
        <f>F28*F13</f>
        <v>5.6598639455782314</v>
      </c>
      <c r="G31" s="1">
        <f>G28*G13</f>
        <v>8.4091998704243593</v>
      </c>
      <c r="H31" s="1">
        <f>H28*H13</f>
        <v>11.106167491940088</v>
      </c>
      <c r="I31" s="1">
        <f>I28*I13</f>
        <v>13.751764301617415</v>
      </c>
      <c r="J31" s="1"/>
      <c r="K31" s="1"/>
    </row>
    <row r="32" spans="1:16" x14ac:dyDescent="0.25">
      <c r="A32" s="61" t="s">
        <v>404</v>
      </c>
      <c r="B32" s="62"/>
      <c r="C32" s="62"/>
      <c r="D32" s="63">
        <f>D$21</f>
        <v>100</v>
      </c>
      <c r="E32" s="63">
        <f>SUM(E30:E31)</f>
        <v>100.95238095238095</v>
      </c>
      <c r="F32" s="63">
        <f>SUM(F30:F31)</f>
        <v>101.88662131519274</v>
      </c>
      <c r="G32" s="63">
        <f>SUM(G30:G31)</f>
        <v>102.80306662347478</v>
      </c>
      <c r="H32" s="63">
        <f>SUM(H30:H31)</f>
        <v>103.70205583064669</v>
      </c>
      <c r="I32" s="63">
        <f>SUM(I30:I31)</f>
        <v>104.58392143387245</v>
      </c>
      <c r="O32" s="77"/>
    </row>
    <row r="33" spans="1:16384" x14ac:dyDescent="0.25">
      <c r="D33" s="1"/>
      <c r="E33" s="1"/>
      <c r="F33" s="1"/>
      <c r="G33" s="1"/>
      <c r="H33" s="1"/>
      <c r="I33" s="1"/>
      <c r="K33" s="1"/>
      <c r="L33" s="1"/>
    </row>
    <row r="34" spans="1:16384" x14ac:dyDescent="0.25">
      <c r="A34" s="8" t="s">
        <v>387</v>
      </c>
      <c r="B34" s="3"/>
      <c r="F34" s="10">
        <f>F19/E19-1</f>
        <v>3.0000000000000027E-2</v>
      </c>
      <c r="G34" s="10">
        <f>G19/F19-1</f>
        <v>3.0000000000000027E-2</v>
      </c>
      <c r="H34" s="10">
        <f>H19/G19-1</f>
        <v>3.0000000000000027E-2</v>
      </c>
      <c r="I34" s="10">
        <f>I19/H19-1</f>
        <v>3.0000000000000027E-2</v>
      </c>
      <c r="K34" s="10"/>
      <c r="L34" s="1"/>
    </row>
    <row r="35" spans="1:16384" x14ac:dyDescent="0.25">
      <c r="A35" s="8" t="s">
        <v>399</v>
      </c>
      <c r="B35" s="3"/>
      <c r="F35" s="10">
        <f>IFERROR(F20/E20-1,0)</f>
        <v>3.0000000000000027E-2</v>
      </c>
      <c r="G35" s="10">
        <f>IFERROR(G20/F20-1,0)</f>
        <v>3.0000000000000027E-2</v>
      </c>
      <c r="H35" s="10">
        <f>IFERROR(H20/G20-1,0)</f>
        <v>3.0000000000000027E-2</v>
      </c>
      <c r="I35" s="10">
        <f>IFERROR(I20/H20-1,0)</f>
        <v>3.0000000000000027E-2</v>
      </c>
      <c r="K35" s="10"/>
      <c r="L35" s="1"/>
    </row>
    <row r="36" spans="1:16384" x14ac:dyDescent="0.25">
      <c r="A36" s="8" t="s">
        <v>388</v>
      </c>
      <c r="B36" s="3"/>
      <c r="E36" s="10">
        <f>E21/D21-1</f>
        <v>3.0000000000000027E-2</v>
      </c>
      <c r="F36" s="10">
        <f>F21/E21-1</f>
        <v>3.0000000000000027E-2</v>
      </c>
      <c r="G36" s="10">
        <f>G21/F21-1</f>
        <v>3.0000000000000027E-2</v>
      </c>
      <c r="H36" s="10">
        <f>H21/G21-1</f>
        <v>2.9999999999999805E-2</v>
      </c>
      <c r="I36" s="10">
        <f>I21/H21-1</f>
        <v>3.0000000000000027E-2</v>
      </c>
      <c r="O36" s="1"/>
    </row>
    <row r="37" spans="1:16384" x14ac:dyDescent="0.25">
      <c r="A37" s="54"/>
      <c r="B37" s="3"/>
      <c r="O37" s="78"/>
    </row>
    <row r="38" spans="1:16384" ht="20.100000000000001" customHeight="1" x14ac:dyDescent="0.25">
      <c r="A38" s="55" t="s">
        <v>397</v>
      </c>
      <c r="B38" s="13"/>
      <c r="C38" s="13"/>
      <c r="D38" s="4">
        <v>2010</v>
      </c>
      <c r="E38" s="4">
        <v>2011</v>
      </c>
      <c r="F38" s="4">
        <v>2012</v>
      </c>
      <c r="G38" s="4">
        <v>2013</v>
      </c>
      <c r="H38" s="4">
        <v>2014</v>
      </c>
      <c r="I38" s="4">
        <v>2015</v>
      </c>
    </row>
    <row r="39" spans="1:16384" x14ac:dyDescent="0.25">
      <c r="A39" s="8" t="s">
        <v>405</v>
      </c>
      <c r="E39" s="1">
        <f>E20*E13</f>
        <v>2.8571428571428568</v>
      </c>
      <c r="F39" s="1">
        <f>F20*F13</f>
        <v>2.8027210884353737</v>
      </c>
      <c r="G39" s="1">
        <f>G20*G13</f>
        <v>2.7493359248461289</v>
      </c>
      <c r="H39" s="1">
        <f>H20*H13</f>
        <v>2.6969676215157263</v>
      </c>
      <c r="I39" s="1">
        <f>I20*I13</f>
        <v>2.6455968096773312</v>
      </c>
    </row>
    <row r="40" spans="1:16384" x14ac:dyDescent="0.25">
      <c r="A40" s="8" t="s">
        <v>406</v>
      </c>
      <c r="E40" s="1">
        <f>SUM($E39:E39)</f>
        <v>2.8571428571428568</v>
      </c>
      <c r="F40" s="1">
        <f>SUM($E39:F39)</f>
        <v>5.6598639455782305</v>
      </c>
      <c r="G40" s="1">
        <f>SUM($E39:G39)</f>
        <v>8.4091998704243593</v>
      </c>
      <c r="H40" s="1">
        <f>SUM($E39:H39)</f>
        <v>11.106167491940086</v>
      </c>
      <c r="I40" s="1">
        <f>SUM($E39:I39)</f>
        <v>13.751764301617417</v>
      </c>
    </row>
    <row r="41" spans="1:16384" x14ac:dyDescent="0.25">
      <c r="A41" s="8" t="s">
        <v>403</v>
      </c>
      <c r="E41" s="60">
        <f>E21</f>
        <v>103</v>
      </c>
      <c r="F41" s="60">
        <f>F21</f>
        <v>106.09</v>
      </c>
      <c r="G41" s="60">
        <f>G21</f>
        <v>109.2727</v>
      </c>
      <c r="H41" s="60">
        <f>H21</f>
        <v>112.55088099999999</v>
      </c>
      <c r="I41" s="60">
        <f>I21</f>
        <v>115.92740742999999</v>
      </c>
    </row>
    <row r="42" spans="1:16384" x14ac:dyDescent="0.25">
      <c r="A42" s="8" t="s">
        <v>407</v>
      </c>
      <c r="E42" s="1">
        <f>E41*E13</f>
        <v>98.095238095238088</v>
      </c>
      <c r="F42" s="1">
        <f>F41*F13</f>
        <v>96.226757369614504</v>
      </c>
      <c r="G42" s="1">
        <f>G41*G13</f>
        <v>94.393866753050418</v>
      </c>
      <c r="H42" s="1">
        <f>H41*H13</f>
        <v>92.595888338706601</v>
      </c>
      <c r="I42" s="1">
        <f>I41*I13</f>
        <v>90.832157132255034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x14ac:dyDescent="0.25">
      <c r="A43" s="61" t="s">
        <v>404</v>
      </c>
      <c r="B43" s="62"/>
      <c r="C43" s="62"/>
      <c r="D43" s="63">
        <f>D$21</f>
        <v>100</v>
      </c>
      <c r="E43" s="63">
        <f>E40+E42</f>
        <v>100.95238095238095</v>
      </c>
      <c r="F43" s="63">
        <f>F40+F42</f>
        <v>101.88662131519274</v>
      </c>
      <c r="G43" s="63">
        <f>G40+G42</f>
        <v>102.80306662347478</v>
      </c>
      <c r="H43" s="63">
        <f>H40+H42</f>
        <v>103.70205583064669</v>
      </c>
      <c r="I43" s="63">
        <f>I40+I42</f>
        <v>104.58392143387245</v>
      </c>
    </row>
    <row r="44" spans="1:16384" x14ac:dyDescent="0.25">
      <c r="E44" s="1"/>
      <c r="F44" s="1"/>
      <c r="G44" s="1"/>
      <c r="H44" s="1"/>
      <c r="I44" s="1"/>
    </row>
    <row r="45" spans="1:16384" ht="20.100000000000001" customHeight="1" x14ac:dyDescent="0.25">
      <c r="A45" s="55" t="s">
        <v>412</v>
      </c>
      <c r="B45" s="13"/>
      <c r="C45" s="13"/>
      <c r="D45" s="4">
        <v>2010</v>
      </c>
      <c r="E45" s="4">
        <v>2011</v>
      </c>
      <c r="F45" s="4">
        <v>2012</v>
      </c>
      <c r="G45" s="4">
        <v>2013</v>
      </c>
      <c r="H45" s="4">
        <v>2014</v>
      </c>
      <c r="I45" s="4">
        <v>2015</v>
      </c>
    </row>
    <row r="46" spans="1:16384" ht="15" customHeight="1" x14ac:dyDescent="0.25">
      <c r="A46" s="58" t="s">
        <v>2</v>
      </c>
      <c r="B46" s="9"/>
      <c r="C46" s="9"/>
      <c r="D46" s="1"/>
      <c r="E46" s="12">
        <f>E19/E18</f>
        <v>0.06</v>
      </c>
      <c r="F46" s="12">
        <f>F19/F18</f>
        <v>0.06</v>
      </c>
      <c r="G46" s="12">
        <f>G19/G18</f>
        <v>0.06</v>
      </c>
      <c r="H46" s="12">
        <f>H19/H18</f>
        <v>0.06</v>
      </c>
      <c r="I46" s="12">
        <f>I19/I18</f>
        <v>0.06</v>
      </c>
    </row>
    <row r="47" spans="1:16384" ht="15" customHeight="1" x14ac:dyDescent="0.25">
      <c r="A47" s="58" t="s">
        <v>400</v>
      </c>
      <c r="B47" s="9"/>
      <c r="C47" s="9"/>
      <c r="D47" s="1"/>
      <c r="E47" s="12">
        <f>E$12</f>
        <v>0.05</v>
      </c>
      <c r="F47" s="12">
        <f>F$12</f>
        <v>0.05</v>
      </c>
      <c r="G47" s="12">
        <f>G$12</f>
        <v>0.05</v>
      </c>
      <c r="H47" s="12">
        <f>H$12</f>
        <v>0.05</v>
      </c>
      <c r="I47" s="12">
        <f>I$12</f>
        <v>0.05</v>
      </c>
    </row>
    <row r="48" spans="1:16384" ht="15" customHeight="1" x14ac:dyDescent="0.25">
      <c r="A48" s="58" t="s">
        <v>417</v>
      </c>
      <c r="B48" s="9"/>
      <c r="C48" s="9"/>
      <c r="D48" s="1"/>
      <c r="E48" s="12">
        <f>E46-E47</f>
        <v>9.999999999999995E-3</v>
      </c>
      <c r="F48" s="12">
        <f>F46-F47</f>
        <v>9.999999999999995E-3</v>
      </c>
      <c r="G48" s="12">
        <f>G46-G47</f>
        <v>9.999999999999995E-3</v>
      </c>
      <c r="H48" s="12">
        <f>H46-H47</f>
        <v>9.999999999999995E-3</v>
      </c>
      <c r="I48" s="12">
        <f>I46-I47</f>
        <v>9.999999999999995E-3</v>
      </c>
    </row>
    <row r="49" spans="1:9" ht="15" customHeight="1" x14ac:dyDescent="0.25">
      <c r="A49" s="58" t="s">
        <v>402</v>
      </c>
      <c r="B49" s="9"/>
      <c r="C49" s="9"/>
      <c r="D49" s="1"/>
      <c r="E49" s="1">
        <f>D$21</f>
        <v>100</v>
      </c>
      <c r="F49" s="1">
        <f>E$21</f>
        <v>103</v>
      </c>
      <c r="G49" s="1">
        <f>F$21</f>
        <v>106.09</v>
      </c>
      <c r="H49" s="1">
        <f>G$21</f>
        <v>109.2727</v>
      </c>
      <c r="I49" s="1">
        <f>H$21</f>
        <v>112.55088099999999</v>
      </c>
    </row>
    <row r="50" spans="1:9" ht="15" customHeight="1" x14ac:dyDescent="0.25">
      <c r="A50" s="58" t="s">
        <v>411</v>
      </c>
      <c r="B50" s="9"/>
      <c r="C50" s="9"/>
      <c r="D50" s="1"/>
      <c r="E50" s="1">
        <f>E48*E49</f>
        <v>0.99999999999999956</v>
      </c>
      <c r="F50" s="1">
        <f>F48*F49</f>
        <v>1.0299999999999996</v>
      </c>
      <c r="G50" s="1">
        <f>G48*G49</f>
        <v>1.0608999999999995</v>
      </c>
      <c r="H50" s="1">
        <f>H48*H49</f>
        <v>1.0927269999999996</v>
      </c>
      <c r="I50" s="1">
        <f>I48*I49</f>
        <v>1.1255088099999992</v>
      </c>
    </row>
    <row r="51" spans="1:9" x14ac:dyDescent="0.25">
      <c r="A51" s="8" t="s">
        <v>8</v>
      </c>
      <c r="D51" s="10">
        <f t="shared" ref="D51:I51" si="1">D$13</f>
        <v>1</v>
      </c>
      <c r="E51" s="10">
        <f t="shared" si="1"/>
        <v>0.95238095238095233</v>
      </c>
      <c r="F51" s="10">
        <f t="shared" si="1"/>
        <v>0.90702947845804982</v>
      </c>
      <c r="G51" s="10">
        <f t="shared" si="1"/>
        <v>0.86383759853147601</v>
      </c>
      <c r="H51" s="10">
        <f t="shared" si="1"/>
        <v>0.82270247479188197</v>
      </c>
      <c r="I51" s="10">
        <f t="shared" si="1"/>
        <v>0.78352616646845896</v>
      </c>
    </row>
    <row r="52" spans="1:9" x14ac:dyDescent="0.25">
      <c r="A52" s="8" t="s">
        <v>398</v>
      </c>
      <c r="D52" s="10"/>
      <c r="E52" s="10">
        <f>D$13</f>
        <v>1</v>
      </c>
      <c r="F52" s="10">
        <f>E$13</f>
        <v>0.95238095238095233</v>
      </c>
      <c r="G52" s="10">
        <f>F$13</f>
        <v>0.90702947845804982</v>
      </c>
      <c r="H52" s="10">
        <f>G$13</f>
        <v>0.86383759853147601</v>
      </c>
      <c r="I52" s="10">
        <f>H$13</f>
        <v>0.82270247479188197</v>
      </c>
    </row>
    <row r="53" spans="1:9" x14ac:dyDescent="0.25">
      <c r="A53" s="8" t="s">
        <v>421</v>
      </c>
      <c r="E53" s="1">
        <f>E50*E51</f>
        <v>0.95238095238095188</v>
      </c>
      <c r="F53" s="1">
        <f>F50*F51</f>
        <v>0.9342403628117909</v>
      </c>
      <c r="G53" s="1">
        <f>G50*G51</f>
        <v>0.91644530828204251</v>
      </c>
      <c r="H53" s="1">
        <f>H50*H51</f>
        <v>0.89898920717190844</v>
      </c>
      <c r="I53" s="1">
        <f>I50*I51</f>
        <v>0.88186560322577656</v>
      </c>
    </row>
    <row r="54" spans="1:9" x14ac:dyDescent="0.25">
      <c r="A54" s="8" t="s">
        <v>422</v>
      </c>
      <c r="E54" s="1">
        <f>SUM($D53:D53)</f>
        <v>0</v>
      </c>
      <c r="F54" s="1">
        <f>SUM($D53:E53)</f>
        <v>0.95238095238095188</v>
      </c>
      <c r="G54" s="1">
        <f>SUM($D53:F53)</f>
        <v>1.8866213151927429</v>
      </c>
      <c r="H54" s="1">
        <f>SUM($D53:G53)</f>
        <v>2.8030666234747854</v>
      </c>
      <c r="I54" s="1">
        <f>SUM($D53:H53)</f>
        <v>3.7020558306466937</v>
      </c>
    </row>
    <row r="55" spans="1:9" x14ac:dyDescent="0.25">
      <c r="A55" s="8" t="s">
        <v>408</v>
      </c>
      <c r="E55" s="64">
        <f>1/($B$8-$B$5)</f>
        <v>20</v>
      </c>
      <c r="F55" s="64">
        <f>1/($B$8-$B$5)</f>
        <v>20</v>
      </c>
      <c r="G55" s="64">
        <f>1/($B$8-$B$5)</f>
        <v>20</v>
      </c>
      <c r="H55" s="64">
        <f>1/($B$8-$B$5)</f>
        <v>20</v>
      </c>
      <c r="I55" s="64">
        <f>1/($B$8-$B$5)</f>
        <v>20</v>
      </c>
    </row>
    <row r="56" spans="1:9" x14ac:dyDescent="0.25">
      <c r="A56" s="8" t="s">
        <v>423</v>
      </c>
      <c r="E56" s="1">
        <f>E50*E55*E52</f>
        <v>19.999999999999993</v>
      </c>
      <c r="F56" s="1">
        <f>F50*F55*F52</f>
        <v>19.61904761904761</v>
      </c>
      <c r="G56" s="1">
        <f>G50*G55*G52</f>
        <v>19.245351473922891</v>
      </c>
      <c r="H56" s="1">
        <f>H50*H55*H52</f>
        <v>18.878773350610079</v>
      </c>
      <c r="I56" s="1">
        <f>I50*I55*I52</f>
        <v>18.51917766774131</v>
      </c>
    </row>
    <row r="57" spans="1:9" x14ac:dyDescent="0.25">
      <c r="A57" s="61" t="s">
        <v>410</v>
      </c>
      <c r="B57" s="62"/>
      <c r="C57" s="62"/>
      <c r="D57" s="62"/>
      <c r="E57" s="63">
        <f>$D$21+E54+E56</f>
        <v>120</v>
      </c>
      <c r="F57" s="63">
        <f>$D$21+F54+F56</f>
        <v>120.57142857142856</v>
      </c>
      <c r="G57" s="63">
        <f>$D$21+G54+G56</f>
        <v>121.13197278911564</v>
      </c>
      <c r="H57" s="63">
        <f>$D$21+H54+H56</f>
        <v>121.68183997408487</v>
      </c>
      <c r="I57" s="63">
        <f>$D$21+I54+I56</f>
        <v>122.22123349838802</v>
      </c>
    </row>
    <row r="58" spans="1:9" x14ac:dyDescent="0.25">
      <c r="A58" s="54"/>
    </row>
    <row r="59" spans="1:9" ht="20.100000000000001" customHeight="1" x14ac:dyDescent="0.25">
      <c r="A59" s="55" t="s">
        <v>415</v>
      </c>
      <c r="B59" s="13"/>
      <c r="C59" s="13"/>
      <c r="D59" s="4">
        <v>2010</v>
      </c>
      <c r="E59" s="4">
        <v>2011</v>
      </c>
      <c r="F59" s="4">
        <v>2012</v>
      </c>
      <c r="G59" s="4">
        <v>2013</v>
      </c>
      <c r="H59" s="4">
        <v>2014</v>
      </c>
      <c r="I59" s="4">
        <v>2015</v>
      </c>
    </row>
    <row r="60" spans="1:9" ht="15" customHeight="1" x14ac:dyDescent="0.25">
      <c r="A60" s="58" t="s">
        <v>3</v>
      </c>
      <c r="B60" s="9"/>
      <c r="C60" s="9"/>
      <c r="D60" s="1"/>
      <c r="E60" s="1">
        <f>E19</f>
        <v>6</v>
      </c>
      <c r="F60" s="1">
        <f>F19</f>
        <v>6.18</v>
      </c>
      <c r="G60" s="1">
        <f>G19</f>
        <v>6.3654000000000002</v>
      </c>
      <c r="H60" s="1">
        <f>H19</f>
        <v>6.556362</v>
      </c>
      <c r="I60" s="1">
        <f>I19</f>
        <v>6.7530528599999995</v>
      </c>
    </row>
    <row r="61" spans="1:9" ht="15" customHeight="1" x14ac:dyDescent="0.25">
      <c r="A61" s="58" t="s">
        <v>400</v>
      </c>
      <c r="B61" s="9"/>
      <c r="C61" s="9"/>
      <c r="D61" s="1"/>
      <c r="E61" s="12">
        <f>E$12</f>
        <v>0.05</v>
      </c>
      <c r="F61" s="12">
        <f>F$12</f>
        <v>0.05</v>
      </c>
      <c r="G61" s="12">
        <f>G$12</f>
        <v>0.05</v>
      </c>
      <c r="H61" s="12">
        <f>H$12</f>
        <v>0.05</v>
      </c>
      <c r="I61" s="12">
        <f>I$12</f>
        <v>0.05</v>
      </c>
    </row>
    <row r="62" spans="1:9" ht="15" customHeight="1" x14ac:dyDescent="0.25">
      <c r="A62" s="58" t="s">
        <v>402</v>
      </c>
      <c r="B62" s="9"/>
      <c r="C62" s="9"/>
      <c r="D62" s="1"/>
      <c r="E62" s="1">
        <f>D$21</f>
        <v>100</v>
      </c>
      <c r="F62" s="1">
        <f>E$21</f>
        <v>103</v>
      </c>
      <c r="G62" s="1">
        <f>F$21</f>
        <v>106.09</v>
      </c>
      <c r="H62" s="1">
        <f>G$21</f>
        <v>109.2727</v>
      </c>
      <c r="I62" s="1">
        <f>H$21</f>
        <v>112.55088099999999</v>
      </c>
    </row>
    <row r="63" spans="1:9" ht="15" customHeight="1" x14ac:dyDescent="0.25">
      <c r="A63" s="58" t="s">
        <v>413</v>
      </c>
      <c r="B63" s="9"/>
      <c r="C63" s="9"/>
      <c r="D63" s="1"/>
      <c r="E63" s="1">
        <f>E61*E62</f>
        <v>5</v>
      </c>
      <c r="F63" s="1">
        <f>F61*F62</f>
        <v>5.15</v>
      </c>
      <c r="G63" s="1">
        <f>G61*G62</f>
        <v>5.3045000000000009</v>
      </c>
      <c r="H63" s="1">
        <f>H61*H62</f>
        <v>5.463635</v>
      </c>
      <c r="I63" s="1">
        <f>I61*I62</f>
        <v>5.62754405</v>
      </c>
    </row>
    <row r="64" spans="1:9" ht="15" customHeight="1" x14ac:dyDescent="0.25">
      <c r="A64" s="58" t="s">
        <v>414</v>
      </c>
      <c r="B64" s="9"/>
      <c r="C64" s="9"/>
      <c r="D64" s="1"/>
      <c r="E64" s="1">
        <f>E60-E63</f>
        <v>1</v>
      </c>
      <c r="F64" s="1">
        <f>F60-F63</f>
        <v>1.0299999999999994</v>
      </c>
      <c r="G64" s="1">
        <f>G60-G63</f>
        <v>1.0608999999999993</v>
      </c>
      <c r="H64" s="1">
        <f>H60-H63</f>
        <v>1.092727</v>
      </c>
      <c r="I64" s="1">
        <f>I60-I63</f>
        <v>1.1255088099999995</v>
      </c>
    </row>
    <row r="65" spans="1:9" x14ac:dyDescent="0.25">
      <c r="A65" s="8" t="s">
        <v>8</v>
      </c>
      <c r="D65" s="10">
        <f t="shared" ref="D65:I65" si="2">D$13</f>
        <v>1</v>
      </c>
      <c r="E65" s="10">
        <f t="shared" si="2"/>
        <v>0.95238095238095233</v>
      </c>
      <c r="F65" s="10">
        <f t="shared" si="2"/>
        <v>0.90702947845804982</v>
      </c>
      <c r="G65" s="10">
        <f t="shared" si="2"/>
        <v>0.86383759853147601</v>
      </c>
      <c r="H65" s="10">
        <f t="shared" si="2"/>
        <v>0.82270247479188197</v>
      </c>
      <c r="I65" s="10">
        <f t="shared" si="2"/>
        <v>0.78352616646845896</v>
      </c>
    </row>
    <row r="66" spans="1:9" x14ac:dyDescent="0.25">
      <c r="A66" s="8" t="s">
        <v>398</v>
      </c>
      <c r="D66" s="10"/>
      <c r="E66" s="10">
        <f>D$13</f>
        <v>1</v>
      </c>
      <c r="F66" s="10">
        <f>E$13</f>
        <v>0.95238095238095233</v>
      </c>
      <c r="G66" s="10">
        <f>F$13</f>
        <v>0.90702947845804982</v>
      </c>
      <c r="H66" s="10">
        <f>G$13</f>
        <v>0.86383759853147601</v>
      </c>
      <c r="I66" s="10">
        <f>H$13</f>
        <v>0.82270247479188197</v>
      </c>
    </row>
    <row r="67" spans="1:9" x14ac:dyDescent="0.25">
      <c r="A67" s="8" t="s">
        <v>421</v>
      </c>
      <c r="E67" s="1">
        <f>E64*E65</f>
        <v>0.95238095238095233</v>
      </c>
      <c r="F67" s="1">
        <f>F64*F65</f>
        <v>0.93424036281179068</v>
      </c>
      <c r="G67" s="1">
        <f>G64*G65</f>
        <v>0.91644530828204229</v>
      </c>
      <c r="H67" s="1">
        <f>H64*H65</f>
        <v>0.89898920717190878</v>
      </c>
      <c r="I67" s="1">
        <f>I64*I65</f>
        <v>0.88186560322577678</v>
      </c>
    </row>
    <row r="68" spans="1:9" x14ac:dyDescent="0.25">
      <c r="A68" s="8" t="s">
        <v>422</v>
      </c>
      <c r="E68" s="1">
        <f>SUM($D67:D67)</f>
        <v>0</v>
      </c>
      <c r="F68" s="1">
        <f>SUM($D67:E67)</f>
        <v>0.95238095238095233</v>
      </c>
      <c r="G68" s="1">
        <f>SUM($D67:F67)</f>
        <v>1.8866213151927429</v>
      </c>
      <c r="H68" s="1">
        <f>SUM($D67:G67)</f>
        <v>2.803066623474785</v>
      </c>
      <c r="I68" s="1">
        <f>SUM($D67:H67)</f>
        <v>3.7020558306466937</v>
      </c>
    </row>
    <row r="69" spans="1:9" x14ac:dyDescent="0.25">
      <c r="A69" s="8" t="s">
        <v>408</v>
      </c>
      <c r="E69" s="64">
        <f>1/($B$8-$B$5)</f>
        <v>20</v>
      </c>
      <c r="F69" s="64">
        <f>1/($B$8-$B$5)</f>
        <v>20</v>
      </c>
      <c r="G69" s="64">
        <f>1/($B$8-$B$5)</f>
        <v>20</v>
      </c>
      <c r="H69" s="64">
        <f>1/($B$8-$B$5)</f>
        <v>20</v>
      </c>
      <c r="I69" s="64">
        <f>1/($B$8-$B$5)</f>
        <v>20</v>
      </c>
    </row>
    <row r="70" spans="1:9" x14ac:dyDescent="0.25">
      <c r="A70" s="8" t="s">
        <v>423</v>
      </c>
      <c r="E70" s="1">
        <f>E64*E69*E66</f>
        <v>20</v>
      </c>
      <c r="F70" s="1">
        <f>F64*F69*F66</f>
        <v>19.619047619047606</v>
      </c>
      <c r="G70" s="1">
        <f>G64*G69*G66</f>
        <v>19.245351473922888</v>
      </c>
      <c r="H70" s="1">
        <f>H64*H69*H66</f>
        <v>18.878773350610082</v>
      </c>
      <c r="I70" s="1">
        <f>I64*I69*I66</f>
        <v>18.519177667741314</v>
      </c>
    </row>
    <row r="71" spans="1:9" x14ac:dyDescent="0.25">
      <c r="A71" s="61" t="s">
        <v>410</v>
      </c>
      <c r="B71" s="62"/>
      <c r="C71" s="62"/>
      <c r="D71" s="62"/>
      <c r="E71" s="63">
        <f>$D$21+E68+E70</f>
        <v>120</v>
      </c>
      <c r="F71" s="63">
        <f>$D$21+F68+F70</f>
        <v>120.57142857142856</v>
      </c>
      <c r="G71" s="63">
        <f>$D$21+G68+G70</f>
        <v>121.13197278911562</v>
      </c>
      <c r="H71" s="63">
        <f>$D$21+H68+H70</f>
        <v>121.68183997408488</v>
      </c>
      <c r="I71" s="63">
        <f>$D$21+I68+I70</f>
        <v>122.22123349838802</v>
      </c>
    </row>
    <row r="73" spans="1:9" ht="20.100000000000001" customHeight="1" x14ac:dyDescent="0.25">
      <c r="A73" s="55" t="s">
        <v>416</v>
      </c>
      <c r="B73" s="13"/>
      <c r="C73" s="13"/>
      <c r="D73" s="4">
        <v>2010</v>
      </c>
      <c r="E73" s="4">
        <v>2011</v>
      </c>
      <c r="F73" s="4">
        <v>2012</v>
      </c>
      <c r="G73" s="4">
        <v>2013</v>
      </c>
      <c r="H73" s="4">
        <v>2014</v>
      </c>
      <c r="I73" s="4">
        <v>2015</v>
      </c>
    </row>
    <row r="74" spans="1:9" ht="15" customHeight="1" x14ac:dyDescent="0.25">
      <c r="A74" s="58" t="s">
        <v>4</v>
      </c>
      <c r="B74" s="9"/>
      <c r="C74" s="9"/>
      <c r="D74" s="1"/>
      <c r="E74" s="1">
        <f>E20</f>
        <v>3</v>
      </c>
      <c r="F74" s="1">
        <f>F20</f>
        <v>3.09</v>
      </c>
      <c r="G74" s="1">
        <f>G20</f>
        <v>3.1827000000000001</v>
      </c>
      <c r="H74" s="1">
        <f>H20</f>
        <v>3.278181</v>
      </c>
      <c r="I74" s="1">
        <f>I20</f>
        <v>3.3765264299999997</v>
      </c>
    </row>
    <row r="75" spans="1:9" ht="15" customHeight="1" x14ac:dyDescent="0.25">
      <c r="A75" s="58" t="s">
        <v>2</v>
      </c>
      <c r="B75" s="9"/>
      <c r="C75" s="9"/>
      <c r="D75" s="1"/>
      <c r="E75" s="12">
        <f>E46</f>
        <v>0.06</v>
      </c>
      <c r="F75" s="12">
        <f>F46</f>
        <v>0.06</v>
      </c>
      <c r="G75" s="12">
        <f>G46</f>
        <v>0.06</v>
      </c>
      <c r="H75" s="12">
        <f>H46</f>
        <v>0.06</v>
      </c>
      <c r="I75" s="12">
        <f>I46</f>
        <v>0.06</v>
      </c>
    </row>
    <row r="76" spans="1:9" ht="15" customHeight="1" x14ac:dyDescent="0.25">
      <c r="A76" s="58" t="s">
        <v>400</v>
      </c>
      <c r="B76" s="9"/>
      <c r="C76" s="9"/>
      <c r="D76" s="1"/>
      <c r="E76" s="12">
        <f>E$12</f>
        <v>0.05</v>
      </c>
      <c r="F76" s="12">
        <f>F$12</f>
        <v>0.05</v>
      </c>
      <c r="G76" s="12">
        <f>G$12</f>
        <v>0.05</v>
      </c>
      <c r="H76" s="12">
        <f>H$12</f>
        <v>0.05</v>
      </c>
      <c r="I76" s="12">
        <f>I$12</f>
        <v>0.05</v>
      </c>
    </row>
    <row r="77" spans="1:9" ht="15" customHeight="1" x14ac:dyDescent="0.25">
      <c r="A77" s="58" t="s">
        <v>417</v>
      </c>
      <c r="B77" s="9"/>
      <c r="C77" s="9"/>
      <c r="D77" s="1"/>
      <c r="E77" s="12">
        <f>E75-E76</f>
        <v>9.999999999999995E-3</v>
      </c>
      <c r="F77" s="12">
        <f>F75-F76</f>
        <v>9.999999999999995E-3</v>
      </c>
      <c r="G77" s="12">
        <f>G75-G76</f>
        <v>9.999999999999995E-3</v>
      </c>
      <c r="H77" s="12">
        <f>H75-H76</f>
        <v>9.999999999999995E-3</v>
      </c>
      <c r="I77" s="12">
        <f>I75-I76</f>
        <v>9.999999999999995E-3</v>
      </c>
    </row>
    <row r="78" spans="1:9" ht="15" customHeight="1" x14ac:dyDescent="0.25">
      <c r="A78" s="58" t="s">
        <v>402</v>
      </c>
      <c r="B78" s="9"/>
      <c r="C78" s="9"/>
      <c r="D78" s="1"/>
      <c r="E78" s="1">
        <f>D$21</f>
        <v>100</v>
      </c>
      <c r="F78" s="1">
        <f>E$21</f>
        <v>103</v>
      </c>
      <c r="G78" s="1">
        <f>F$21</f>
        <v>106.09</v>
      </c>
      <c r="H78" s="1">
        <f>G$21</f>
        <v>109.2727</v>
      </c>
      <c r="I78" s="1">
        <f>H$21</f>
        <v>112.55088099999999</v>
      </c>
    </row>
    <row r="79" spans="1:9" x14ac:dyDescent="0.25">
      <c r="A79" s="8" t="s">
        <v>8</v>
      </c>
      <c r="D79" s="10">
        <f t="shared" ref="D79:I79" si="3">D$13</f>
        <v>1</v>
      </c>
      <c r="E79" s="10">
        <f t="shared" si="3"/>
        <v>0.95238095238095233</v>
      </c>
      <c r="F79" s="10">
        <f t="shared" si="3"/>
        <v>0.90702947845804982</v>
      </c>
      <c r="G79" s="10">
        <f t="shared" si="3"/>
        <v>0.86383759853147601</v>
      </c>
      <c r="H79" s="10">
        <f t="shared" si="3"/>
        <v>0.82270247479188197</v>
      </c>
      <c r="I79" s="10">
        <f t="shared" si="3"/>
        <v>0.78352616646845896</v>
      </c>
    </row>
    <row r="80" spans="1:9" x14ac:dyDescent="0.25">
      <c r="A80" s="8" t="s">
        <v>398</v>
      </c>
      <c r="D80" s="10"/>
      <c r="E80" s="10">
        <f>D$13</f>
        <v>1</v>
      </c>
      <c r="F80" s="10">
        <f>E$13</f>
        <v>0.95238095238095233</v>
      </c>
      <c r="G80" s="10">
        <f>F$13</f>
        <v>0.90702947845804982</v>
      </c>
      <c r="H80" s="10">
        <f>G$13</f>
        <v>0.86383759853147601</v>
      </c>
      <c r="I80" s="10">
        <f>H$13</f>
        <v>0.82270247479188197</v>
      </c>
    </row>
    <row r="81" spans="1:9" ht="15" customHeight="1" x14ac:dyDescent="0.25">
      <c r="A81" s="58" t="s">
        <v>418</v>
      </c>
      <c r="B81" s="9"/>
      <c r="C81" s="9"/>
      <c r="D81" s="1"/>
      <c r="E81" s="1">
        <f>E74*E79</f>
        <v>2.8571428571428568</v>
      </c>
      <c r="F81" s="1">
        <f>F74*F79</f>
        <v>2.8027210884353737</v>
      </c>
      <c r="G81" s="1">
        <f>G74*G79</f>
        <v>2.7493359248461289</v>
      </c>
      <c r="H81" s="1">
        <f>H74*H79</f>
        <v>2.6969676215157263</v>
      </c>
      <c r="I81" s="1">
        <f>I74*I79</f>
        <v>2.6455968096773312</v>
      </c>
    </row>
    <row r="82" spans="1:9" ht="15" customHeight="1" x14ac:dyDescent="0.25">
      <c r="A82" s="58" t="s">
        <v>419</v>
      </c>
      <c r="B82" s="9"/>
      <c r="C82" s="9"/>
      <c r="D82" s="1"/>
      <c r="E82" s="1">
        <f>SUM($D81:D81)</f>
        <v>0</v>
      </c>
      <c r="F82" s="1">
        <f>SUM($D81:E81)</f>
        <v>2.8571428571428568</v>
      </c>
      <c r="G82" s="1">
        <f>SUM($D81:F81)</f>
        <v>5.6598639455782305</v>
      </c>
      <c r="H82" s="1">
        <f>SUM($D81:G81)</f>
        <v>8.4091998704243593</v>
      </c>
      <c r="I82" s="1">
        <f>SUM($D81:H81)</f>
        <v>11.106167491940086</v>
      </c>
    </row>
    <row r="83" spans="1:9" ht="15" customHeight="1" x14ac:dyDescent="0.25">
      <c r="A83" s="58" t="s">
        <v>420</v>
      </c>
      <c r="B83" s="9"/>
      <c r="C83" s="9"/>
      <c r="D83" s="1"/>
      <c r="E83" s="1">
        <f>E78*E80</f>
        <v>100</v>
      </c>
      <c r="F83" s="1">
        <f>F78*F80</f>
        <v>98.095238095238088</v>
      </c>
      <c r="G83" s="1">
        <f>G78*G80</f>
        <v>96.226757369614504</v>
      </c>
      <c r="H83" s="1">
        <f>H78*H80</f>
        <v>94.393866753050418</v>
      </c>
      <c r="I83" s="1">
        <f>I78*I80</f>
        <v>92.595888338706601</v>
      </c>
    </row>
    <row r="84" spans="1:9" ht="15" customHeight="1" x14ac:dyDescent="0.25">
      <c r="A84" s="58" t="s">
        <v>414</v>
      </c>
      <c r="B84" s="9"/>
      <c r="C84" s="9"/>
      <c r="D84" s="1"/>
      <c r="E84" s="1">
        <f>E77*E78</f>
        <v>0.99999999999999956</v>
      </c>
      <c r="F84" s="1">
        <f>F77*F78</f>
        <v>1.0299999999999996</v>
      </c>
      <c r="G84" s="1">
        <f>G77*G78</f>
        <v>1.0608999999999995</v>
      </c>
      <c r="H84" s="1">
        <f>H77*H78</f>
        <v>1.0927269999999996</v>
      </c>
      <c r="I84" s="1">
        <f>I77*I78</f>
        <v>1.1255088099999992</v>
      </c>
    </row>
    <row r="85" spans="1:9" x14ac:dyDescent="0.25">
      <c r="A85" s="8" t="s">
        <v>421</v>
      </c>
      <c r="E85" s="1">
        <f>E84*E79</f>
        <v>0.95238095238095188</v>
      </c>
      <c r="F85" s="1">
        <f>F84*F79</f>
        <v>0.9342403628117909</v>
      </c>
      <c r="G85" s="1">
        <f>G84*G79</f>
        <v>0.91644530828204251</v>
      </c>
      <c r="H85" s="1">
        <f>H84*H79</f>
        <v>0.89898920717190844</v>
      </c>
      <c r="I85" s="1">
        <f>I84*I79</f>
        <v>0.88186560322577656</v>
      </c>
    </row>
    <row r="86" spans="1:9" x14ac:dyDescent="0.25">
      <c r="A86" s="8" t="s">
        <v>408</v>
      </c>
      <c r="E86" s="64">
        <f>1/($B$8-$B$5)</f>
        <v>20</v>
      </c>
      <c r="F86" s="64">
        <f>1/($B$8-$B$5)</f>
        <v>20</v>
      </c>
      <c r="G86" s="64">
        <f>1/($B$8-$B$5)</f>
        <v>20</v>
      </c>
      <c r="H86" s="64">
        <f>1/($B$8-$B$5)</f>
        <v>20</v>
      </c>
      <c r="I86" s="64">
        <f>1/($B$8-$B$5)</f>
        <v>20</v>
      </c>
    </row>
    <row r="87" spans="1:9" x14ac:dyDescent="0.25">
      <c r="A87" s="8" t="s">
        <v>409</v>
      </c>
      <c r="E87" s="1">
        <f>E84*E86*E80</f>
        <v>19.999999999999993</v>
      </c>
      <c r="F87" s="1">
        <f>F84*F86*F80</f>
        <v>19.61904761904761</v>
      </c>
      <c r="G87" s="1">
        <f>G84*G86*G80</f>
        <v>19.245351473922891</v>
      </c>
      <c r="H87" s="1">
        <f>H84*H86*H80</f>
        <v>18.878773350610079</v>
      </c>
      <c r="I87" s="1">
        <f>I84*I86*I80</f>
        <v>18.51917766774131</v>
      </c>
    </row>
    <row r="88" spans="1:9" x14ac:dyDescent="0.25">
      <c r="A88" s="61" t="s">
        <v>410</v>
      </c>
      <c r="B88" s="62"/>
      <c r="C88" s="62"/>
      <c r="D88" s="62"/>
      <c r="E88" s="63">
        <f>E82+E83+E87</f>
        <v>120</v>
      </c>
      <c r="F88" s="63">
        <f>F82+F83+F87</f>
        <v>120.57142857142856</v>
      </c>
      <c r="G88" s="63">
        <f>G82+G83+G87</f>
        <v>121.13197278911564</v>
      </c>
      <c r="H88" s="63">
        <f>H82+H83+H87</f>
        <v>121.68183997408485</v>
      </c>
      <c r="I88" s="63">
        <f>I82+I83+I87</f>
        <v>122.22123349838799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CSCO - Eq 2.7</vt:lpstr>
      <vt:lpstr>CSCO - Eq 2.8</vt:lpstr>
      <vt:lpstr>MKC</vt:lpstr>
      <vt:lpstr>BS</vt:lpstr>
      <vt:lpstr>IS</vt:lpstr>
      <vt:lpstr>GE</vt:lpstr>
      <vt:lpstr>Bloomberg</vt:lpstr>
      <vt:lpstr>Cisco</vt:lpstr>
      <vt:lpstr>Prototype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2020-03-28T03:37:15Z</dcterms:modified>
</cp:coreProperties>
</file>